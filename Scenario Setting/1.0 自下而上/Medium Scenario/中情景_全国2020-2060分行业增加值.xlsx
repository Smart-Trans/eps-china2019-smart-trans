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1.0 自下而上\Medium Scenario\"/>
    </mc:Choice>
  </mc:AlternateContent>
  <xr:revisionPtr revIDLastSave="0" documentId="13_ncr:1_{29C828A8-3FAB-40ED-8C40-6570F6A0BD6C}" xr6:coauthVersionLast="47" xr6:coauthVersionMax="47" xr10:uidLastSave="{00000000-0000-0000-0000-000000000000}"/>
  <bookViews>
    <workbookView xWindow="-23148" yWindow="-108" windowWidth="23256" windowHeight="12456" firstSheet="1" activeTab="1" xr2:uid="{B0B8F9C0-F637-4B7A-B87F-74471961ED9F}"/>
  </bookViews>
  <sheets>
    <sheet name="增加值 (2001-2060, 2012USD)" sheetId="13" r:id="rId1"/>
    <sheet name="增加值 (2001-2060, 2020RMB)" sheetId="10" r:id="rId2"/>
    <sheet name="增加值 (2001-2022, 当年价) " sheetId="19" r:id="rId3"/>
    <sheet name="情景假设" sheetId="12" r:id="rId4"/>
    <sheet name="平滑数据导入" sheetId="17" r:id="rId5"/>
    <sheet name="统计资料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" i="12" l="1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5" i="12" l="1"/>
  <c r="C124" i="12"/>
  <c r="C126" i="12"/>
  <c r="C123" i="12"/>
  <c r="K62" i="13" l="1"/>
  <c r="L62" i="13"/>
  <c r="M62" i="13"/>
  <c r="N62" i="13"/>
  <c r="O62" i="13"/>
  <c r="P62" i="13"/>
  <c r="Q62" i="13"/>
  <c r="R62" i="13"/>
  <c r="S62" i="13"/>
  <c r="T62" i="13"/>
  <c r="U62" i="13"/>
  <c r="V62" i="13"/>
  <c r="W62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B57" i="13"/>
  <c r="B58" i="13"/>
  <c r="B59" i="13"/>
  <c r="B60" i="13"/>
  <c r="B61" i="13"/>
  <c r="B56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B13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B3" i="13"/>
  <c r="B4" i="13"/>
  <c r="B5" i="13"/>
  <c r="B6" i="13"/>
  <c r="B7" i="13"/>
  <c r="B8" i="13"/>
  <c r="B9" i="13"/>
  <c r="B10" i="13"/>
  <c r="B11" i="13"/>
  <c r="B2" i="13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47" i="12"/>
  <c r="C47" i="12"/>
  <c r="C48" i="12"/>
  <c r="K48" i="12" s="1"/>
  <c r="C49" i="12"/>
  <c r="J49" i="12" s="1"/>
  <c r="C50" i="12"/>
  <c r="L50" i="12" s="1"/>
  <c r="C51" i="12"/>
  <c r="C52" i="12"/>
  <c r="C53" i="12"/>
  <c r="C54" i="12"/>
  <c r="L54" i="12" s="1"/>
  <c r="C55" i="12"/>
  <c r="M55" i="12" s="1"/>
  <c r="C56" i="12"/>
  <c r="J56" i="12" s="1"/>
  <c r="C57" i="12"/>
  <c r="C58" i="12"/>
  <c r="L58" i="12" s="1"/>
  <c r="C59" i="12"/>
  <c r="C60" i="12"/>
  <c r="C61" i="12"/>
  <c r="C62" i="12"/>
  <c r="L62" i="12" s="1"/>
  <c r="C63" i="12"/>
  <c r="M63" i="12" s="1"/>
  <c r="C64" i="12"/>
  <c r="J64" i="12" s="1"/>
  <c r="C65" i="12"/>
  <c r="C66" i="12"/>
  <c r="L66" i="12" s="1"/>
  <c r="C67" i="12"/>
  <c r="C68" i="12"/>
  <c r="C69" i="12"/>
  <c r="C70" i="12"/>
  <c r="L70" i="12" s="1"/>
  <c r="C71" i="12"/>
  <c r="M71" i="12" s="1"/>
  <c r="C72" i="12"/>
  <c r="J72" i="12" s="1"/>
  <c r="C73" i="12"/>
  <c r="J73" i="12" s="1"/>
  <c r="C74" i="12"/>
  <c r="L74" i="12" s="1"/>
  <c r="C75" i="12"/>
  <c r="C76" i="12"/>
  <c r="C77" i="12"/>
  <c r="C78" i="12"/>
  <c r="L78" i="12" s="1"/>
  <c r="C79" i="12"/>
  <c r="M79" i="12" s="1"/>
  <c r="C80" i="12"/>
  <c r="J80" i="12" s="1"/>
  <c r="C81" i="12"/>
  <c r="J81" i="12" s="1"/>
  <c r="C82" i="12"/>
  <c r="L82" i="12" s="1"/>
  <c r="C83" i="12"/>
  <c r="C84" i="12"/>
  <c r="C85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28" i="12"/>
  <c r="C29" i="12"/>
  <c r="J29" i="12" s="1"/>
  <c r="O29" i="12" s="1"/>
  <c r="C30" i="12"/>
  <c r="L30" i="12" s="1"/>
  <c r="C31" i="12"/>
  <c r="L31" i="12" s="1"/>
  <c r="C32" i="12"/>
  <c r="L32" i="12" s="1"/>
  <c r="C33" i="12"/>
  <c r="L33" i="12" s="1"/>
  <c r="C34" i="12"/>
  <c r="L34" i="12" s="1"/>
  <c r="C35" i="12"/>
  <c r="J35" i="12" s="1"/>
  <c r="O35" i="12" s="1"/>
  <c r="C36" i="12"/>
  <c r="L36" i="12" s="1"/>
  <c r="C37" i="12"/>
  <c r="L37" i="12" s="1"/>
  <c r="C38" i="12"/>
  <c r="L38" i="12" s="1"/>
  <c r="C39" i="12"/>
  <c r="K39" i="12" s="1"/>
  <c r="C40" i="12"/>
  <c r="L40" i="12" s="1"/>
  <c r="C41" i="12"/>
  <c r="L41" i="12" s="1"/>
  <c r="C42" i="12"/>
  <c r="L42" i="12" s="1"/>
  <c r="C28" i="12"/>
  <c r="M85" i="12" l="1"/>
  <c r="M77" i="12"/>
  <c r="M69" i="12"/>
  <c r="M61" i="12"/>
  <c r="M53" i="12"/>
  <c r="N38" i="12"/>
  <c r="L84" i="12"/>
  <c r="L76" i="12"/>
  <c r="L68" i="12"/>
  <c r="L60" i="12"/>
  <c r="L52" i="12"/>
  <c r="K37" i="12"/>
  <c r="K29" i="12"/>
  <c r="K82" i="12"/>
  <c r="M83" i="12"/>
  <c r="M75" i="12"/>
  <c r="M67" i="12"/>
  <c r="M59" i="12"/>
  <c r="M51" i="12"/>
  <c r="K60" i="12"/>
  <c r="K41" i="12"/>
  <c r="N30" i="12"/>
  <c r="K84" i="12"/>
  <c r="K62" i="12"/>
  <c r="K78" i="12"/>
  <c r="K58" i="12"/>
  <c r="N36" i="12"/>
  <c r="K76" i="12"/>
  <c r="K54" i="12"/>
  <c r="J38" i="12"/>
  <c r="O38" i="12" s="1"/>
  <c r="K35" i="12"/>
  <c r="K74" i="12"/>
  <c r="K52" i="12"/>
  <c r="J37" i="12"/>
  <c r="O37" i="12" s="1"/>
  <c r="N34" i="12"/>
  <c r="K70" i="12"/>
  <c r="K50" i="12"/>
  <c r="J30" i="12"/>
  <c r="O30" i="12" s="1"/>
  <c r="K33" i="12"/>
  <c r="M81" i="12"/>
  <c r="M73" i="12"/>
  <c r="M65" i="12"/>
  <c r="M57" i="12"/>
  <c r="M49" i="12"/>
  <c r="J65" i="12"/>
  <c r="O65" i="12" s="1"/>
  <c r="K68" i="12"/>
  <c r="N42" i="12"/>
  <c r="K31" i="12"/>
  <c r="J57" i="12"/>
  <c r="K66" i="12"/>
  <c r="J42" i="12"/>
  <c r="O42" i="12" s="1"/>
  <c r="J34" i="12"/>
  <c r="O34" i="12" s="1"/>
  <c r="K42" i="12"/>
  <c r="K40" i="12"/>
  <c r="K38" i="12"/>
  <c r="K36" i="12"/>
  <c r="K34" i="12"/>
  <c r="K32" i="12"/>
  <c r="K30" i="12"/>
  <c r="J78" i="12"/>
  <c r="O78" i="12" s="1"/>
  <c r="J70" i="12"/>
  <c r="O70" i="12" s="1"/>
  <c r="J62" i="12"/>
  <c r="J54" i="12"/>
  <c r="O54" i="12" s="1"/>
  <c r="L85" i="12"/>
  <c r="L83" i="12"/>
  <c r="L81" i="12"/>
  <c r="L79" i="12"/>
  <c r="L77" i="12"/>
  <c r="L75" i="12"/>
  <c r="L73" i="12"/>
  <c r="L71" i="12"/>
  <c r="L69" i="12"/>
  <c r="L67" i="12"/>
  <c r="L65" i="12"/>
  <c r="L63" i="12"/>
  <c r="L61" i="12"/>
  <c r="L59" i="12"/>
  <c r="L57" i="12"/>
  <c r="L55" i="12"/>
  <c r="L53" i="12"/>
  <c r="L51" i="12"/>
  <c r="L49" i="12"/>
  <c r="N40" i="12"/>
  <c r="N32" i="12"/>
  <c r="K72" i="12"/>
  <c r="K64" i="12"/>
  <c r="J41" i="12"/>
  <c r="O41" i="12" s="1"/>
  <c r="J33" i="12"/>
  <c r="O33" i="12" s="1"/>
  <c r="N41" i="12"/>
  <c r="N39" i="12"/>
  <c r="N37" i="12"/>
  <c r="N35" i="12"/>
  <c r="N33" i="12"/>
  <c r="N31" i="12"/>
  <c r="N29" i="12"/>
  <c r="J48" i="12"/>
  <c r="O48" i="12" s="1"/>
  <c r="J85" i="12"/>
  <c r="J77" i="12"/>
  <c r="O77" i="12" s="1"/>
  <c r="J69" i="12"/>
  <c r="O69" i="12" s="1"/>
  <c r="J61" i="12"/>
  <c r="O61" i="12" s="1"/>
  <c r="J53" i="12"/>
  <c r="O53" i="12" s="1"/>
  <c r="K85" i="12"/>
  <c r="K83" i="12"/>
  <c r="K81" i="12"/>
  <c r="K79" i="12"/>
  <c r="K77" i="12"/>
  <c r="K75" i="12"/>
  <c r="K73" i="12"/>
  <c r="K71" i="12"/>
  <c r="K69" i="12"/>
  <c r="K67" i="12"/>
  <c r="K65" i="12"/>
  <c r="K63" i="12"/>
  <c r="K61" i="12"/>
  <c r="K59" i="12"/>
  <c r="K57" i="12"/>
  <c r="K55" i="12"/>
  <c r="K53" i="12"/>
  <c r="K51" i="12"/>
  <c r="K49" i="12"/>
  <c r="J40" i="12"/>
  <c r="O40" i="12" s="1"/>
  <c r="J32" i="12"/>
  <c r="O32" i="12" s="1"/>
  <c r="M41" i="12"/>
  <c r="M39" i="12"/>
  <c r="M37" i="12"/>
  <c r="M35" i="12"/>
  <c r="M33" i="12"/>
  <c r="M31" i="12"/>
  <c r="M29" i="12"/>
  <c r="J52" i="12"/>
  <c r="J84" i="12"/>
  <c r="O84" i="12" s="1"/>
  <c r="J76" i="12"/>
  <c r="O76" i="12" s="1"/>
  <c r="J68" i="12"/>
  <c r="O68" i="12" s="1"/>
  <c r="J60" i="12"/>
  <c r="N84" i="12"/>
  <c r="N82" i="12"/>
  <c r="N80" i="12"/>
  <c r="N78" i="12"/>
  <c r="N76" i="12"/>
  <c r="N74" i="12"/>
  <c r="N72" i="12"/>
  <c r="N70" i="12"/>
  <c r="N68" i="12"/>
  <c r="N66" i="12"/>
  <c r="N64" i="12"/>
  <c r="N62" i="12"/>
  <c r="N60" i="12"/>
  <c r="N58" i="12"/>
  <c r="N56" i="12"/>
  <c r="N54" i="12"/>
  <c r="N52" i="12"/>
  <c r="N50" i="12"/>
  <c r="N48" i="12"/>
  <c r="K80" i="12"/>
  <c r="J39" i="12"/>
  <c r="O39" i="12" s="1"/>
  <c r="J31" i="12"/>
  <c r="O31" i="12" s="1"/>
  <c r="L39" i="12"/>
  <c r="L35" i="12"/>
  <c r="L29" i="12"/>
  <c r="J51" i="12"/>
  <c r="O51" i="12" s="1"/>
  <c r="J83" i="12"/>
  <c r="O83" i="12" s="1"/>
  <c r="J75" i="12"/>
  <c r="O75" i="12" s="1"/>
  <c r="J67" i="12"/>
  <c r="O67" i="12" s="1"/>
  <c r="J59" i="12"/>
  <c r="O59" i="12" s="1"/>
  <c r="M84" i="12"/>
  <c r="M82" i="12"/>
  <c r="M80" i="12"/>
  <c r="M78" i="12"/>
  <c r="M76" i="12"/>
  <c r="M74" i="12"/>
  <c r="M72" i="12"/>
  <c r="M70" i="12"/>
  <c r="M68" i="12"/>
  <c r="M66" i="12"/>
  <c r="M64" i="12"/>
  <c r="M62" i="12"/>
  <c r="M60" i="12"/>
  <c r="M58" i="12"/>
  <c r="M56" i="12"/>
  <c r="M54" i="12"/>
  <c r="M52" i="12"/>
  <c r="M50" i="12"/>
  <c r="M48" i="12"/>
  <c r="J50" i="12"/>
  <c r="O50" i="12" s="1"/>
  <c r="J82" i="12"/>
  <c r="O82" i="12" s="1"/>
  <c r="J74" i="12"/>
  <c r="O74" i="12" s="1"/>
  <c r="J66" i="12"/>
  <c r="O66" i="12" s="1"/>
  <c r="J58" i="12"/>
  <c r="O58" i="12" s="1"/>
  <c r="L80" i="12"/>
  <c r="L72" i="12"/>
  <c r="L64" i="12"/>
  <c r="L56" i="12"/>
  <c r="L48" i="12"/>
  <c r="K56" i="12"/>
  <c r="J36" i="12"/>
  <c r="O36" i="12" s="1"/>
  <c r="M42" i="12"/>
  <c r="M40" i="12"/>
  <c r="M38" i="12"/>
  <c r="M36" i="12"/>
  <c r="M34" i="12"/>
  <c r="M32" i="12"/>
  <c r="M30" i="12"/>
  <c r="N85" i="12"/>
  <c r="N83" i="12"/>
  <c r="N81" i="12"/>
  <c r="N79" i="12"/>
  <c r="N77" i="12"/>
  <c r="N75" i="12"/>
  <c r="N73" i="12"/>
  <c r="N71" i="12"/>
  <c r="N69" i="12"/>
  <c r="N67" i="12"/>
  <c r="N65" i="12"/>
  <c r="N63" i="12"/>
  <c r="N61" i="12"/>
  <c r="N59" i="12"/>
  <c r="N57" i="12"/>
  <c r="N55" i="12"/>
  <c r="N53" i="12"/>
  <c r="N51" i="12"/>
  <c r="N49" i="12"/>
  <c r="J79" i="12"/>
  <c r="O79" i="12" s="1"/>
  <c r="J71" i="12"/>
  <c r="O71" i="12" s="1"/>
  <c r="J63" i="12"/>
  <c r="O63" i="12" s="1"/>
  <c r="J55" i="12"/>
  <c r="O55" i="12" s="1"/>
  <c r="O49" i="12"/>
  <c r="O52" i="12"/>
  <c r="O56" i="12"/>
  <c r="O57" i="12"/>
  <c r="O60" i="12"/>
  <c r="O62" i="12"/>
  <c r="O64" i="12"/>
  <c r="O72" i="12"/>
  <c r="O73" i="12"/>
  <c r="O80" i="12"/>
  <c r="O81" i="12"/>
  <c r="O85" i="12"/>
  <c r="C86" i="12"/>
  <c r="C87" i="12"/>
  <c r="C88" i="12"/>
  <c r="C19" i="12"/>
  <c r="C17" i="12"/>
  <c r="C16" i="12"/>
  <c r="C15" i="12"/>
  <c r="B15" i="12" s="1"/>
  <c r="Z6" i="19"/>
  <c r="AA6" i="19"/>
  <c r="Y6" i="19"/>
  <c r="Z3" i="19"/>
  <c r="AA3" i="19"/>
  <c r="Z4" i="19"/>
  <c r="AA4" i="19"/>
  <c r="Z5" i="19"/>
  <c r="AA5" i="19"/>
  <c r="Y4" i="19"/>
  <c r="Y5" i="19"/>
  <c r="Y3" i="19"/>
  <c r="Z2" i="10"/>
  <c r="Z2" i="13" s="1"/>
  <c r="U76" i="10"/>
  <c r="B76" i="10" s="1"/>
  <c r="B77" i="10" s="1"/>
  <c r="V76" i="10"/>
  <c r="V77" i="10" s="1"/>
  <c r="V36" i="10" s="1"/>
  <c r="W75" i="10"/>
  <c r="J76" i="10"/>
  <c r="J77" i="10" s="1"/>
  <c r="P76" i="10"/>
  <c r="P77" i="10" s="1"/>
  <c r="Q76" i="10"/>
  <c r="Q77" i="10" s="1"/>
  <c r="U70" i="19"/>
  <c r="T70" i="19"/>
  <c r="S70" i="19"/>
  <c r="R70" i="19"/>
  <c r="Q70" i="19"/>
  <c r="P70" i="19"/>
  <c r="O70" i="19"/>
  <c r="N70" i="19"/>
  <c r="M70" i="19"/>
  <c r="L70" i="19"/>
  <c r="K70" i="19"/>
  <c r="U69" i="19"/>
  <c r="W69" i="19" s="1"/>
  <c r="T69" i="19"/>
  <c r="S69" i="19"/>
  <c r="R69" i="19"/>
  <c r="Q69" i="19"/>
  <c r="P69" i="19"/>
  <c r="O69" i="19"/>
  <c r="N69" i="19"/>
  <c r="M69" i="19"/>
  <c r="L69" i="19"/>
  <c r="K69" i="19"/>
  <c r="U68" i="19"/>
  <c r="T68" i="19"/>
  <c r="S68" i="19"/>
  <c r="R68" i="19"/>
  <c r="Q68" i="19"/>
  <c r="P68" i="19"/>
  <c r="O68" i="19"/>
  <c r="N68" i="19"/>
  <c r="M68" i="19"/>
  <c r="L68" i="19"/>
  <c r="K68" i="19"/>
  <c r="U67" i="19"/>
  <c r="T67" i="19"/>
  <c r="S67" i="19"/>
  <c r="R67" i="19"/>
  <c r="Q67" i="19"/>
  <c r="P67" i="19"/>
  <c r="O67" i="19"/>
  <c r="N67" i="19"/>
  <c r="M67" i="19"/>
  <c r="L67" i="19"/>
  <c r="K67" i="19"/>
  <c r="U66" i="19"/>
  <c r="T66" i="19"/>
  <c r="S66" i="19"/>
  <c r="R66" i="19"/>
  <c r="Q66" i="19"/>
  <c r="P66" i="19"/>
  <c r="O66" i="19"/>
  <c r="N66" i="19"/>
  <c r="M66" i="19"/>
  <c r="L66" i="19"/>
  <c r="K66" i="19"/>
  <c r="U65" i="19"/>
  <c r="T65" i="19"/>
  <c r="S65" i="19"/>
  <c r="R65" i="19"/>
  <c r="Q65" i="19"/>
  <c r="P65" i="19"/>
  <c r="O65" i="19"/>
  <c r="N65" i="19"/>
  <c r="M65" i="19"/>
  <c r="L65" i="19"/>
  <c r="K65" i="19"/>
  <c r="U64" i="19"/>
  <c r="T64" i="19"/>
  <c r="S64" i="19"/>
  <c r="R64" i="19"/>
  <c r="Q64" i="19"/>
  <c r="P64" i="19"/>
  <c r="O64" i="19"/>
  <c r="N64" i="19"/>
  <c r="M64" i="19"/>
  <c r="L64" i="19"/>
  <c r="K64" i="19"/>
  <c r="U63" i="19"/>
  <c r="T63" i="19"/>
  <c r="S63" i="19"/>
  <c r="R63" i="19"/>
  <c r="Q63" i="19"/>
  <c r="P63" i="19"/>
  <c r="O63" i="19"/>
  <c r="N63" i="19"/>
  <c r="M63" i="19"/>
  <c r="L63" i="19"/>
  <c r="K63" i="19"/>
  <c r="U62" i="19"/>
  <c r="T62" i="19"/>
  <c r="S62" i="19"/>
  <c r="R62" i="19"/>
  <c r="Q62" i="19"/>
  <c r="P62" i="19"/>
  <c r="O62" i="19"/>
  <c r="N62" i="19"/>
  <c r="M62" i="19"/>
  <c r="L62" i="19"/>
  <c r="K62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60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W57" i="19"/>
  <c r="W62" i="19" s="1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S75" i="10"/>
  <c r="R75" i="10" s="1"/>
  <c r="Q75" i="10" s="1"/>
  <c r="P75" i="10" s="1"/>
  <c r="O75" i="10" s="1"/>
  <c r="N75" i="10" s="1"/>
  <c r="M75" i="10" s="1"/>
  <c r="L75" i="10" s="1"/>
  <c r="K75" i="10" s="1"/>
  <c r="J75" i="10" s="1"/>
  <c r="I75" i="10" s="1"/>
  <c r="H75" i="10" s="1"/>
  <c r="G75" i="10" s="1"/>
  <c r="F75" i="10" s="1"/>
  <c r="E75" i="10" s="1"/>
  <c r="D75" i="10" s="1"/>
  <c r="C75" i="10" s="1"/>
  <c r="B75" i="10" s="1"/>
  <c r="T75" i="10"/>
  <c r="V75" i="10"/>
  <c r="AZ3" i="10"/>
  <c r="AZ3" i="13" s="1"/>
  <c r="BA3" i="10"/>
  <c r="BA3" i="13" s="1"/>
  <c r="BB3" i="10"/>
  <c r="BB3" i="13" s="1"/>
  <c r="BC3" i="10"/>
  <c r="BC3" i="13" s="1"/>
  <c r="BD3" i="10"/>
  <c r="BD3" i="13" s="1"/>
  <c r="BE3" i="10"/>
  <c r="BE3" i="13" s="1"/>
  <c r="BF3" i="10"/>
  <c r="BF3" i="13" s="1"/>
  <c r="BG3" i="10"/>
  <c r="BG3" i="13" s="1"/>
  <c r="BH3" i="10"/>
  <c r="BH3" i="13" s="1"/>
  <c r="AZ4" i="10"/>
  <c r="AZ4" i="13" s="1"/>
  <c r="BA4" i="10"/>
  <c r="BA4" i="13" s="1"/>
  <c r="BB4" i="10"/>
  <c r="BB4" i="13" s="1"/>
  <c r="BC4" i="10"/>
  <c r="BC4" i="13" s="1"/>
  <c r="BD4" i="10"/>
  <c r="BD4" i="13" s="1"/>
  <c r="BE4" i="10"/>
  <c r="BE4" i="13" s="1"/>
  <c r="BF4" i="10"/>
  <c r="BF4" i="13" s="1"/>
  <c r="BG4" i="10"/>
  <c r="BG4" i="13" s="1"/>
  <c r="BH4" i="10"/>
  <c r="BH4" i="13" s="1"/>
  <c r="AZ5" i="10"/>
  <c r="AZ5" i="13" s="1"/>
  <c r="BA5" i="10"/>
  <c r="BA5" i="13" s="1"/>
  <c r="BB5" i="10"/>
  <c r="BB5" i="13" s="1"/>
  <c r="BC5" i="10"/>
  <c r="BC5" i="13" s="1"/>
  <c r="BD5" i="10"/>
  <c r="BD5" i="13" s="1"/>
  <c r="BE5" i="10"/>
  <c r="BE5" i="13" s="1"/>
  <c r="BF5" i="10"/>
  <c r="BF5" i="13" s="1"/>
  <c r="BG5" i="10"/>
  <c r="BG5" i="13" s="1"/>
  <c r="BH5" i="10"/>
  <c r="BH5" i="13" s="1"/>
  <c r="AZ6" i="10"/>
  <c r="AZ6" i="13" s="1"/>
  <c r="BA6" i="10"/>
  <c r="BA6" i="13" s="1"/>
  <c r="BB6" i="10"/>
  <c r="BB6" i="13" s="1"/>
  <c r="BC6" i="10"/>
  <c r="BC6" i="13" s="1"/>
  <c r="BD6" i="10"/>
  <c r="BD6" i="13" s="1"/>
  <c r="BE6" i="10"/>
  <c r="BE6" i="13" s="1"/>
  <c r="BF6" i="10"/>
  <c r="BF6" i="13" s="1"/>
  <c r="BG6" i="10"/>
  <c r="BG6" i="13" s="1"/>
  <c r="BH6" i="10"/>
  <c r="BH6" i="13" s="1"/>
  <c r="AZ7" i="10"/>
  <c r="AZ7" i="13" s="1"/>
  <c r="BA7" i="10"/>
  <c r="BA7" i="13" s="1"/>
  <c r="BB7" i="10"/>
  <c r="BB7" i="13" s="1"/>
  <c r="BC7" i="10"/>
  <c r="BC7" i="13" s="1"/>
  <c r="BD7" i="10"/>
  <c r="BD7" i="13" s="1"/>
  <c r="BE7" i="10"/>
  <c r="BE7" i="13" s="1"/>
  <c r="BF7" i="10"/>
  <c r="BF7" i="13" s="1"/>
  <c r="BG7" i="10"/>
  <c r="BG7" i="13" s="1"/>
  <c r="BH7" i="10"/>
  <c r="BH7" i="13" s="1"/>
  <c r="AZ8" i="10"/>
  <c r="AZ8" i="13" s="1"/>
  <c r="BA8" i="10"/>
  <c r="BA8" i="13" s="1"/>
  <c r="BB8" i="10"/>
  <c r="BB8" i="13" s="1"/>
  <c r="BC8" i="10"/>
  <c r="BC8" i="13" s="1"/>
  <c r="BD8" i="10"/>
  <c r="BD8" i="13" s="1"/>
  <c r="BE8" i="10"/>
  <c r="BE8" i="13" s="1"/>
  <c r="BF8" i="10"/>
  <c r="BF8" i="13" s="1"/>
  <c r="BG8" i="10"/>
  <c r="BG8" i="13" s="1"/>
  <c r="BH8" i="10"/>
  <c r="BH8" i="13" s="1"/>
  <c r="AZ9" i="10"/>
  <c r="AZ9" i="13" s="1"/>
  <c r="BA9" i="10"/>
  <c r="BA9" i="13" s="1"/>
  <c r="BB9" i="10"/>
  <c r="BB9" i="13" s="1"/>
  <c r="BC9" i="10"/>
  <c r="BC9" i="13" s="1"/>
  <c r="BD9" i="10"/>
  <c r="BD9" i="13" s="1"/>
  <c r="BE9" i="10"/>
  <c r="BE9" i="13" s="1"/>
  <c r="BF9" i="10"/>
  <c r="BF9" i="13" s="1"/>
  <c r="BG9" i="10"/>
  <c r="BG9" i="13" s="1"/>
  <c r="BH9" i="10"/>
  <c r="BH9" i="13" s="1"/>
  <c r="AZ10" i="10"/>
  <c r="AZ10" i="13" s="1"/>
  <c r="BA10" i="10"/>
  <c r="BA10" i="13" s="1"/>
  <c r="BB10" i="10"/>
  <c r="BB10" i="13" s="1"/>
  <c r="BC10" i="10"/>
  <c r="BC10" i="13" s="1"/>
  <c r="BD10" i="10"/>
  <c r="BD10" i="13" s="1"/>
  <c r="BE10" i="10"/>
  <c r="BE10" i="13" s="1"/>
  <c r="BF10" i="10"/>
  <c r="BF10" i="13" s="1"/>
  <c r="BG10" i="10"/>
  <c r="BG10" i="13" s="1"/>
  <c r="BH10" i="10"/>
  <c r="BH10" i="13" s="1"/>
  <c r="AZ11" i="10"/>
  <c r="AZ11" i="13" s="1"/>
  <c r="BA11" i="10"/>
  <c r="BA11" i="13" s="1"/>
  <c r="BB11" i="10"/>
  <c r="BB11" i="13" s="1"/>
  <c r="BC11" i="10"/>
  <c r="BC11" i="13" s="1"/>
  <c r="BD11" i="10"/>
  <c r="BD11" i="13" s="1"/>
  <c r="BE11" i="10"/>
  <c r="BE11" i="13" s="1"/>
  <c r="BF11" i="10"/>
  <c r="BF11" i="13" s="1"/>
  <c r="BG11" i="10"/>
  <c r="BG11" i="13" s="1"/>
  <c r="BH11" i="10"/>
  <c r="BH11" i="13" s="1"/>
  <c r="AZ13" i="10"/>
  <c r="AZ13" i="13" s="1"/>
  <c r="BA13" i="10"/>
  <c r="BA13" i="13" s="1"/>
  <c r="BB13" i="10"/>
  <c r="BB13" i="13" s="1"/>
  <c r="BC13" i="10"/>
  <c r="BC13" i="13" s="1"/>
  <c r="BD13" i="10"/>
  <c r="BD13" i="13" s="1"/>
  <c r="BE13" i="10"/>
  <c r="BE13" i="13" s="1"/>
  <c r="BF13" i="10"/>
  <c r="BF13" i="13" s="1"/>
  <c r="BG13" i="10"/>
  <c r="BG13" i="13" s="1"/>
  <c r="BH13" i="10"/>
  <c r="BH13" i="13" s="1"/>
  <c r="AZ14" i="10"/>
  <c r="AZ14" i="13" s="1"/>
  <c r="BA14" i="10"/>
  <c r="BA14" i="13" s="1"/>
  <c r="BB14" i="10"/>
  <c r="BB14" i="13" s="1"/>
  <c r="BC14" i="10"/>
  <c r="BC14" i="13" s="1"/>
  <c r="BD14" i="10"/>
  <c r="BD14" i="13" s="1"/>
  <c r="BE14" i="10"/>
  <c r="BE14" i="13" s="1"/>
  <c r="BF14" i="10"/>
  <c r="BF14" i="13" s="1"/>
  <c r="BG14" i="10"/>
  <c r="BG14" i="13" s="1"/>
  <c r="BH14" i="10"/>
  <c r="BH14" i="13" s="1"/>
  <c r="AZ15" i="10"/>
  <c r="AZ15" i="13" s="1"/>
  <c r="BA15" i="10"/>
  <c r="BA15" i="13" s="1"/>
  <c r="BB15" i="10"/>
  <c r="BB15" i="13" s="1"/>
  <c r="BC15" i="10"/>
  <c r="BC15" i="13" s="1"/>
  <c r="BD15" i="10"/>
  <c r="BD15" i="13" s="1"/>
  <c r="BE15" i="10"/>
  <c r="BE15" i="13" s="1"/>
  <c r="BF15" i="10"/>
  <c r="BF15" i="13" s="1"/>
  <c r="BG15" i="10"/>
  <c r="BG15" i="13" s="1"/>
  <c r="BH15" i="10"/>
  <c r="BH15" i="13" s="1"/>
  <c r="AZ16" i="10"/>
  <c r="AZ16" i="13" s="1"/>
  <c r="BA16" i="10"/>
  <c r="BA16" i="13" s="1"/>
  <c r="BB16" i="10"/>
  <c r="BB16" i="13" s="1"/>
  <c r="BC16" i="10"/>
  <c r="BC16" i="13" s="1"/>
  <c r="BD16" i="10"/>
  <c r="BD16" i="13" s="1"/>
  <c r="BE16" i="10"/>
  <c r="BE16" i="13" s="1"/>
  <c r="BF16" i="10"/>
  <c r="BF16" i="13" s="1"/>
  <c r="BG16" i="10"/>
  <c r="BG16" i="13" s="1"/>
  <c r="BH16" i="10"/>
  <c r="BH16" i="13" s="1"/>
  <c r="AZ17" i="10"/>
  <c r="AZ17" i="13" s="1"/>
  <c r="BA17" i="10"/>
  <c r="BA17" i="13" s="1"/>
  <c r="BB17" i="10"/>
  <c r="BB17" i="13" s="1"/>
  <c r="BC17" i="10"/>
  <c r="BC17" i="13" s="1"/>
  <c r="BD17" i="10"/>
  <c r="BD17" i="13" s="1"/>
  <c r="BE17" i="10"/>
  <c r="BE17" i="13" s="1"/>
  <c r="BF17" i="10"/>
  <c r="BF17" i="13" s="1"/>
  <c r="BG17" i="10"/>
  <c r="BG17" i="13" s="1"/>
  <c r="BH17" i="10"/>
  <c r="BH17" i="13" s="1"/>
  <c r="AZ18" i="10"/>
  <c r="AZ18" i="13" s="1"/>
  <c r="BA18" i="10"/>
  <c r="BA18" i="13" s="1"/>
  <c r="BB18" i="10"/>
  <c r="BB18" i="13" s="1"/>
  <c r="BC18" i="10"/>
  <c r="BC18" i="13" s="1"/>
  <c r="BD18" i="10"/>
  <c r="BD18" i="13" s="1"/>
  <c r="BE18" i="10"/>
  <c r="BE18" i="13" s="1"/>
  <c r="BF18" i="10"/>
  <c r="BF18" i="13" s="1"/>
  <c r="BG18" i="10"/>
  <c r="BG18" i="13" s="1"/>
  <c r="BH18" i="10"/>
  <c r="BH18" i="13" s="1"/>
  <c r="AZ19" i="10"/>
  <c r="AZ19" i="13" s="1"/>
  <c r="BA19" i="10"/>
  <c r="BA19" i="13" s="1"/>
  <c r="BB19" i="10"/>
  <c r="BB19" i="13" s="1"/>
  <c r="BC19" i="10"/>
  <c r="BC19" i="13" s="1"/>
  <c r="BD19" i="10"/>
  <c r="BD19" i="13" s="1"/>
  <c r="BE19" i="10"/>
  <c r="BE19" i="13" s="1"/>
  <c r="BF19" i="10"/>
  <c r="BF19" i="13" s="1"/>
  <c r="BG19" i="10"/>
  <c r="BG19" i="13" s="1"/>
  <c r="BH19" i="10"/>
  <c r="BH19" i="13" s="1"/>
  <c r="AZ20" i="10"/>
  <c r="AZ20" i="13" s="1"/>
  <c r="BA20" i="10"/>
  <c r="BA20" i="13" s="1"/>
  <c r="BB20" i="10"/>
  <c r="BB20" i="13" s="1"/>
  <c r="BC20" i="10"/>
  <c r="BC20" i="13" s="1"/>
  <c r="BD20" i="10"/>
  <c r="BD20" i="13" s="1"/>
  <c r="BE20" i="10"/>
  <c r="BE20" i="13" s="1"/>
  <c r="BF20" i="10"/>
  <c r="BF20" i="13" s="1"/>
  <c r="BG20" i="10"/>
  <c r="BG20" i="13" s="1"/>
  <c r="BH20" i="10"/>
  <c r="BH20" i="13" s="1"/>
  <c r="AZ21" i="10"/>
  <c r="AZ21" i="13" s="1"/>
  <c r="BA21" i="10"/>
  <c r="BA21" i="13" s="1"/>
  <c r="BB21" i="10"/>
  <c r="BB21" i="13" s="1"/>
  <c r="BC21" i="10"/>
  <c r="BC21" i="13" s="1"/>
  <c r="BD21" i="10"/>
  <c r="BD21" i="13" s="1"/>
  <c r="BE21" i="10"/>
  <c r="BE21" i="13" s="1"/>
  <c r="BF21" i="10"/>
  <c r="BF21" i="13" s="1"/>
  <c r="BG21" i="10"/>
  <c r="BG21" i="13" s="1"/>
  <c r="BH21" i="10"/>
  <c r="BH21" i="13" s="1"/>
  <c r="AZ22" i="10"/>
  <c r="AZ22" i="13" s="1"/>
  <c r="BA22" i="10"/>
  <c r="BA22" i="13" s="1"/>
  <c r="BB22" i="10"/>
  <c r="BB22" i="13" s="1"/>
  <c r="BC22" i="10"/>
  <c r="BC22" i="13" s="1"/>
  <c r="BD22" i="10"/>
  <c r="BD22" i="13" s="1"/>
  <c r="BE22" i="10"/>
  <c r="BE22" i="13" s="1"/>
  <c r="BF22" i="10"/>
  <c r="BF22" i="13" s="1"/>
  <c r="BG22" i="10"/>
  <c r="BG22" i="13" s="1"/>
  <c r="BH22" i="10"/>
  <c r="BH22" i="13" s="1"/>
  <c r="AZ23" i="10"/>
  <c r="AZ23" i="13" s="1"/>
  <c r="BA23" i="10"/>
  <c r="BA23" i="13" s="1"/>
  <c r="BB23" i="10"/>
  <c r="BB23" i="13" s="1"/>
  <c r="BC23" i="10"/>
  <c r="BC23" i="13" s="1"/>
  <c r="BD23" i="10"/>
  <c r="BD23" i="13" s="1"/>
  <c r="BE23" i="10"/>
  <c r="BE23" i="13" s="1"/>
  <c r="BF23" i="10"/>
  <c r="BF23" i="13" s="1"/>
  <c r="BG23" i="10"/>
  <c r="BG23" i="13" s="1"/>
  <c r="BH23" i="10"/>
  <c r="BH23" i="13" s="1"/>
  <c r="AZ24" i="10"/>
  <c r="AZ24" i="13" s="1"/>
  <c r="BA24" i="10"/>
  <c r="BA24" i="13" s="1"/>
  <c r="BB24" i="10"/>
  <c r="BB24" i="13" s="1"/>
  <c r="BC24" i="10"/>
  <c r="BC24" i="13" s="1"/>
  <c r="BD24" i="10"/>
  <c r="BD24" i="13" s="1"/>
  <c r="BE24" i="10"/>
  <c r="BE24" i="13" s="1"/>
  <c r="BF24" i="10"/>
  <c r="BF24" i="13" s="1"/>
  <c r="BG24" i="10"/>
  <c r="BG24" i="13" s="1"/>
  <c r="BH24" i="10"/>
  <c r="BH24" i="13" s="1"/>
  <c r="AZ25" i="10"/>
  <c r="AZ25" i="13" s="1"/>
  <c r="BA25" i="10"/>
  <c r="BA25" i="13" s="1"/>
  <c r="BB25" i="10"/>
  <c r="BB25" i="13" s="1"/>
  <c r="BC25" i="10"/>
  <c r="BC25" i="13" s="1"/>
  <c r="BD25" i="10"/>
  <c r="BD25" i="13" s="1"/>
  <c r="BE25" i="10"/>
  <c r="BE25" i="13" s="1"/>
  <c r="BF25" i="10"/>
  <c r="BF25" i="13" s="1"/>
  <c r="BG25" i="10"/>
  <c r="BG25" i="13" s="1"/>
  <c r="BH25" i="10"/>
  <c r="BH25" i="13" s="1"/>
  <c r="AZ26" i="10"/>
  <c r="AZ26" i="13" s="1"/>
  <c r="BA26" i="10"/>
  <c r="BA26" i="13" s="1"/>
  <c r="BB26" i="10"/>
  <c r="BB26" i="13" s="1"/>
  <c r="BC26" i="10"/>
  <c r="BC26" i="13" s="1"/>
  <c r="BD26" i="10"/>
  <c r="BD26" i="13" s="1"/>
  <c r="BE26" i="10"/>
  <c r="BE26" i="13" s="1"/>
  <c r="BF26" i="10"/>
  <c r="BF26" i="13" s="1"/>
  <c r="BG26" i="10"/>
  <c r="BG26" i="13" s="1"/>
  <c r="BH26" i="10"/>
  <c r="BH26" i="13" s="1"/>
  <c r="AZ27" i="10"/>
  <c r="AZ27" i="13" s="1"/>
  <c r="BA27" i="10"/>
  <c r="BA27" i="13" s="1"/>
  <c r="BB27" i="10"/>
  <c r="BB27" i="13" s="1"/>
  <c r="BC27" i="10"/>
  <c r="BC27" i="13" s="1"/>
  <c r="BD27" i="10"/>
  <c r="BD27" i="13" s="1"/>
  <c r="BE27" i="10"/>
  <c r="BE27" i="13" s="1"/>
  <c r="BF27" i="10"/>
  <c r="BF27" i="13" s="1"/>
  <c r="BG27" i="10"/>
  <c r="BG27" i="13" s="1"/>
  <c r="BH27" i="10"/>
  <c r="BH27" i="13" s="1"/>
  <c r="AZ28" i="10"/>
  <c r="AZ28" i="13" s="1"/>
  <c r="BA28" i="10"/>
  <c r="BA28" i="13" s="1"/>
  <c r="BB28" i="10"/>
  <c r="BB28" i="13" s="1"/>
  <c r="BC28" i="10"/>
  <c r="BC28" i="13" s="1"/>
  <c r="BD28" i="10"/>
  <c r="BD28" i="13" s="1"/>
  <c r="BE28" i="10"/>
  <c r="BE28" i="13" s="1"/>
  <c r="BF28" i="10"/>
  <c r="BF28" i="13" s="1"/>
  <c r="BG28" i="10"/>
  <c r="BG28" i="13" s="1"/>
  <c r="BH28" i="10"/>
  <c r="BH28" i="13" s="1"/>
  <c r="AZ29" i="10"/>
  <c r="AZ29" i="13" s="1"/>
  <c r="BA29" i="10"/>
  <c r="BA29" i="13" s="1"/>
  <c r="BB29" i="10"/>
  <c r="BB29" i="13" s="1"/>
  <c r="BC29" i="10"/>
  <c r="BC29" i="13" s="1"/>
  <c r="BD29" i="10"/>
  <c r="BD29" i="13" s="1"/>
  <c r="BE29" i="10"/>
  <c r="BE29" i="13" s="1"/>
  <c r="BF29" i="10"/>
  <c r="BF29" i="13" s="1"/>
  <c r="BG29" i="10"/>
  <c r="BG29" i="13" s="1"/>
  <c r="BH29" i="10"/>
  <c r="BH29" i="13" s="1"/>
  <c r="AZ30" i="10"/>
  <c r="AZ30" i="13" s="1"/>
  <c r="BA30" i="10"/>
  <c r="BA30" i="13" s="1"/>
  <c r="BB30" i="10"/>
  <c r="BB30" i="13" s="1"/>
  <c r="BC30" i="10"/>
  <c r="BC30" i="13" s="1"/>
  <c r="BD30" i="10"/>
  <c r="BD30" i="13" s="1"/>
  <c r="BE30" i="10"/>
  <c r="BE30" i="13" s="1"/>
  <c r="BF30" i="10"/>
  <c r="BF30" i="13" s="1"/>
  <c r="BG30" i="10"/>
  <c r="BG30" i="13" s="1"/>
  <c r="BH30" i="10"/>
  <c r="BH30" i="13" s="1"/>
  <c r="AZ31" i="10"/>
  <c r="AZ31" i="13" s="1"/>
  <c r="BA31" i="10"/>
  <c r="BA31" i="13" s="1"/>
  <c r="BB31" i="10"/>
  <c r="BB31" i="13" s="1"/>
  <c r="BC31" i="10"/>
  <c r="BC31" i="13" s="1"/>
  <c r="BD31" i="10"/>
  <c r="BD31" i="13" s="1"/>
  <c r="BE31" i="10"/>
  <c r="BE31" i="13" s="1"/>
  <c r="BF31" i="10"/>
  <c r="BF31" i="13" s="1"/>
  <c r="BG31" i="10"/>
  <c r="BG31" i="13" s="1"/>
  <c r="BH31" i="10"/>
  <c r="BH31" i="13" s="1"/>
  <c r="AZ32" i="10"/>
  <c r="AZ32" i="13" s="1"/>
  <c r="BA32" i="10"/>
  <c r="BA32" i="13" s="1"/>
  <c r="BB32" i="10"/>
  <c r="BB32" i="13" s="1"/>
  <c r="BC32" i="10"/>
  <c r="BC32" i="13" s="1"/>
  <c r="BD32" i="10"/>
  <c r="BD32" i="13" s="1"/>
  <c r="BE32" i="10"/>
  <c r="BE32" i="13" s="1"/>
  <c r="BF32" i="10"/>
  <c r="BF32" i="13" s="1"/>
  <c r="BG32" i="10"/>
  <c r="BG32" i="13" s="1"/>
  <c r="BH32" i="10"/>
  <c r="BH32" i="13" s="1"/>
  <c r="AZ33" i="10"/>
  <c r="AZ33" i="13" s="1"/>
  <c r="BA33" i="10"/>
  <c r="BA33" i="13" s="1"/>
  <c r="BB33" i="10"/>
  <c r="BB33" i="13" s="1"/>
  <c r="BC33" i="10"/>
  <c r="BC33" i="13" s="1"/>
  <c r="BD33" i="10"/>
  <c r="BD33" i="13" s="1"/>
  <c r="BE33" i="10"/>
  <c r="BE33" i="13" s="1"/>
  <c r="BF33" i="10"/>
  <c r="BF33" i="13" s="1"/>
  <c r="BG33" i="10"/>
  <c r="BG33" i="13" s="1"/>
  <c r="BH33" i="10"/>
  <c r="BH33" i="13" s="1"/>
  <c r="AZ34" i="10"/>
  <c r="AZ34" i="13" s="1"/>
  <c r="BA34" i="10"/>
  <c r="BA34" i="13" s="1"/>
  <c r="BB34" i="10"/>
  <c r="BB34" i="13" s="1"/>
  <c r="BC34" i="10"/>
  <c r="BC34" i="13" s="1"/>
  <c r="BD34" i="10"/>
  <c r="BD34" i="13" s="1"/>
  <c r="BE34" i="10"/>
  <c r="BE34" i="13" s="1"/>
  <c r="BF34" i="10"/>
  <c r="BF34" i="13" s="1"/>
  <c r="BG34" i="10"/>
  <c r="BG34" i="13" s="1"/>
  <c r="BH34" i="10"/>
  <c r="BH34" i="13" s="1"/>
  <c r="AZ35" i="10"/>
  <c r="AZ35" i="13" s="1"/>
  <c r="BA35" i="10"/>
  <c r="BA35" i="13" s="1"/>
  <c r="BB35" i="10"/>
  <c r="BB35" i="13" s="1"/>
  <c r="BC35" i="10"/>
  <c r="BC35" i="13" s="1"/>
  <c r="BD35" i="10"/>
  <c r="BD35" i="13" s="1"/>
  <c r="BE35" i="10"/>
  <c r="BE35" i="13" s="1"/>
  <c r="BF35" i="10"/>
  <c r="BF35" i="13" s="1"/>
  <c r="BG35" i="10"/>
  <c r="BG35" i="13" s="1"/>
  <c r="BH35" i="10"/>
  <c r="BH35" i="13" s="1"/>
  <c r="AZ36" i="10"/>
  <c r="AZ36" i="13" s="1"/>
  <c r="BA36" i="10"/>
  <c r="BA36" i="13" s="1"/>
  <c r="BB36" i="10"/>
  <c r="BB36" i="13" s="1"/>
  <c r="BC36" i="10"/>
  <c r="BC36" i="13" s="1"/>
  <c r="BD36" i="10"/>
  <c r="BD36" i="13" s="1"/>
  <c r="BE36" i="10"/>
  <c r="BE36" i="13" s="1"/>
  <c r="BF36" i="10"/>
  <c r="BF36" i="13" s="1"/>
  <c r="BG36" i="10"/>
  <c r="BG36" i="13" s="1"/>
  <c r="BH36" i="10"/>
  <c r="BH36" i="13" s="1"/>
  <c r="AZ37" i="10"/>
  <c r="AZ37" i="13" s="1"/>
  <c r="BA37" i="10"/>
  <c r="BA37" i="13" s="1"/>
  <c r="BB37" i="10"/>
  <c r="BB37" i="13" s="1"/>
  <c r="BC37" i="10"/>
  <c r="BC37" i="13" s="1"/>
  <c r="BD37" i="10"/>
  <c r="BD37" i="13" s="1"/>
  <c r="BE37" i="10"/>
  <c r="BE37" i="13" s="1"/>
  <c r="BF37" i="10"/>
  <c r="BF37" i="13" s="1"/>
  <c r="BG37" i="10"/>
  <c r="BG37" i="13" s="1"/>
  <c r="BH37" i="10"/>
  <c r="BH37" i="13" s="1"/>
  <c r="AZ38" i="10"/>
  <c r="AZ38" i="13" s="1"/>
  <c r="BA38" i="10"/>
  <c r="BA38" i="13" s="1"/>
  <c r="BB38" i="10"/>
  <c r="BB38" i="13" s="1"/>
  <c r="BC38" i="10"/>
  <c r="BC38" i="13" s="1"/>
  <c r="BD38" i="10"/>
  <c r="BD38" i="13" s="1"/>
  <c r="BE38" i="10"/>
  <c r="BE38" i="13" s="1"/>
  <c r="BF38" i="10"/>
  <c r="BF38" i="13" s="1"/>
  <c r="BG38" i="10"/>
  <c r="BG38" i="13" s="1"/>
  <c r="BH38" i="10"/>
  <c r="BH38" i="13" s="1"/>
  <c r="AZ39" i="10"/>
  <c r="AZ39" i="13" s="1"/>
  <c r="BA39" i="10"/>
  <c r="BA39" i="13" s="1"/>
  <c r="BB39" i="10"/>
  <c r="BB39" i="13" s="1"/>
  <c r="BC39" i="10"/>
  <c r="BC39" i="13" s="1"/>
  <c r="BD39" i="10"/>
  <c r="BD39" i="13" s="1"/>
  <c r="BE39" i="10"/>
  <c r="BE39" i="13" s="1"/>
  <c r="BF39" i="10"/>
  <c r="BF39" i="13" s="1"/>
  <c r="BG39" i="10"/>
  <c r="BG39" i="13" s="1"/>
  <c r="BH39" i="10"/>
  <c r="BH39" i="13" s="1"/>
  <c r="AZ40" i="10"/>
  <c r="AZ40" i="13" s="1"/>
  <c r="BA40" i="10"/>
  <c r="BA40" i="13" s="1"/>
  <c r="BB40" i="10"/>
  <c r="BB40" i="13" s="1"/>
  <c r="BC40" i="10"/>
  <c r="BC40" i="13" s="1"/>
  <c r="BD40" i="10"/>
  <c r="BD40" i="13" s="1"/>
  <c r="BE40" i="10"/>
  <c r="BE40" i="13" s="1"/>
  <c r="BF40" i="10"/>
  <c r="BF40" i="13" s="1"/>
  <c r="BG40" i="10"/>
  <c r="BG40" i="13" s="1"/>
  <c r="BH40" i="10"/>
  <c r="BH40" i="13" s="1"/>
  <c r="AZ41" i="10"/>
  <c r="AZ41" i="13" s="1"/>
  <c r="BA41" i="10"/>
  <c r="BA41" i="13" s="1"/>
  <c r="BB41" i="10"/>
  <c r="BB41" i="13" s="1"/>
  <c r="BC41" i="10"/>
  <c r="BC41" i="13" s="1"/>
  <c r="BD41" i="10"/>
  <c r="BD41" i="13" s="1"/>
  <c r="BE41" i="10"/>
  <c r="BE41" i="13" s="1"/>
  <c r="BF41" i="10"/>
  <c r="BF41" i="13" s="1"/>
  <c r="BG41" i="10"/>
  <c r="BG41" i="13" s="1"/>
  <c r="BH41" i="10"/>
  <c r="BH41" i="13" s="1"/>
  <c r="AZ42" i="10"/>
  <c r="AZ42" i="13" s="1"/>
  <c r="BA42" i="10"/>
  <c r="BA42" i="13" s="1"/>
  <c r="BB42" i="10"/>
  <c r="BB42" i="13" s="1"/>
  <c r="BC42" i="10"/>
  <c r="BC42" i="13" s="1"/>
  <c r="BD42" i="10"/>
  <c r="BD42" i="13" s="1"/>
  <c r="BE42" i="10"/>
  <c r="BE42" i="13" s="1"/>
  <c r="BF42" i="10"/>
  <c r="BF42" i="13" s="1"/>
  <c r="BG42" i="10"/>
  <c r="BG42" i="13" s="1"/>
  <c r="BH42" i="10"/>
  <c r="BH42" i="13" s="1"/>
  <c r="AZ43" i="10"/>
  <c r="AZ43" i="13" s="1"/>
  <c r="BA43" i="10"/>
  <c r="BA43" i="13" s="1"/>
  <c r="BB43" i="10"/>
  <c r="BB43" i="13" s="1"/>
  <c r="BC43" i="10"/>
  <c r="BC43" i="13" s="1"/>
  <c r="BD43" i="10"/>
  <c r="BD43" i="13" s="1"/>
  <c r="BE43" i="10"/>
  <c r="BE43" i="13" s="1"/>
  <c r="BF43" i="10"/>
  <c r="BF43" i="13" s="1"/>
  <c r="BG43" i="10"/>
  <c r="BG43" i="13" s="1"/>
  <c r="BH43" i="10"/>
  <c r="BH43" i="13" s="1"/>
  <c r="AZ44" i="10"/>
  <c r="AZ44" i="13" s="1"/>
  <c r="BA44" i="10"/>
  <c r="BA44" i="13" s="1"/>
  <c r="BB44" i="10"/>
  <c r="BB44" i="13" s="1"/>
  <c r="BC44" i="10"/>
  <c r="BC44" i="13" s="1"/>
  <c r="BD44" i="10"/>
  <c r="BD44" i="13" s="1"/>
  <c r="BE44" i="10"/>
  <c r="BE44" i="13" s="1"/>
  <c r="BF44" i="10"/>
  <c r="BF44" i="13" s="1"/>
  <c r="BG44" i="10"/>
  <c r="BG44" i="13" s="1"/>
  <c r="BH44" i="10"/>
  <c r="BH44" i="13" s="1"/>
  <c r="AZ45" i="10"/>
  <c r="AZ45" i="13" s="1"/>
  <c r="BA45" i="10"/>
  <c r="BA45" i="13" s="1"/>
  <c r="BB45" i="10"/>
  <c r="BB45" i="13" s="1"/>
  <c r="BC45" i="10"/>
  <c r="BC45" i="13" s="1"/>
  <c r="BD45" i="10"/>
  <c r="BD45" i="13" s="1"/>
  <c r="BE45" i="10"/>
  <c r="BE45" i="13" s="1"/>
  <c r="BF45" i="10"/>
  <c r="BF45" i="13" s="1"/>
  <c r="BG45" i="10"/>
  <c r="BG45" i="13" s="1"/>
  <c r="BH45" i="10"/>
  <c r="BH45" i="13" s="1"/>
  <c r="AZ46" i="10"/>
  <c r="AZ46" i="13" s="1"/>
  <c r="BA46" i="10"/>
  <c r="BA46" i="13" s="1"/>
  <c r="BB46" i="10"/>
  <c r="BB46" i="13" s="1"/>
  <c r="BC46" i="10"/>
  <c r="BC46" i="13" s="1"/>
  <c r="BD46" i="10"/>
  <c r="BD46" i="13" s="1"/>
  <c r="BE46" i="10"/>
  <c r="BE46" i="13" s="1"/>
  <c r="BF46" i="10"/>
  <c r="BF46" i="13" s="1"/>
  <c r="BG46" i="10"/>
  <c r="BG46" i="13" s="1"/>
  <c r="BH46" i="10"/>
  <c r="BH46" i="13" s="1"/>
  <c r="AZ47" i="10"/>
  <c r="AZ47" i="13" s="1"/>
  <c r="BA47" i="10"/>
  <c r="BA47" i="13" s="1"/>
  <c r="BB47" i="10"/>
  <c r="BB47" i="13" s="1"/>
  <c r="BC47" i="10"/>
  <c r="BC47" i="13" s="1"/>
  <c r="BD47" i="10"/>
  <c r="BD47" i="13" s="1"/>
  <c r="BE47" i="10"/>
  <c r="BE47" i="13" s="1"/>
  <c r="BF47" i="10"/>
  <c r="BF47" i="13" s="1"/>
  <c r="BG47" i="10"/>
  <c r="BG47" i="13" s="1"/>
  <c r="BH47" i="10"/>
  <c r="BH47" i="13" s="1"/>
  <c r="AZ48" i="10"/>
  <c r="AZ48" i="13" s="1"/>
  <c r="BA48" i="10"/>
  <c r="BA48" i="13" s="1"/>
  <c r="BB48" i="10"/>
  <c r="BB48" i="13" s="1"/>
  <c r="BC48" i="10"/>
  <c r="BC48" i="13" s="1"/>
  <c r="BD48" i="10"/>
  <c r="BD48" i="13" s="1"/>
  <c r="BE48" i="10"/>
  <c r="BE48" i="13" s="1"/>
  <c r="BF48" i="10"/>
  <c r="BF48" i="13" s="1"/>
  <c r="BG48" i="10"/>
  <c r="BG48" i="13" s="1"/>
  <c r="BH48" i="10"/>
  <c r="BH48" i="13" s="1"/>
  <c r="AZ49" i="10"/>
  <c r="AZ49" i="13" s="1"/>
  <c r="BA49" i="10"/>
  <c r="BA49" i="13" s="1"/>
  <c r="BB49" i="10"/>
  <c r="BB49" i="13" s="1"/>
  <c r="BC49" i="10"/>
  <c r="BC49" i="13" s="1"/>
  <c r="BD49" i="10"/>
  <c r="BD49" i="13" s="1"/>
  <c r="BE49" i="10"/>
  <c r="BE49" i="13" s="1"/>
  <c r="BF49" i="10"/>
  <c r="BF49" i="13" s="1"/>
  <c r="BG49" i="10"/>
  <c r="BG49" i="13" s="1"/>
  <c r="BH49" i="10"/>
  <c r="BH49" i="13" s="1"/>
  <c r="AZ50" i="10"/>
  <c r="AZ50" i="13" s="1"/>
  <c r="BA50" i="10"/>
  <c r="BA50" i="13" s="1"/>
  <c r="BB50" i="10"/>
  <c r="BB50" i="13" s="1"/>
  <c r="BC50" i="10"/>
  <c r="BC50" i="13" s="1"/>
  <c r="BD50" i="10"/>
  <c r="BD50" i="13" s="1"/>
  <c r="BE50" i="10"/>
  <c r="BE50" i="13" s="1"/>
  <c r="BF50" i="10"/>
  <c r="BF50" i="13" s="1"/>
  <c r="BG50" i="10"/>
  <c r="BG50" i="13" s="1"/>
  <c r="BH50" i="10"/>
  <c r="BH50" i="13" s="1"/>
  <c r="AZ51" i="10"/>
  <c r="AZ51" i="13" s="1"/>
  <c r="BA51" i="10"/>
  <c r="BA51" i="13" s="1"/>
  <c r="BB51" i="10"/>
  <c r="BB51" i="13" s="1"/>
  <c r="BC51" i="10"/>
  <c r="BC51" i="13" s="1"/>
  <c r="BD51" i="10"/>
  <c r="BD51" i="13" s="1"/>
  <c r="BE51" i="10"/>
  <c r="BE51" i="13" s="1"/>
  <c r="BF51" i="10"/>
  <c r="BF51" i="13" s="1"/>
  <c r="BG51" i="10"/>
  <c r="BG51" i="13" s="1"/>
  <c r="BH51" i="10"/>
  <c r="BH51" i="13" s="1"/>
  <c r="AZ52" i="10"/>
  <c r="AZ52" i="13" s="1"/>
  <c r="BA52" i="10"/>
  <c r="BA52" i="13" s="1"/>
  <c r="BB52" i="10"/>
  <c r="BB52" i="13" s="1"/>
  <c r="BC52" i="10"/>
  <c r="BC52" i="13" s="1"/>
  <c r="BD52" i="10"/>
  <c r="BD52" i="13" s="1"/>
  <c r="BE52" i="10"/>
  <c r="BE52" i="13" s="1"/>
  <c r="BF52" i="10"/>
  <c r="BF52" i="13" s="1"/>
  <c r="BG52" i="10"/>
  <c r="BG52" i="13" s="1"/>
  <c r="BH52" i="10"/>
  <c r="BH52" i="13" s="1"/>
  <c r="AZ53" i="10"/>
  <c r="AZ53" i="13" s="1"/>
  <c r="BA53" i="10"/>
  <c r="BA53" i="13" s="1"/>
  <c r="BB53" i="10"/>
  <c r="BB53" i="13" s="1"/>
  <c r="BC53" i="10"/>
  <c r="BC53" i="13" s="1"/>
  <c r="BD53" i="10"/>
  <c r="BD53" i="13" s="1"/>
  <c r="BE53" i="10"/>
  <c r="BE53" i="13" s="1"/>
  <c r="BF53" i="10"/>
  <c r="BF53" i="13" s="1"/>
  <c r="BG53" i="10"/>
  <c r="BG53" i="13" s="1"/>
  <c r="BH53" i="10"/>
  <c r="BH53" i="13" s="1"/>
  <c r="AZ54" i="10"/>
  <c r="AZ54" i="13" s="1"/>
  <c r="BA54" i="10"/>
  <c r="BA54" i="13" s="1"/>
  <c r="BB54" i="10"/>
  <c r="BB54" i="13" s="1"/>
  <c r="BC54" i="10"/>
  <c r="BC54" i="13" s="1"/>
  <c r="BD54" i="10"/>
  <c r="BD54" i="13" s="1"/>
  <c r="BE54" i="10"/>
  <c r="BE54" i="13" s="1"/>
  <c r="BF54" i="10"/>
  <c r="BF54" i="13" s="1"/>
  <c r="BG54" i="10"/>
  <c r="BG54" i="13" s="1"/>
  <c r="BH54" i="10"/>
  <c r="BH54" i="13" s="1"/>
  <c r="AZ57" i="10"/>
  <c r="AZ57" i="13" s="1"/>
  <c r="BA57" i="10"/>
  <c r="BA57" i="13" s="1"/>
  <c r="BB57" i="10"/>
  <c r="BB57" i="13" s="1"/>
  <c r="BC57" i="10"/>
  <c r="BC57" i="13" s="1"/>
  <c r="BD57" i="10"/>
  <c r="BD57" i="13" s="1"/>
  <c r="BE57" i="10"/>
  <c r="BE57" i="13" s="1"/>
  <c r="BF57" i="10"/>
  <c r="BF57" i="13" s="1"/>
  <c r="BG57" i="10"/>
  <c r="BG57" i="13" s="1"/>
  <c r="BH57" i="10"/>
  <c r="BH57" i="13" s="1"/>
  <c r="AZ58" i="10"/>
  <c r="AZ58" i="13" s="1"/>
  <c r="BA58" i="10"/>
  <c r="BA58" i="13" s="1"/>
  <c r="BB58" i="10"/>
  <c r="BB58" i="13" s="1"/>
  <c r="BC58" i="10"/>
  <c r="BC58" i="13" s="1"/>
  <c r="BD58" i="10"/>
  <c r="BD58" i="13" s="1"/>
  <c r="BE58" i="10"/>
  <c r="BE58" i="13" s="1"/>
  <c r="BF58" i="10"/>
  <c r="BF58" i="13" s="1"/>
  <c r="BG58" i="10"/>
  <c r="BG58" i="13" s="1"/>
  <c r="BH58" i="10"/>
  <c r="BH58" i="13" s="1"/>
  <c r="AZ59" i="10"/>
  <c r="AZ59" i="13" s="1"/>
  <c r="BA59" i="10"/>
  <c r="BA59" i="13" s="1"/>
  <c r="BB59" i="10"/>
  <c r="BB59" i="13" s="1"/>
  <c r="BC59" i="10"/>
  <c r="BC59" i="13" s="1"/>
  <c r="BD59" i="10"/>
  <c r="BD59" i="13" s="1"/>
  <c r="BE59" i="10"/>
  <c r="BE59" i="13" s="1"/>
  <c r="BF59" i="10"/>
  <c r="BF59" i="13" s="1"/>
  <c r="BG59" i="10"/>
  <c r="BG59" i="13" s="1"/>
  <c r="BH59" i="10"/>
  <c r="BH59" i="13" s="1"/>
  <c r="AZ60" i="10"/>
  <c r="AZ60" i="13" s="1"/>
  <c r="BA60" i="10"/>
  <c r="BA60" i="13" s="1"/>
  <c r="BB60" i="10"/>
  <c r="BB60" i="13" s="1"/>
  <c r="BC60" i="10"/>
  <c r="BC60" i="13" s="1"/>
  <c r="BD60" i="10"/>
  <c r="BD60" i="13" s="1"/>
  <c r="BE60" i="10"/>
  <c r="BE60" i="13" s="1"/>
  <c r="BF60" i="10"/>
  <c r="BF60" i="13" s="1"/>
  <c r="BG60" i="10"/>
  <c r="BG60" i="13" s="1"/>
  <c r="BH60" i="10"/>
  <c r="BH60" i="13" s="1"/>
  <c r="AZ61" i="10"/>
  <c r="AZ61" i="13" s="1"/>
  <c r="BA61" i="10"/>
  <c r="BA61" i="13" s="1"/>
  <c r="BB61" i="10"/>
  <c r="BB61" i="13" s="1"/>
  <c r="BC61" i="10"/>
  <c r="BC61" i="13" s="1"/>
  <c r="BD61" i="10"/>
  <c r="BD61" i="13" s="1"/>
  <c r="BE61" i="10"/>
  <c r="BE61" i="13" s="1"/>
  <c r="BF61" i="10"/>
  <c r="BF61" i="13" s="1"/>
  <c r="BG61" i="10"/>
  <c r="BG61" i="13" s="1"/>
  <c r="BH61" i="10"/>
  <c r="BH61" i="13" s="1"/>
  <c r="AZ62" i="10"/>
  <c r="AZ62" i="13" s="1"/>
  <c r="BA62" i="10"/>
  <c r="BA62" i="13" s="1"/>
  <c r="BB62" i="10"/>
  <c r="BB62" i="13" s="1"/>
  <c r="BC62" i="10"/>
  <c r="BC62" i="13" s="1"/>
  <c r="BD62" i="10"/>
  <c r="BD62" i="13" s="1"/>
  <c r="BE62" i="10"/>
  <c r="BE62" i="13" s="1"/>
  <c r="BF62" i="10"/>
  <c r="BF62" i="13" s="1"/>
  <c r="BG62" i="10"/>
  <c r="BG62" i="13" s="1"/>
  <c r="BH62" i="10"/>
  <c r="BH62" i="13" s="1"/>
  <c r="AZ63" i="10"/>
  <c r="AZ63" i="13" s="1"/>
  <c r="BA63" i="10"/>
  <c r="BA63" i="13" s="1"/>
  <c r="BB63" i="10"/>
  <c r="BB63" i="13" s="1"/>
  <c r="BC63" i="10"/>
  <c r="BC63" i="13" s="1"/>
  <c r="BD63" i="10"/>
  <c r="BD63" i="13" s="1"/>
  <c r="BE63" i="10"/>
  <c r="BE63" i="13" s="1"/>
  <c r="BF63" i="10"/>
  <c r="BF63" i="13" s="1"/>
  <c r="BG63" i="10"/>
  <c r="BG63" i="13" s="1"/>
  <c r="BH63" i="10"/>
  <c r="BH63" i="13" s="1"/>
  <c r="AZ64" i="10"/>
  <c r="AZ64" i="13" s="1"/>
  <c r="BA64" i="10"/>
  <c r="BA64" i="13" s="1"/>
  <c r="BB64" i="10"/>
  <c r="BB64" i="13" s="1"/>
  <c r="BC64" i="10"/>
  <c r="BC64" i="13" s="1"/>
  <c r="BD64" i="10"/>
  <c r="BD64" i="13" s="1"/>
  <c r="BE64" i="10"/>
  <c r="BE64" i="13" s="1"/>
  <c r="BF64" i="10"/>
  <c r="BF64" i="13" s="1"/>
  <c r="BG64" i="10"/>
  <c r="BG64" i="13" s="1"/>
  <c r="BH64" i="10"/>
  <c r="BH64" i="13" s="1"/>
  <c r="AZ65" i="10"/>
  <c r="AZ65" i="13" s="1"/>
  <c r="BA65" i="10"/>
  <c r="BA65" i="13" s="1"/>
  <c r="BB65" i="10"/>
  <c r="BB65" i="13" s="1"/>
  <c r="BC65" i="10"/>
  <c r="BC65" i="13" s="1"/>
  <c r="BD65" i="10"/>
  <c r="BD65" i="13" s="1"/>
  <c r="BE65" i="10"/>
  <c r="BE65" i="13" s="1"/>
  <c r="BF65" i="10"/>
  <c r="BF65" i="13" s="1"/>
  <c r="BG65" i="10"/>
  <c r="BG65" i="13" s="1"/>
  <c r="BH65" i="10"/>
  <c r="BH65" i="13" s="1"/>
  <c r="AZ66" i="10"/>
  <c r="AZ66" i="13" s="1"/>
  <c r="BA66" i="10"/>
  <c r="BA66" i="13" s="1"/>
  <c r="BB66" i="10"/>
  <c r="BB66" i="13" s="1"/>
  <c r="BC66" i="10"/>
  <c r="BC66" i="13" s="1"/>
  <c r="BD66" i="10"/>
  <c r="BD66" i="13" s="1"/>
  <c r="BE66" i="10"/>
  <c r="BE66" i="13" s="1"/>
  <c r="BF66" i="10"/>
  <c r="BF66" i="13" s="1"/>
  <c r="BG66" i="10"/>
  <c r="BG66" i="13" s="1"/>
  <c r="BH66" i="10"/>
  <c r="BH66" i="13" s="1"/>
  <c r="AZ67" i="10"/>
  <c r="AZ67" i="13" s="1"/>
  <c r="BA67" i="10"/>
  <c r="BA67" i="13" s="1"/>
  <c r="BB67" i="10"/>
  <c r="BB67" i="13" s="1"/>
  <c r="BC67" i="10"/>
  <c r="BC67" i="13" s="1"/>
  <c r="BD67" i="10"/>
  <c r="BD67" i="13" s="1"/>
  <c r="BE67" i="10"/>
  <c r="BE67" i="13" s="1"/>
  <c r="BF67" i="10"/>
  <c r="BF67" i="13" s="1"/>
  <c r="BG67" i="10"/>
  <c r="BG67" i="13" s="1"/>
  <c r="BH67" i="10"/>
  <c r="BH67" i="13" s="1"/>
  <c r="AZ68" i="10"/>
  <c r="AZ68" i="13" s="1"/>
  <c r="BA68" i="10"/>
  <c r="BA68" i="13" s="1"/>
  <c r="BB68" i="10"/>
  <c r="BB68" i="13" s="1"/>
  <c r="BC68" i="10"/>
  <c r="BC68" i="13" s="1"/>
  <c r="BD68" i="10"/>
  <c r="BD68" i="13" s="1"/>
  <c r="BE68" i="10"/>
  <c r="BE68" i="13" s="1"/>
  <c r="BF68" i="10"/>
  <c r="BF68" i="13" s="1"/>
  <c r="BG68" i="10"/>
  <c r="BG68" i="13" s="1"/>
  <c r="BH68" i="10"/>
  <c r="BH68" i="13" s="1"/>
  <c r="AZ69" i="10"/>
  <c r="AZ69" i="13" s="1"/>
  <c r="BA69" i="10"/>
  <c r="BA69" i="13" s="1"/>
  <c r="BB69" i="10"/>
  <c r="BB69" i="13" s="1"/>
  <c r="BC69" i="10"/>
  <c r="BC69" i="13" s="1"/>
  <c r="BD69" i="10"/>
  <c r="BD69" i="13" s="1"/>
  <c r="BE69" i="10"/>
  <c r="BE69" i="13" s="1"/>
  <c r="BF69" i="10"/>
  <c r="BF69" i="13" s="1"/>
  <c r="BG69" i="10"/>
  <c r="BG69" i="13" s="1"/>
  <c r="BH69" i="10"/>
  <c r="BH69" i="13" s="1"/>
  <c r="AZ70" i="10"/>
  <c r="AZ70" i="13" s="1"/>
  <c r="BA70" i="10"/>
  <c r="BA70" i="13" s="1"/>
  <c r="BB70" i="10"/>
  <c r="BB70" i="13" s="1"/>
  <c r="BC70" i="10"/>
  <c r="BC70" i="13" s="1"/>
  <c r="BD70" i="10"/>
  <c r="BD70" i="13" s="1"/>
  <c r="BE70" i="10"/>
  <c r="BE70" i="13" s="1"/>
  <c r="BF70" i="10"/>
  <c r="BF70" i="13" s="1"/>
  <c r="BG70" i="10"/>
  <c r="BG70" i="13" s="1"/>
  <c r="BH70" i="10"/>
  <c r="BH70" i="13" s="1"/>
  <c r="BA2" i="10"/>
  <c r="BA2" i="13" s="1"/>
  <c r="BB2" i="10"/>
  <c r="BB2" i="13" s="1"/>
  <c r="BC2" i="10"/>
  <c r="BC2" i="13" s="1"/>
  <c r="BD2" i="10"/>
  <c r="BD2" i="13" s="1"/>
  <c r="BE2" i="10"/>
  <c r="BE2" i="13" s="1"/>
  <c r="BF2" i="10"/>
  <c r="BF2" i="13" s="1"/>
  <c r="BG2" i="10"/>
  <c r="BG2" i="13" s="1"/>
  <c r="BH2" i="10"/>
  <c r="BH2" i="13" s="1"/>
  <c r="AZ2" i="10"/>
  <c r="AZ2" i="13" s="1"/>
  <c r="AK3" i="10"/>
  <c r="AK3" i="13" s="1"/>
  <c r="AL3" i="10"/>
  <c r="AL3" i="13" s="1"/>
  <c r="AM3" i="10"/>
  <c r="AM3" i="13" s="1"/>
  <c r="AN3" i="10"/>
  <c r="AN3" i="13" s="1"/>
  <c r="AO3" i="10"/>
  <c r="AO3" i="13" s="1"/>
  <c r="AP3" i="10"/>
  <c r="AP3" i="13" s="1"/>
  <c r="AQ3" i="10"/>
  <c r="AQ3" i="13" s="1"/>
  <c r="AR3" i="10"/>
  <c r="AR3" i="13" s="1"/>
  <c r="AS3" i="10"/>
  <c r="AS3" i="13" s="1"/>
  <c r="AT3" i="10"/>
  <c r="AT3" i="13" s="1"/>
  <c r="AU3" i="10"/>
  <c r="AU3" i="13" s="1"/>
  <c r="AV3" i="10"/>
  <c r="AV3" i="13" s="1"/>
  <c r="AW3" i="10"/>
  <c r="AW3" i="13" s="1"/>
  <c r="AX3" i="10"/>
  <c r="AX3" i="13" s="1"/>
  <c r="AK4" i="10"/>
  <c r="AK4" i="13" s="1"/>
  <c r="AL4" i="10"/>
  <c r="AL4" i="13" s="1"/>
  <c r="AM4" i="10"/>
  <c r="AM4" i="13" s="1"/>
  <c r="AN4" i="10"/>
  <c r="AN4" i="13" s="1"/>
  <c r="AO4" i="10"/>
  <c r="AO4" i="13" s="1"/>
  <c r="AP4" i="10"/>
  <c r="AP4" i="13" s="1"/>
  <c r="AQ4" i="10"/>
  <c r="AQ4" i="13" s="1"/>
  <c r="AR4" i="10"/>
  <c r="AR4" i="13" s="1"/>
  <c r="AS4" i="10"/>
  <c r="AS4" i="13" s="1"/>
  <c r="AT4" i="10"/>
  <c r="AT4" i="13" s="1"/>
  <c r="AU4" i="10"/>
  <c r="AU4" i="13" s="1"/>
  <c r="AV4" i="10"/>
  <c r="AV4" i="13" s="1"/>
  <c r="AW4" i="10"/>
  <c r="AW4" i="13" s="1"/>
  <c r="AX4" i="10"/>
  <c r="AX4" i="13" s="1"/>
  <c r="AK5" i="10"/>
  <c r="AK5" i="13" s="1"/>
  <c r="AL5" i="10"/>
  <c r="AL5" i="13" s="1"/>
  <c r="AM5" i="10"/>
  <c r="AM5" i="13" s="1"/>
  <c r="AN5" i="10"/>
  <c r="AN5" i="13" s="1"/>
  <c r="AO5" i="10"/>
  <c r="AO5" i="13" s="1"/>
  <c r="AP5" i="10"/>
  <c r="AP5" i="13" s="1"/>
  <c r="AQ5" i="10"/>
  <c r="AQ5" i="13" s="1"/>
  <c r="AR5" i="10"/>
  <c r="AR5" i="13" s="1"/>
  <c r="AS5" i="10"/>
  <c r="AS5" i="13" s="1"/>
  <c r="AT5" i="10"/>
  <c r="AT5" i="13" s="1"/>
  <c r="AU5" i="10"/>
  <c r="AU5" i="13" s="1"/>
  <c r="AV5" i="10"/>
  <c r="AV5" i="13" s="1"/>
  <c r="AW5" i="10"/>
  <c r="AW5" i="13" s="1"/>
  <c r="AX5" i="10"/>
  <c r="AX5" i="13" s="1"/>
  <c r="AK6" i="10"/>
  <c r="AK6" i="13" s="1"/>
  <c r="AL6" i="10"/>
  <c r="AL6" i="13" s="1"/>
  <c r="AM6" i="10"/>
  <c r="AM6" i="13" s="1"/>
  <c r="AN6" i="10"/>
  <c r="AN6" i="13" s="1"/>
  <c r="AO6" i="10"/>
  <c r="AO6" i="13" s="1"/>
  <c r="AP6" i="10"/>
  <c r="AP6" i="13" s="1"/>
  <c r="AQ6" i="10"/>
  <c r="AQ6" i="13" s="1"/>
  <c r="AR6" i="10"/>
  <c r="AR6" i="13" s="1"/>
  <c r="AS6" i="10"/>
  <c r="AS6" i="13" s="1"/>
  <c r="AT6" i="10"/>
  <c r="AT6" i="13" s="1"/>
  <c r="AU6" i="10"/>
  <c r="AU6" i="13" s="1"/>
  <c r="AV6" i="10"/>
  <c r="AV6" i="13" s="1"/>
  <c r="AW6" i="10"/>
  <c r="AW6" i="13" s="1"/>
  <c r="AX6" i="10"/>
  <c r="AX6" i="13" s="1"/>
  <c r="AK7" i="10"/>
  <c r="AK7" i="13" s="1"/>
  <c r="AL7" i="10"/>
  <c r="AL7" i="13" s="1"/>
  <c r="AM7" i="10"/>
  <c r="AM7" i="13" s="1"/>
  <c r="AN7" i="10"/>
  <c r="AN7" i="13" s="1"/>
  <c r="AO7" i="10"/>
  <c r="AO7" i="13" s="1"/>
  <c r="AP7" i="10"/>
  <c r="AP7" i="13" s="1"/>
  <c r="AQ7" i="10"/>
  <c r="AQ7" i="13" s="1"/>
  <c r="AR7" i="10"/>
  <c r="AR7" i="13" s="1"/>
  <c r="AS7" i="10"/>
  <c r="AS7" i="13" s="1"/>
  <c r="AT7" i="10"/>
  <c r="AT7" i="13" s="1"/>
  <c r="AU7" i="10"/>
  <c r="AU7" i="13" s="1"/>
  <c r="AV7" i="10"/>
  <c r="AV7" i="13" s="1"/>
  <c r="AW7" i="10"/>
  <c r="AW7" i="13" s="1"/>
  <c r="AX7" i="10"/>
  <c r="AX7" i="13" s="1"/>
  <c r="AK8" i="10"/>
  <c r="AK8" i="13" s="1"/>
  <c r="AL8" i="10"/>
  <c r="AL8" i="13" s="1"/>
  <c r="AM8" i="10"/>
  <c r="AM8" i="13" s="1"/>
  <c r="AN8" i="10"/>
  <c r="AN8" i="13" s="1"/>
  <c r="AO8" i="10"/>
  <c r="AO8" i="13" s="1"/>
  <c r="AP8" i="10"/>
  <c r="AP8" i="13" s="1"/>
  <c r="AQ8" i="10"/>
  <c r="AQ8" i="13" s="1"/>
  <c r="AR8" i="10"/>
  <c r="AR8" i="13" s="1"/>
  <c r="AS8" i="10"/>
  <c r="AS8" i="13" s="1"/>
  <c r="AT8" i="10"/>
  <c r="AT8" i="13" s="1"/>
  <c r="AU8" i="10"/>
  <c r="AU8" i="13" s="1"/>
  <c r="AV8" i="10"/>
  <c r="AV8" i="13" s="1"/>
  <c r="AW8" i="10"/>
  <c r="AW8" i="13" s="1"/>
  <c r="AX8" i="10"/>
  <c r="AX8" i="13" s="1"/>
  <c r="AK9" i="10"/>
  <c r="AK9" i="13" s="1"/>
  <c r="AL9" i="10"/>
  <c r="AL9" i="13" s="1"/>
  <c r="AM9" i="10"/>
  <c r="AM9" i="13" s="1"/>
  <c r="AN9" i="10"/>
  <c r="AN9" i="13" s="1"/>
  <c r="AO9" i="10"/>
  <c r="AO9" i="13" s="1"/>
  <c r="AP9" i="10"/>
  <c r="AP9" i="13" s="1"/>
  <c r="AQ9" i="10"/>
  <c r="AQ9" i="13" s="1"/>
  <c r="AR9" i="10"/>
  <c r="AR9" i="13" s="1"/>
  <c r="AS9" i="10"/>
  <c r="AS9" i="13" s="1"/>
  <c r="AT9" i="10"/>
  <c r="AT9" i="13" s="1"/>
  <c r="AU9" i="10"/>
  <c r="AU9" i="13" s="1"/>
  <c r="AV9" i="10"/>
  <c r="AV9" i="13" s="1"/>
  <c r="AW9" i="10"/>
  <c r="AW9" i="13" s="1"/>
  <c r="AX9" i="10"/>
  <c r="AX9" i="13" s="1"/>
  <c r="AK10" i="10"/>
  <c r="AK10" i="13" s="1"/>
  <c r="AL10" i="10"/>
  <c r="AL10" i="13" s="1"/>
  <c r="AM10" i="10"/>
  <c r="AM10" i="13" s="1"/>
  <c r="AN10" i="10"/>
  <c r="AN10" i="13" s="1"/>
  <c r="AO10" i="10"/>
  <c r="AO10" i="13" s="1"/>
  <c r="AP10" i="10"/>
  <c r="AP10" i="13" s="1"/>
  <c r="AQ10" i="10"/>
  <c r="AQ10" i="13" s="1"/>
  <c r="AR10" i="10"/>
  <c r="AR10" i="13" s="1"/>
  <c r="AS10" i="10"/>
  <c r="AS10" i="13" s="1"/>
  <c r="AT10" i="10"/>
  <c r="AT10" i="13" s="1"/>
  <c r="AU10" i="10"/>
  <c r="AU10" i="13" s="1"/>
  <c r="AV10" i="10"/>
  <c r="AV10" i="13" s="1"/>
  <c r="AW10" i="10"/>
  <c r="AW10" i="13" s="1"/>
  <c r="AX10" i="10"/>
  <c r="AX10" i="13" s="1"/>
  <c r="AK11" i="10"/>
  <c r="AK11" i="13" s="1"/>
  <c r="AL11" i="10"/>
  <c r="AL11" i="13" s="1"/>
  <c r="AM11" i="10"/>
  <c r="AM11" i="13" s="1"/>
  <c r="AN11" i="10"/>
  <c r="AN11" i="13" s="1"/>
  <c r="AO11" i="10"/>
  <c r="AO11" i="13" s="1"/>
  <c r="AP11" i="10"/>
  <c r="AP11" i="13" s="1"/>
  <c r="AQ11" i="10"/>
  <c r="AQ11" i="13" s="1"/>
  <c r="AR11" i="10"/>
  <c r="AR11" i="13" s="1"/>
  <c r="AS11" i="10"/>
  <c r="AS11" i="13" s="1"/>
  <c r="AT11" i="10"/>
  <c r="AT11" i="13" s="1"/>
  <c r="AU11" i="10"/>
  <c r="AU11" i="13" s="1"/>
  <c r="AV11" i="10"/>
  <c r="AV11" i="13" s="1"/>
  <c r="AW11" i="10"/>
  <c r="AW11" i="13" s="1"/>
  <c r="AX11" i="10"/>
  <c r="AX11" i="13" s="1"/>
  <c r="AK13" i="10"/>
  <c r="AK13" i="13" s="1"/>
  <c r="AL13" i="10"/>
  <c r="AL13" i="13" s="1"/>
  <c r="AM13" i="10"/>
  <c r="AM13" i="13" s="1"/>
  <c r="AN13" i="10"/>
  <c r="AN13" i="13" s="1"/>
  <c r="AO13" i="10"/>
  <c r="AO13" i="13" s="1"/>
  <c r="AP13" i="10"/>
  <c r="AP13" i="13" s="1"/>
  <c r="AQ13" i="10"/>
  <c r="AQ13" i="13" s="1"/>
  <c r="AR13" i="10"/>
  <c r="AR13" i="13" s="1"/>
  <c r="AS13" i="10"/>
  <c r="AS13" i="13" s="1"/>
  <c r="AT13" i="10"/>
  <c r="AT13" i="13" s="1"/>
  <c r="AU13" i="10"/>
  <c r="AU13" i="13" s="1"/>
  <c r="AV13" i="10"/>
  <c r="AV13" i="13" s="1"/>
  <c r="AW13" i="10"/>
  <c r="AW13" i="13" s="1"/>
  <c r="AX13" i="10"/>
  <c r="AX13" i="13" s="1"/>
  <c r="AK14" i="10"/>
  <c r="AK14" i="13" s="1"/>
  <c r="AL14" i="10"/>
  <c r="AL14" i="13" s="1"/>
  <c r="AM14" i="10"/>
  <c r="AM14" i="13" s="1"/>
  <c r="AN14" i="10"/>
  <c r="AN14" i="13" s="1"/>
  <c r="AO14" i="10"/>
  <c r="AO14" i="13" s="1"/>
  <c r="AP14" i="10"/>
  <c r="AP14" i="13" s="1"/>
  <c r="AQ14" i="10"/>
  <c r="AQ14" i="13" s="1"/>
  <c r="AR14" i="10"/>
  <c r="AR14" i="13" s="1"/>
  <c r="AS14" i="10"/>
  <c r="AS14" i="13" s="1"/>
  <c r="AT14" i="10"/>
  <c r="AT14" i="13" s="1"/>
  <c r="AU14" i="10"/>
  <c r="AU14" i="13" s="1"/>
  <c r="AV14" i="10"/>
  <c r="AV14" i="13" s="1"/>
  <c r="AW14" i="10"/>
  <c r="AW14" i="13" s="1"/>
  <c r="AX14" i="10"/>
  <c r="AX14" i="13" s="1"/>
  <c r="AK15" i="10"/>
  <c r="AK15" i="13" s="1"/>
  <c r="AL15" i="10"/>
  <c r="AL15" i="13" s="1"/>
  <c r="AM15" i="10"/>
  <c r="AM15" i="13" s="1"/>
  <c r="AN15" i="10"/>
  <c r="AN15" i="13" s="1"/>
  <c r="AO15" i="10"/>
  <c r="AO15" i="13" s="1"/>
  <c r="AP15" i="10"/>
  <c r="AP15" i="13" s="1"/>
  <c r="AQ15" i="10"/>
  <c r="AQ15" i="13" s="1"/>
  <c r="AR15" i="10"/>
  <c r="AR15" i="13" s="1"/>
  <c r="AS15" i="10"/>
  <c r="AS15" i="13" s="1"/>
  <c r="AT15" i="10"/>
  <c r="AT15" i="13" s="1"/>
  <c r="AU15" i="10"/>
  <c r="AU15" i="13" s="1"/>
  <c r="AV15" i="10"/>
  <c r="AV15" i="13" s="1"/>
  <c r="AW15" i="10"/>
  <c r="AW15" i="13" s="1"/>
  <c r="AX15" i="10"/>
  <c r="AX15" i="13" s="1"/>
  <c r="AK16" i="10"/>
  <c r="AK16" i="13" s="1"/>
  <c r="AL16" i="10"/>
  <c r="AL16" i="13" s="1"/>
  <c r="AM16" i="10"/>
  <c r="AM16" i="13" s="1"/>
  <c r="AN16" i="10"/>
  <c r="AN16" i="13" s="1"/>
  <c r="AO16" i="10"/>
  <c r="AO16" i="13" s="1"/>
  <c r="AP16" i="10"/>
  <c r="AP16" i="13" s="1"/>
  <c r="AQ16" i="10"/>
  <c r="AQ16" i="13" s="1"/>
  <c r="AR16" i="10"/>
  <c r="AR16" i="13" s="1"/>
  <c r="AS16" i="10"/>
  <c r="AS16" i="13" s="1"/>
  <c r="AT16" i="10"/>
  <c r="AT16" i="13" s="1"/>
  <c r="AU16" i="10"/>
  <c r="AU16" i="13" s="1"/>
  <c r="AV16" i="10"/>
  <c r="AV16" i="13" s="1"/>
  <c r="AW16" i="10"/>
  <c r="AW16" i="13" s="1"/>
  <c r="AX16" i="10"/>
  <c r="AX16" i="13" s="1"/>
  <c r="AK17" i="10"/>
  <c r="AK17" i="13" s="1"/>
  <c r="AL17" i="10"/>
  <c r="AL17" i="13" s="1"/>
  <c r="AM17" i="10"/>
  <c r="AM17" i="13" s="1"/>
  <c r="AN17" i="10"/>
  <c r="AN17" i="13" s="1"/>
  <c r="AO17" i="10"/>
  <c r="AO17" i="13" s="1"/>
  <c r="AP17" i="10"/>
  <c r="AP17" i="13" s="1"/>
  <c r="AQ17" i="10"/>
  <c r="AQ17" i="13" s="1"/>
  <c r="AR17" i="10"/>
  <c r="AR17" i="13" s="1"/>
  <c r="AS17" i="10"/>
  <c r="AS17" i="13" s="1"/>
  <c r="AT17" i="10"/>
  <c r="AT17" i="13" s="1"/>
  <c r="AU17" i="10"/>
  <c r="AU17" i="13" s="1"/>
  <c r="AV17" i="10"/>
  <c r="AV17" i="13" s="1"/>
  <c r="AW17" i="10"/>
  <c r="AW17" i="13" s="1"/>
  <c r="AX17" i="10"/>
  <c r="AX17" i="13" s="1"/>
  <c r="AK18" i="10"/>
  <c r="AK18" i="13" s="1"/>
  <c r="AL18" i="10"/>
  <c r="AL18" i="13" s="1"/>
  <c r="AM18" i="10"/>
  <c r="AM18" i="13" s="1"/>
  <c r="AN18" i="10"/>
  <c r="AN18" i="13" s="1"/>
  <c r="AO18" i="10"/>
  <c r="AO18" i="13" s="1"/>
  <c r="AP18" i="10"/>
  <c r="AP18" i="13" s="1"/>
  <c r="AQ18" i="10"/>
  <c r="AQ18" i="13" s="1"/>
  <c r="AR18" i="10"/>
  <c r="AR18" i="13" s="1"/>
  <c r="AS18" i="10"/>
  <c r="AS18" i="13" s="1"/>
  <c r="AT18" i="10"/>
  <c r="AT18" i="13" s="1"/>
  <c r="AU18" i="10"/>
  <c r="AU18" i="13" s="1"/>
  <c r="AV18" i="10"/>
  <c r="AV18" i="13" s="1"/>
  <c r="AW18" i="10"/>
  <c r="AW18" i="13" s="1"/>
  <c r="AX18" i="10"/>
  <c r="AX18" i="13" s="1"/>
  <c r="AK19" i="10"/>
  <c r="AK19" i="13" s="1"/>
  <c r="AL19" i="10"/>
  <c r="AL19" i="13" s="1"/>
  <c r="AM19" i="10"/>
  <c r="AM19" i="13" s="1"/>
  <c r="AN19" i="10"/>
  <c r="AN19" i="13" s="1"/>
  <c r="AO19" i="10"/>
  <c r="AO19" i="13" s="1"/>
  <c r="AP19" i="10"/>
  <c r="AP19" i="13" s="1"/>
  <c r="AQ19" i="10"/>
  <c r="AQ19" i="13" s="1"/>
  <c r="AR19" i="10"/>
  <c r="AR19" i="13" s="1"/>
  <c r="AS19" i="10"/>
  <c r="AS19" i="13" s="1"/>
  <c r="AT19" i="10"/>
  <c r="AT19" i="13" s="1"/>
  <c r="AU19" i="10"/>
  <c r="AU19" i="13" s="1"/>
  <c r="AV19" i="10"/>
  <c r="AV19" i="13" s="1"/>
  <c r="AW19" i="10"/>
  <c r="AW19" i="13" s="1"/>
  <c r="AX19" i="10"/>
  <c r="AX19" i="13" s="1"/>
  <c r="AK20" i="10"/>
  <c r="AK20" i="13" s="1"/>
  <c r="AL20" i="10"/>
  <c r="AL20" i="13" s="1"/>
  <c r="AM20" i="10"/>
  <c r="AM20" i="13" s="1"/>
  <c r="AN20" i="10"/>
  <c r="AN20" i="13" s="1"/>
  <c r="AO20" i="10"/>
  <c r="AO20" i="13" s="1"/>
  <c r="AP20" i="10"/>
  <c r="AP20" i="13" s="1"/>
  <c r="AQ20" i="10"/>
  <c r="AQ20" i="13" s="1"/>
  <c r="AR20" i="10"/>
  <c r="AR20" i="13" s="1"/>
  <c r="AS20" i="10"/>
  <c r="AS20" i="13" s="1"/>
  <c r="AT20" i="10"/>
  <c r="AT20" i="13" s="1"/>
  <c r="AU20" i="10"/>
  <c r="AU20" i="13" s="1"/>
  <c r="AV20" i="10"/>
  <c r="AV20" i="13" s="1"/>
  <c r="AW20" i="10"/>
  <c r="AW20" i="13" s="1"/>
  <c r="AX20" i="10"/>
  <c r="AX20" i="13" s="1"/>
  <c r="AK21" i="10"/>
  <c r="AK21" i="13" s="1"/>
  <c r="AL21" i="10"/>
  <c r="AL21" i="13" s="1"/>
  <c r="AM21" i="10"/>
  <c r="AM21" i="13" s="1"/>
  <c r="AN21" i="10"/>
  <c r="AN21" i="13" s="1"/>
  <c r="AO21" i="10"/>
  <c r="AO21" i="13" s="1"/>
  <c r="AP21" i="10"/>
  <c r="AP21" i="13" s="1"/>
  <c r="AQ21" i="10"/>
  <c r="AQ21" i="13" s="1"/>
  <c r="AR21" i="10"/>
  <c r="AR21" i="13" s="1"/>
  <c r="AS21" i="10"/>
  <c r="AS21" i="13" s="1"/>
  <c r="AT21" i="10"/>
  <c r="AT21" i="13" s="1"/>
  <c r="AU21" i="10"/>
  <c r="AU21" i="13" s="1"/>
  <c r="AV21" i="10"/>
  <c r="AV21" i="13" s="1"/>
  <c r="AW21" i="10"/>
  <c r="AW21" i="13" s="1"/>
  <c r="AX21" i="10"/>
  <c r="AX21" i="13" s="1"/>
  <c r="AK22" i="10"/>
  <c r="AK22" i="13" s="1"/>
  <c r="AL22" i="10"/>
  <c r="AL22" i="13" s="1"/>
  <c r="AM22" i="10"/>
  <c r="AM22" i="13" s="1"/>
  <c r="AN22" i="10"/>
  <c r="AN22" i="13" s="1"/>
  <c r="AO22" i="10"/>
  <c r="AO22" i="13" s="1"/>
  <c r="AP22" i="10"/>
  <c r="AP22" i="13" s="1"/>
  <c r="AQ22" i="10"/>
  <c r="AQ22" i="13" s="1"/>
  <c r="AR22" i="10"/>
  <c r="AR22" i="13" s="1"/>
  <c r="AS22" i="10"/>
  <c r="AS22" i="13" s="1"/>
  <c r="AT22" i="10"/>
  <c r="AT22" i="13" s="1"/>
  <c r="AU22" i="10"/>
  <c r="AU22" i="13" s="1"/>
  <c r="AV22" i="10"/>
  <c r="AV22" i="13" s="1"/>
  <c r="AW22" i="10"/>
  <c r="AW22" i="13" s="1"/>
  <c r="AX22" i="10"/>
  <c r="AX22" i="13" s="1"/>
  <c r="AK23" i="10"/>
  <c r="AK23" i="13" s="1"/>
  <c r="AL23" i="10"/>
  <c r="AL23" i="13" s="1"/>
  <c r="AM23" i="10"/>
  <c r="AM23" i="13" s="1"/>
  <c r="AN23" i="10"/>
  <c r="AN23" i="13" s="1"/>
  <c r="AO23" i="10"/>
  <c r="AO23" i="13" s="1"/>
  <c r="AP23" i="10"/>
  <c r="AP23" i="13" s="1"/>
  <c r="AQ23" i="10"/>
  <c r="AQ23" i="13" s="1"/>
  <c r="AR23" i="10"/>
  <c r="AR23" i="13" s="1"/>
  <c r="AS23" i="10"/>
  <c r="AS23" i="13" s="1"/>
  <c r="AT23" i="10"/>
  <c r="AT23" i="13" s="1"/>
  <c r="AU23" i="10"/>
  <c r="AU23" i="13" s="1"/>
  <c r="AV23" i="10"/>
  <c r="AV23" i="13" s="1"/>
  <c r="AW23" i="10"/>
  <c r="AW23" i="13" s="1"/>
  <c r="AX23" i="10"/>
  <c r="AX23" i="13" s="1"/>
  <c r="AK24" i="10"/>
  <c r="AK24" i="13" s="1"/>
  <c r="AL24" i="10"/>
  <c r="AL24" i="13" s="1"/>
  <c r="AM24" i="10"/>
  <c r="AM24" i="13" s="1"/>
  <c r="AN24" i="10"/>
  <c r="AN24" i="13" s="1"/>
  <c r="AO24" i="10"/>
  <c r="AO24" i="13" s="1"/>
  <c r="AP24" i="10"/>
  <c r="AP24" i="13" s="1"/>
  <c r="AQ24" i="10"/>
  <c r="AQ24" i="13" s="1"/>
  <c r="AR24" i="10"/>
  <c r="AR24" i="13" s="1"/>
  <c r="AS24" i="10"/>
  <c r="AS24" i="13" s="1"/>
  <c r="AT24" i="10"/>
  <c r="AT24" i="13" s="1"/>
  <c r="AU24" i="10"/>
  <c r="AU24" i="13" s="1"/>
  <c r="AV24" i="10"/>
  <c r="AV24" i="13" s="1"/>
  <c r="AW24" i="10"/>
  <c r="AW24" i="13" s="1"/>
  <c r="AX24" i="10"/>
  <c r="AX24" i="13" s="1"/>
  <c r="AK25" i="10"/>
  <c r="AK25" i="13" s="1"/>
  <c r="AL25" i="10"/>
  <c r="AL25" i="13" s="1"/>
  <c r="AM25" i="10"/>
  <c r="AM25" i="13" s="1"/>
  <c r="AN25" i="10"/>
  <c r="AN25" i="13" s="1"/>
  <c r="AO25" i="10"/>
  <c r="AO25" i="13" s="1"/>
  <c r="AP25" i="10"/>
  <c r="AP25" i="13" s="1"/>
  <c r="AQ25" i="10"/>
  <c r="AQ25" i="13" s="1"/>
  <c r="AR25" i="10"/>
  <c r="AR25" i="13" s="1"/>
  <c r="AS25" i="10"/>
  <c r="AS25" i="13" s="1"/>
  <c r="AT25" i="10"/>
  <c r="AT25" i="13" s="1"/>
  <c r="AU25" i="10"/>
  <c r="AU25" i="13" s="1"/>
  <c r="AV25" i="10"/>
  <c r="AV25" i="13" s="1"/>
  <c r="AW25" i="10"/>
  <c r="AW25" i="13" s="1"/>
  <c r="AX25" i="10"/>
  <c r="AX25" i="13" s="1"/>
  <c r="AK26" i="10"/>
  <c r="AK26" i="13" s="1"/>
  <c r="AL26" i="10"/>
  <c r="AL26" i="13" s="1"/>
  <c r="AM26" i="10"/>
  <c r="AM26" i="13" s="1"/>
  <c r="AN26" i="10"/>
  <c r="AN26" i="13" s="1"/>
  <c r="AO26" i="10"/>
  <c r="AO26" i="13" s="1"/>
  <c r="AP26" i="10"/>
  <c r="AP26" i="13" s="1"/>
  <c r="AQ26" i="10"/>
  <c r="AQ26" i="13" s="1"/>
  <c r="AR26" i="10"/>
  <c r="AR26" i="13" s="1"/>
  <c r="AS26" i="10"/>
  <c r="AS26" i="13" s="1"/>
  <c r="AT26" i="10"/>
  <c r="AT26" i="13" s="1"/>
  <c r="AU26" i="10"/>
  <c r="AU26" i="13" s="1"/>
  <c r="AV26" i="10"/>
  <c r="AV26" i="13" s="1"/>
  <c r="AW26" i="10"/>
  <c r="AW26" i="13" s="1"/>
  <c r="AX26" i="10"/>
  <c r="AX26" i="13" s="1"/>
  <c r="AK27" i="10"/>
  <c r="AK27" i="13" s="1"/>
  <c r="AL27" i="10"/>
  <c r="AL27" i="13" s="1"/>
  <c r="AM27" i="10"/>
  <c r="AM27" i="13" s="1"/>
  <c r="AN27" i="10"/>
  <c r="AN27" i="13" s="1"/>
  <c r="AO27" i="10"/>
  <c r="AO27" i="13" s="1"/>
  <c r="AP27" i="10"/>
  <c r="AP27" i="13" s="1"/>
  <c r="AQ27" i="10"/>
  <c r="AQ27" i="13" s="1"/>
  <c r="AR27" i="10"/>
  <c r="AR27" i="13" s="1"/>
  <c r="AS27" i="10"/>
  <c r="AS27" i="13" s="1"/>
  <c r="AT27" i="10"/>
  <c r="AT27" i="13" s="1"/>
  <c r="AU27" i="10"/>
  <c r="AU27" i="13" s="1"/>
  <c r="AV27" i="10"/>
  <c r="AV27" i="13" s="1"/>
  <c r="AW27" i="10"/>
  <c r="AW27" i="13" s="1"/>
  <c r="AX27" i="10"/>
  <c r="AX27" i="13" s="1"/>
  <c r="AK28" i="10"/>
  <c r="AK28" i="13" s="1"/>
  <c r="AL28" i="10"/>
  <c r="AL28" i="13" s="1"/>
  <c r="AM28" i="10"/>
  <c r="AM28" i="13" s="1"/>
  <c r="AN28" i="10"/>
  <c r="AN28" i="13" s="1"/>
  <c r="AO28" i="10"/>
  <c r="AO28" i="13" s="1"/>
  <c r="AP28" i="10"/>
  <c r="AP28" i="13" s="1"/>
  <c r="AQ28" i="10"/>
  <c r="AQ28" i="13" s="1"/>
  <c r="AR28" i="10"/>
  <c r="AR28" i="13" s="1"/>
  <c r="AS28" i="10"/>
  <c r="AS28" i="13" s="1"/>
  <c r="AT28" i="10"/>
  <c r="AT28" i="13" s="1"/>
  <c r="AU28" i="10"/>
  <c r="AU28" i="13" s="1"/>
  <c r="AV28" i="10"/>
  <c r="AV28" i="13" s="1"/>
  <c r="AW28" i="10"/>
  <c r="AW28" i="13" s="1"/>
  <c r="AX28" i="10"/>
  <c r="AX28" i="13" s="1"/>
  <c r="AK29" i="10"/>
  <c r="AK29" i="13" s="1"/>
  <c r="AL29" i="10"/>
  <c r="AL29" i="13" s="1"/>
  <c r="AM29" i="10"/>
  <c r="AM29" i="13" s="1"/>
  <c r="AN29" i="10"/>
  <c r="AN29" i="13" s="1"/>
  <c r="AO29" i="10"/>
  <c r="AO29" i="13" s="1"/>
  <c r="AP29" i="10"/>
  <c r="AP29" i="13" s="1"/>
  <c r="AQ29" i="10"/>
  <c r="AQ29" i="13" s="1"/>
  <c r="AR29" i="10"/>
  <c r="AR29" i="13" s="1"/>
  <c r="AS29" i="10"/>
  <c r="AS29" i="13" s="1"/>
  <c r="AT29" i="10"/>
  <c r="AT29" i="13" s="1"/>
  <c r="AU29" i="10"/>
  <c r="AU29" i="13" s="1"/>
  <c r="AV29" i="10"/>
  <c r="AV29" i="13" s="1"/>
  <c r="AW29" i="10"/>
  <c r="AW29" i="13" s="1"/>
  <c r="AX29" i="10"/>
  <c r="AX29" i="13" s="1"/>
  <c r="AK30" i="10"/>
  <c r="AK30" i="13" s="1"/>
  <c r="AL30" i="10"/>
  <c r="AL30" i="13" s="1"/>
  <c r="AM30" i="10"/>
  <c r="AM30" i="13" s="1"/>
  <c r="AN30" i="10"/>
  <c r="AN30" i="13" s="1"/>
  <c r="AO30" i="10"/>
  <c r="AO30" i="13" s="1"/>
  <c r="AP30" i="10"/>
  <c r="AP30" i="13" s="1"/>
  <c r="AQ30" i="10"/>
  <c r="AQ30" i="13" s="1"/>
  <c r="AR30" i="10"/>
  <c r="AR30" i="13" s="1"/>
  <c r="AS30" i="10"/>
  <c r="AS30" i="13" s="1"/>
  <c r="AT30" i="10"/>
  <c r="AT30" i="13" s="1"/>
  <c r="AU30" i="10"/>
  <c r="AU30" i="13" s="1"/>
  <c r="AV30" i="10"/>
  <c r="AV30" i="13" s="1"/>
  <c r="AW30" i="10"/>
  <c r="AW30" i="13" s="1"/>
  <c r="AX30" i="10"/>
  <c r="AX30" i="13" s="1"/>
  <c r="AK31" i="10"/>
  <c r="AK31" i="13" s="1"/>
  <c r="AL31" i="10"/>
  <c r="AL31" i="13" s="1"/>
  <c r="AM31" i="10"/>
  <c r="AM31" i="13" s="1"/>
  <c r="AN31" i="10"/>
  <c r="AN31" i="13" s="1"/>
  <c r="AO31" i="10"/>
  <c r="AO31" i="13" s="1"/>
  <c r="AP31" i="10"/>
  <c r="AP31" i="13" s="1"/>
  <c r="AQ31" i="10"/>
  <c r="AQ31" i="13" s="1"/>
  <c r="AR31" i="10"/>
  <c r="AR31" i="13" s="1"/>
  <c r="AS31" i="10"/>
  <c r="AS31" i="13" s="1"/>
  <c r="AT31" i="10"/>
  <c r="AT31" i="13" s="1"/>
  <c r="AU31" i="10"/>
  <c r="AU31" i="13" s="1"/>
  <c r="AV31" i="10"/>
  <c r="AV31" i="13" s="1"/>
  <c r="AW31" i="10"/>
  <c r="AW31" i="13" s="1"/>
  <c r="AX31" i="10"/>
  <c r="AX31" i="13" s="1"/>
  <c r="AK32" i="10"/>
  <c r="AK32" i="13" s="1"/>
  <c r="AL32" i="10"/>
  <c r="AL32" i="13" s="1"/>
  <c r="AM32" i="10"/>
  <c r="AM32" i="13" s="1"/>
  <c r="AN32" i="10"/>
  <c r="AN32" i="13" s="1"/>
  <c r="AO32" i="10"/>
  <c r="AO32" i="13" s="1"/>
  <c r="AP32" i="10"/>
  <c r="AP32" i="13" s="1"/>
  <c r="AQ32" i="10"/>
  <c r="AQ32" i="13" s="1"/>
  <c r="AR32" i="10"/>
  <c r="AR32" i="13" s="1"/>
  <c r="AS32" i="10"/>
  <c r="AS32" i="13" s="1"/>
  <c r="AT32" i="10"/>
  <c r="AT32" i="13" s="1"/>
  <c r="AU32" i="10"/>
  <c r="AU32" i="13" s="1"/>
  <c r="AV32" i="10"/>
  <c r="AV32" i="13" s="1"/>
  <c r="AW32" i="10"/>
  <c r="AW32" i="13" s="1"/>
  <c r="AX32" i="10"/>
  <c r="AX32" i="13" s="1"/>
  <c r="AK33" i="10"/>
  <c r="AK33" i="13" s="1"/>
  <c r="AL33" i="10"/>
  <c r="AL33" i="13" s="1"/>
  <c r="AM33" i="10"/>
  <c r="AM33" i="13" s="1"/>
  <c r="AN33" i="10"/>
  <c r="AN33" i="13" s="1"/>
  <c r="AO33" i="10"/>
  <c r="AO33" i="13" s="1"/>
  <c r="AP33" i="10"/>
  <c r="AP33" i="13" s="1"/>
  <c r="AQ33" i="10"/>
  <c r="AQ33" i="13" s="1"/>
  <c r="AR33" i="10"/>
  <c r="AR33" i="13" s="1"/>
  <c r="AS33" i="10"/>
  <c r="AS33" i="13" s="1"/>
  <c r="AT33" i="10"/>
  <c r="AT33" i="13" s="1"/>
  <c r="AU33" i="10"/>
  <c r="AU33" i="13" s="1"/>
  <c r="AV33" i="10"/>
  <c r="AV33" i="13" s="1"/>
  <c r="AW33" i="10"/>
  <c r="AW33" i="13" s="1"/>
  <c r="AX33" i="10"/>
  <c r="AX33" i="13" s="1"/>
  <c r="AK34" i="10"/>
  <c r="AK34" i="13" s="1"/>
  <c r="AL34" i="10"/>
  <c r="AL34" i="13" s="1"/>
  <c r="AM34" i="10"/>
  <c r="AM34" i="13" s="1"/>
  <c r="AN34" i="10"/>
  <c r="AN34" i="13" s="1"/>
  <c r="AO34" i="10"/>
  <c r="AO34" i="13" s="1"/>
  <c r="AP34" i="10"/>
  <c r="AP34" i="13" s="1"/>
  <c r="AQ34" i="10"/>
  <c r="AQ34" i="13" s="1"/>
  <c r="AR34" i="10"/>
  <c r="AR34" i="13" s="1"/>
  <c r="AS34" i="10"/>
  <c r="AS34" i="13" s="1"/>
  <c r="AT34" i="10"/>
  <c r="AT34" i="13" s="1"/>
  <c r="AU34" i="10"/>
  <c r="AU34" i="13" s="1"/>
  <c r="AV34" i="10"/>
  <c r="AV34" i="13" s="1"/>
  <c r="AW34" i="10"/>
  <c r="AW34" i="13" s="1"/>
  <c r="AX34" i="10"/>
  <c r="AX34" i="13" s="1"/>
  <c r="AK35" i="10"/>
  <c r="AK35" i="13" s="1"/>
  <c r="AL35" i="10"/>
  <c r="AL35" i="13" s="1"/>
  <c r="AM35" i="10"/>
  <c r="AM35" i="13" s="1"/>
  <c r="AN35" i="10"/>
  <c r="AN35" i="13" s="1"/>
  <c r="AO35" i="10"/>
  <c r="AO35" i="13" s="1"/>
  <c r="AP35" i="10"/>
  <c r="AP35" i="13" s="1"/>
  <c r="AQ35" i="10"/>
  <c r="AQ35" i="13" s="1"/>
  <c r="AR35" i="10"/>
  <c r="AR35" i="13" s="1"/>
  <c r="AS35" i="10"/>
  <c r="AS35" i="13" s="1"/>
  <c r="AT35" i="10"/>
  <c r="AT35" i="13" s="1"/>
  <c r="AU35" i="10"/>
  <c r="AU35" i="13" s="1"/>
  <c r="AV35" i="10"/>
  <c r="AV35" i="13" s="1"/>
  <c r="AW35" i="10"/>
  <c r="AW35" i="13" s="1"/>
  <c r="AX35" i="10"/>
  <c r="AX35" i="13" s="1"/>
  <c r="AK36" i="10"/>
  <c r="AK36" i="13" s="1"/>
  <c r="AL36" i="10"/>
  <c r="AL36" i="13" s="1"/>
  <c r="AM36" i="10"/>
  <c r="AM36" i="13" s="1"/>
  <c r="AN36" i="10"/>
  <c r="AN36" i="13" s="1"/>
  <c r="AO36" i="10"/>
  <c r="AO36" i="13" s="1"/>
  <c r="AP36" i="10"/>
  <c r="AP36" i="13" s="1"/>
  <c r="AQ36" i="10"/>
  <c r="AQ36" i="13" s="1"/>
  <c r="AR36" i="10"/>
  <c r="AR36" i="13" s="1"/>
  <c r="AS36" i="10"/>
  <c r="AS36" i="13" s="1"/>
  <c r="AT36" i="10"/>
  <c r="AT36" i="13" s="1"/>
  <c r="AU36" i="10"/>
  <c r="AU36" i="13" s="1"/>
  <c r="AV36" i="10"/>
  <c r="AV36" i="13" s="1"/>
  <c r="AW36" i="10"/>
  <c r="AW36" i="13" s="1"/>
  <c r="AX36" i="10"/>
  <c r="AX36" i="13" s="1"/>
  <c r="AK37" i="10"/>
  <c r="AK37" i="13" s="1"/>
  <c r="AL37" i="10"/>
  <c r="AL37" i="13" s="1"/>
  <c r="AM37" i="10"/>
  <c r="AM37" i="13" s="1"/>
  <c r="AN37" i="10"/>
  <c r="AN37" i="13" s="1"/>
  <c r="AO37" i="10"/>
  <c r="AO37" i="13" s="1"/>
  <c r="AP37" i="10"/>
  <c r="AP37" i="13" s="1"/>
  <c r="AQ37" i="10"/>
  <c r="AQ37" i="13" s="1"/>
  <c r="AR37" i="10"/>
  <c r="AR37" i="13" s="1"/>
  <c r="AS37" i="10"/>
  <c r="AS37" i="13" s="1"/>
  <c r="AT37" i="10"/>
  <c r="AT37" i="13" s="1"/>
  <c r="AU37" i="10"/>
  <c r="AU37" i="13" s="1"/>
  <c r="AV37" i="10"/>
  <c r="AV37" i="13" s="1"/>
  <c r="AW37" i="10"/>
  <c r="AW37" i="13" s="1"/>
  <c r="AX37" i="10"/>
  <c r="AX37" i="13" s="1"/>
  <c r="AK38" i="10"/>
  <c r="AK38" i="13" s="1"/>
  <c r="AL38" i="10"/>
  <c r="AL38" i="13" s="1"/>
  <c r="AM38" i="10"/>
  <c r="AM38" i="13" s="1"/>
  <c r="AN38" i="10"/>
  <c r="AN38" i="13" s="1"/>
  <c r="AO38" i="10"/>
  <c r="AO38" i="13" s="1"/>
  <c r="AP38" i="10"/>
  <c r="AP38" i="13" s="1"/>
  <c r="AQ38" i="10"/>
  <c r="AQ38" i="13" s="1"/>
  <c r="AR38" i="10"/>
  <c r="AR38" i="13" s="1"/>
  <c r="AS38" i="10"/>
  <c r="AS38" i="13" s="1"/>
  <c r="AT38" i="10"/>
  <c r="AT38" i="13" s="1"/>
  <c r="AU38" i="10"/>
  <c r="AU38" i="13" s="1"/>
  <c r="AV38" i="10"/>
  <c r="AV38" i="13" s="1"/>
  <c r="AW38" i="10"/>
  <c r="AW38" i="13" s="1"/>
  <c r="AX38" i="10"/>
  <c r="AX38" i="13" s="1"/>
  <c r="AK39" i="10"/>
  <c r="AK39" i="13" s="1"/>
  <c r="AL39" i="10"/>
  <c r="AL39" i="13" s="1"/>
  <c r="AM39" i="10"/>
  <c r="AM39" i="13" s="1"/>
  <c r="AN39" i="10"/>
  <c r="AN39" i="13" s="1"/>
  <c r="AO39" i="10"/>
  <c r="AO39" i="13" s="1"/>
  <c r="AP39" i="10"/>
  <c r="AP39" i="13" s="1"/>
  <c r="AQ39" i="10"/>
  <c r="AQ39" i="13" s="1"/>
  <c r="AR39" i="10"/>
  <c r="AR39" i="13" s="1"/>
  <c r="AS39" i="10"/>
  <c r="AS39" i="13" s="1"/>
  <c r="AT39" i="10"/>
  <c r="AT39" i="13" s="1"/>
  <c r="AU39" i="10"/>
  <c r="AU39" i="13" s="1"/>
  <c r="AV39" i="10"/>
  <c r="AV39" i="13" s="1"/>
  <c r="AW39" i="10"/>
  <c r="AW39" i="13" s="1"/>
  <c r="AX39" i="10"/>
  <c r="AX39" i="13" s="1"/>
  <c r="AK40" i="10"/>
  <c r="AK40" i="13" s="1"/>
  <c r="AL40" i="10"/>
  <c r="AL40" i="13" s="1"/>
  <c r="AM40" i="10"/>
  <c r="AM40" i="13" s="1"/>
  <c r="AN40" i="10"/>
  <c r="AN40" i="13" s="1"/>
  <c r="AO40" i="10"/>
  <c r="AO40" i="13" s="1"/>
  <c r="AP40" i="10"/>
  <c r="AP40" i="13" s="1"/>
  <c r="AQ40" i="10"/>
  <c r="AQ40" i="13" s="1"/>
  <c r="AR40" i="10"/>
  <c r="AR40" i="13" s="1"/>
  <c r="AS40" i="10"/>
  <c r="AS40" i="13" s="1"/>
  <c r="AT40" i="10"/>
  <c r="AT40" i="13" s="1"/>
  <c r="AU40" i="10"/>
  <c r="AU40" i="13" s="1"/>
  <c r="AV40" i="10"/>
  <c r="AV40" i="13" s="1"/>
  <c r="AW40" i="10"/>
  <c r="AW40" i="13" s="1"/>
  <c r="AX40" i="10"/>
  <c r="AX40" i="13" s="1"/>
  <c r="AK41" i="10"/>
  <c r="AK41" i="13" s="1"/>
  <c r="AL41" i="10"/>
  <c r="AL41" i="13" s="1"/>
  <c r="AM41" i="10"/>
  <c r="AM41" i="13" s="1"/>
  <c r="AN41" i="10"/>
  <c r="AN41" i="13" s="1"/>
  <c r="AO41" i="10"/>
  <c r="AO41" i="13" s="1"/>
  <c r="AP41" i="10"/>
  <c r="AP41" i="13" s="1"/>
  <c r="AQ41" i="10"/>
  <c r="AQ41" i="13" s="1"/>
  <c r="AR41" i="10"/>
  <c r="AR41" i="13" s="1"/>
  <c r="AS41" i="10"/>
  <c r="AS41" i="13" s="1"/>
  <c r="AT41" i="10"/>
  <c r="AT41" i="13" s="1"/>
  <c r="AU41" i="10"/>
  <c r="AU41" i="13" s="1"/>
  <c r="AV41" i="10"/>
  <c r="AV41" i="13" s="1"/>
  <c r="AW41" i="10"/>
  <c r="AW41" i="13" s="1"/>
  <c r="AX41" i="10"/>
  <c r="AX41" i="13" s="1"/>
  <c r="AK42" i="10"/>
  <c r="AK42" i="13" s="1"/>
  <c r="AL42" i="10"/>
  <c r="AL42" i="13" s="1"/>
  <c r="AM42" i="10"/>
  <c r="AM42" i="13" s="1"/>
  <c r="AN42" i="10"/>
  <c r="AN42" i="13" s="1"/>
  <c r="AO42" i="10"/>
  <c r="AO42" i="13" s="1"/>
  <c r="AP42" i="10"/>
  <c r="AP42" i="13" s="1"/>
  <c r="AQ42" i="10"/>
  <c r="AQ42" i="13" s="1"/>
  <c r="AR42" i="10"/>
  <c r="AR42" i="13" s="1"/>
  <c r="AS42" i="10"/>
  <c r="AS42" i="13" s="1"/>
  <c r="AT42" i="10"/>
  <c r="AT42" i="13" s="1"/>
  <c r="AU42" i="10"/>
  <c r="AU42" i="13" s="1"/>
  <c r="AV42" i="10"/>
  <c r="AV42" i="13" s="1"/>
  <c r="AW42" i="10"/>
  <c r="AW42" i="13" s="1"/>
  <c r="AX42" i="10"/>
  <c r="AX42" i="13" s="1"/>
  <c r="AK43" i="10"/>
  <c r="AK43" i="13" s="1"/>
  <c r="AL43" i="10"/>
  <c r="AL43" i="13" s="1"/>
  <c r="AM43" i="10"/>
  <c r="AM43" i="13" s="1"/>
  <c r="AN43" i="10"/>
  <c r="AN43" i="13" s="1"/>
  <c r="AO43" i="10"/>
  <c r="AO43" i="13" s="1"/>
  <c r="AP43" i="10"/>
  <c r="AP43" i="13" s="1"/>
  <c r="AQ43" i="10"/>
  <c r="AQ43" i="13" s="1"/>
  <c r="AR43" i="10"/>
  <c r="AR43" i="13" s="1"/>
  <c r="AS43" i="10"/>
  <c r="AS43" i="13" s="1"/>
  <c r="AT43" i="10"/>
  <c r="AT43" i="13" s="1"/>
  <c r="AU43" i="10"/>
  <c r="AU43" i="13" s="1"/>
  <c r="AV43" i="10"/>
  <c r="AV43" i="13" s="1"/>
  <c r="AW43" i="10"/>
  <c r="AW43" i="13" s="1"/>
  <c r="AX43" i="10"/>
  <c r="AX43" i="13" s="1"/>
  <c r="AK44" i="10"/>
  <c r="AK44" i="13" s="1"/>
  <c r="AL44" i="10"/>
  <c r="AL44" i="13" s="1"/>
  <c r="AM44" i="10"/>
  <c r="AM44" i="13" s="1"/>
  <c r="AN44" i="10"/>
  <c r="AN44" i="13" s="1"/>
  <c r="AO44" i="10"/>
  <c r="AO44" i="13" s="1"/>
  <c r="AP44" i="10"/>
  <c r="AP44" i="13" s="1"/>
  <c r="AQ44" i="10"/>
  <c r="AQ44" i="13" s="1"/>
  <c r="AR44" i="10"/>
  <c r="AR44" i="13" s="1"/>
  <c r="AS44" i="10"/>
  <c r="AS44" i="13" s="1"/>
  <c r="AT44" i="10"/>
  <c r="AT44" i="13" s="1"/>
  <c r="AU44" i="10"/>
  <c r="AU44" i="13" s="1"/>
  <c r="AV44" i="10"/>
  <c r="AV44" i="13" s="1"/>
  <c r="AW44" i="10"/>
  <c r="AW44" i="13" s="1"/>
  <c r="AX44" i="10"/>
  <c r="AX44" i="13" s="1"/>
  <c r="AK45" i="10"/>
  <c r="AK45" i="13" s="1"/>
  <c r="AL45" i="10"/>
  <c r="AL45" i="13" s="1"/>
  <c r="AM45" i="10"/>
  <c r="AM45" i="13" s="1"/>
  <c r="AN45" i="10"/>
  <c r="AN45" i="13" s="1"/>
  <c r="AO45" i="10"/>
  <c r="AO45" i="13" s="1"/>
  <c r="AP45" i="10"/>
  <c r="AP45" i="13" s="1"/>
  <c r="AQ45" i="10"/>
  <c r="AQ45" i="13" s="1"/>
  <c r="AR45" i="10"/>
  <c r="AR45" i="13" s="1"/>
  <c r="AS45" i="10"/>
  <c r="AS45" i="13" s="1"/>
  <c r="AT45" i="10"/>
  <c r="AT45" i="13" s="1"/>
  <c r="AU45" i="10"/>
  <c r="AU45" i="13" s="1"/>
  <c r="AV45" i="10"/>
  <c r="AV45" i="13" s="1"/>
  <c r="AW45" i="10"/>
  <c r="AW45" i="13" s="1"/>
  <c r="AX45" i="10"/>
  <c r="AX45" i="13" s="1"/>
  <c r="AK46" i="10"/>
  <c r="AK46" i="13" s="1"/>
  <c r="AL46" i="10"/>
  <c r="AL46" i="13" s="1"/>
  <c r="AM46" i="10"/>
  <c r="AM46" i="13" s="1"/>
  <c r="AN46" i="10"/>
  <c r="AN46" i="13" s="1"/>
  <c r="AO46" i="10"/>
  <c r="AO46" i="13" s="1"/>
  <c r="AP46" i="10"/>
  <c r="AP46" i="13" s="1"/>
  <c r="AQ46" i="10"/>
  <c r="AQ46" i="13" s="1"/>
  <c r="AR46" i="10"/>
  <c r="AR46" i="13" s="1"/>
  <c r="AS46" i="10"/>
  <c r="AS46" i="13" s="1"/>
  <c r="AT46" i="10"/>
  <c r="AT46" i="13" s="1"/>
  <c r="AU46" i="10"/>
  <c r="AU46" i="13" s="1"/>
  <c r="AV46" i="10"/>
  <c r="AV46" i="13" s="1"/>
  <c r="AW46" i="10"/>
  <c r="AW46" i="13" s="1"/>
  <c r="AX46" i="10"/>
  <c r="AX46" i="13" s="1"/>
  <c r="AK47" i="10"/>
  <c r="AK47" i="13" s="1"/>
  <c r="AL47" i="10"/>
  <c r="AL47" i="13" s="1"/>
  <c r="AM47" i="10"/>
  <c r="AM47" i="13" s="1"/>
  <c r="AN47" i="10"/>
  <c r="AN47" i="13" s="1"/>
  <c r="AO47" i="10"/>
  <c r="AO47" i="13" s="1"/>
  <c r="AP47" i="10"/>
  <c r="AP47" i="13" s="1"/>
  <c r="AQ47" i="10"/>
  <c r="AQ47" i="13" s="1"/>
  <c r="AR47" i="10"/>
  <c r="AR47" i="13" s="1"/>
  <c r="AS47" i="10"/>
  <c r="AS47" i="13" s="1"/>
  <c r="AT47" i="10"/>
  <c r="AT47" i="13" s="1"/>
  <c r="AU47" i="10"/>
  <c r="AU47" i="13" s="1"/>
  <c r="AV47" i="10"/>
  <c r="AV47" i="13" s="1"/>
  <c r="AW47" i="10"/>
  <c r="AW47" i="13" s="1"/>
  <c r="AX47" i="10"/>
  <c r="AX47" i="13" s="1"/>
  <c r="AK48" i="10"/>
  <c r="AK48" i="13" s="1"/>
  <c r="AL48" i="10"/>
  <c r="AL48" i="13" s="1"/>
  <c r="AM48" i="10"/>
  <c r="AM48" i="13" s="1"/>
  <c r="AN48" i="10"/>
  <c r="AN48" i="13" s="1"/>
  <c r="AO48" i="10"/>
  <c r="AO48" i="13" s="1"/>
  <c r="AP48" i="10"/>
  <c r="AP48" i="13" s="1"/>
  <c r="AQ48" i="10"/>
  <c r="AQ48" i="13" s="1"/>
  <c r="AR48" i="10"/>
  <c r="AR48" i="13" s="1"/>
  <c r="AS48" i="10"/>
  <c r="AS48" i="13" s="1"/>
  <c r="AT48" i="10"/>
  <c r="AT48" i="13" s="1"/>
  <c r="AU48" i="10"/>
  <c r="AU48" i="13" s="1"/>
  <c r="AV48" i="10"/>
  <c r="AV48" i="13" s="1"/>
  <c r="AW48" i="10"/>
  <c r="AW48" i="13" s="1"/>
  <c r="AX48" i="10"/>
  <c r="AX48" i="13" s="1"/>
  <c r="AK49" i="10"/>
  <c r="AK49" i="13" s="1"/>
  <c r="AL49" i="10"/>
  <c r="AL49" i="13" s="1"/>
  <c r="AM49" i="10"/>
  <c r="AM49" i="13" s="1"/>
  <c r="AN49" i="10"/>
  <c r="AN49" i="13" s="1"/>
  <c r="AO49" i="10"/>
  <c r="AO49" i="13" s="1"/>
  <c r="AP49" i="10"/>
  <c r="AP49" i="13" s="1"/>
  <c r="AQ49" i="10"/>
  <c r="AQ49" i="13" s="1"/>
  <c r="AR49" i="10"/>
  <c r="AR49" i="13" s="1"/>
  <c r="AS49" i="10"/>
  <c r="AS49" i="13" s="1"/>
  <c r="AT49" i="10"/>
  <c r="AT49" i="13" s="1"/>
  <c r="AU49" i="10"/>
  <c r="AU49" i="13" s="1"/>
  <c r="AV49" i="10"/>
  <c r="AV49" i="13" s="1"/>
  <c r="AW49" i="10"/>
  <c r="AW49" i="13" s="1"/>
  <c r="AX49" i="10"/>
  <c r="AX49" i="13" s="1"/>
  <c r="AK50" i="10"/>
  <c r="AK50" i="13" s="1"/>
  <c r="AL50" i="10"/>
  <c r="AL50" i="13" s="1"/>
  <c r="AM50" i="10"/>
  <c r="AM50" i="13" s="1"/>
  <c r="AN50" i="10"/>
  <c r="AN50" i="13" s="1"/>
  <c r="AO50" i="10"/>
  <c r="AO50" i="13" s="1"/>
  <c r="AP50" i="10"/>
  <c r="AP50" i="13" s="1"/>
  <c r="AQ50" i="10"/>
  <c r="AQ50" i="13" s="1"/>
  <c r="AR50" i="10"/>
  <c r="AR50" i="13" s="1"/>
  <c r="AS50" i="10"/>
  <c r="AS50" i="13" s="1"/>
  <c r="AT50" i="10"/>
  <c r="AT50" i="13" s="1"/>
  <c r="AU50" i="10"/>
  <c r="AU50" i="13" s="1"/>
  <c r="AV50" i="10"/>
  <c r="AV50" i="13" s="1"/>
  <c r="AW50" i="10"/>
  <c r="AW50" i="13" s="1"/>
  <c r="AX50" i="10"/>
  <c r="AX50" i="13" s="1"/>
  <c r="AK51" i="10"/>
  <c r="AK51" i="13" s="1"/>
  <c r="AL51" i="10"/>
  <c r="AL51" i="13" s="1"/>
  <c r="AM51" i="10"/>
  <c r="AM51" i="13" s="1"/>
  <c r="AN51" i="10"/>
  <c r="AN51" i="13" s="1"/>
  <c r="AO51" i="10"/>
  <c r="AO51" i="13" s="1"/>
  <c r="AP51" i="10"/>
  <c r="AP51" i="13" s="1"/>
  <c r="AQ51" i="10"/>
  <c r="AQ51" i="13" s="1"/>
  <c r="AR51" i="10"/>
  <c r="AR51" i="13" s="1"/>
  <c r="AS51" i="10"/>
  <c r="AS51" i="13" s="1"/>
  <c r="AT51" i="10"/>
  <c r="AT51" i="13" s="1"/>
  <c r="AU51" i="10"/>
  <c r="AU51" i="13" s="1"/>
  <c r="AV51" i="10"/>
  <c r="AV51" i="13" s="1"/>
  <c r="AW51" i="10"/>
  <c r="AW51" i="13" s="1"/>
  <c r="AX51" i="10"/>
  <c r="AX51" i="13" s="1"/>
  <c r="AK52" i="10"/>
  <c r="AK52" i="13" s="1"/>
  <c r="AL52" i="10"/>
  <c r="AL52" i="13" s="1"/>
  <c r="AM52" i="10"/>
  <c r="AM52" i="13" s="1"/>
  <c r="AN52" i="10"/>
  <c r="AN52" i="13" s="1"/>
  <c r="AO52" i="10"/>
  <c r="AO52" i="13" s="1"/>
  <c r="AP52" i="10"/>
  <c r="AP52" i="13" s="1"/>
  <c r="AQ52" i="10"/>
  <c r="AQ52" i="13" s="1"/>
  <c r="AR52" i="10"/>
  <c r="AR52" i="13" s="1"/>
  <c r="AS52" i="10"/>
  <c r="AS52" i="13" s="1"/>
  <c r="AT52" i="10"/>
  <c r="AT52" i="13" s="1"/>
  <c r="AU52" i="10"/>
  <c r="AU52" i="13" s="1"/>
  <c r="AV52" i="10"/>
  <c r="AV52" i="13" s="1"/>
  <c r="AW52" i="10"/>
  <c r="AW52" i="13" s="1"/>
  <c r="AX52" i="10"/>
  <c r="AX52" i="13" s="1"/>
  <c r="AK53" i="10"/>
  <c r="AK53" i="13" s="1"/>
  <c r="AL53" i="10"/>
  <c r="AL53" i="13" s="1"/>
  <c r="AM53" i="10"/>
  <c r="AM53" i="13" s="1"/>
  <c r="AN53" i="10"/>
  <c r="AN53" i="13" s="1"/>
  <c r="AO53" i="10"/>
  <c r="AO53" i="13" s="1"/>
  <c r="AP53" i="10"/>
  <c r="AP53" i="13" s="1"/>
  <c r="AQ53" i="10"/>
  <c r="AQ53" i="13" s="1"/>
  <c r="AR53" i="10"/>
  <c r="AR53" i="13" s="1"/>
  <c r="AS53" i="10"/>
  <c r="AS53" i="13" s="1"/>
  <c r="AT53" i="10"/>
  <c r="AT53" i="13" s="1"/>
  <c r="AU53" i="10"/>
  <c r="AU53" i="13" s="1"/>
  <c r="AV53" i="10"/>
  <c r="AV53" i="13" s="1"/>
  <c r="AW53" i="10"/>
  <c r="AW53" i="13" s="1"/>
  <c r="AX53" i="10"/>
  <c r="AX53" i="13" s="1"/>
  <c r="AK54" i="10"/>
  <c r="AK54" i="13" s="1"/>
  <c r="AL54" i="10"/>
  <c r="AL54" i="13" s="1"/>
  <c r="AM54" i="10"/>
  <c r="AM54" i="13" s="1"/>
  <c r="AN54" i="10"/>
  <c r="AN54" i="13" s="1"/>
  <c r="AO54" i="10"/>
  <c r="AO54" i="13" s="1"/>
  <c r="AP54" i="10"/>
  <c r="AP54" i="13" s="1"/>
  <c r="AQ54" i="10"/>
  <c r="AQ54" i="13" s="1"/>
  <c r="AR54" i="10"/>
  <c r="AR54" i="13" s="1"/>
  <c r="AS54" i="10"/>
  <c r="AS54" i="13" s="1"/>
  <c r="AT54" i="10"/>
  <c r="AT54" i="13" s="1"/>
  <c r="AU54" i="10"/>
  <c r="AU54" i="13" s="1"/>
  <c r="AV54" i="10"/>
  <c r="AV54" i="13" s="1"/>
  <c r="AW54" i="10"/>
  <c r="AW54" i="13" s="1"/>
  <c r="AX54" i="10"/>
  <c r="AX54" i="13" s="1"/>
  <c r="AK57" i="10"/>
  <c r="AK57" i="13" s="1"/>
  <c r="AL57" i="10"/>
  <c r="AL57" i="13" s="1"/>
  <c r="AM57" i="10"/>
  <c r="AM57" i="13" s="1"/>
  <c r="AN57" i="10"/>
  <c r="AN57" i="13" s="1"/>
  <c r="AO57" i="10"/>
  <c r="AO57" i="13" s="1"/>
  <c r="AP57" i="10"/>
  <c r="AP57" i="13" s="1"/>
  <c r="AQ57" i="10"/>
  <c r="AQ57" i="13" s="1"/>
  <c r="AR57" i="10"/>
  <c r="AR57" i="13" s="1"/>
  <c r="AS57" i="10"/>
  <c r="AS57" i="13" s="1"/>
  <c r="AT57" i="10"/>
  <c r="AT57" i="13" s="1"/>
  <c r="AU57" i="10"/>
  <c r="AU57" i="13" s="1"/>
  <c r="AV57" i="10"/>
  <c r="AV57" i="13" s="1"/>
  <c r="AW57" i="10"/>
  <c r="AW57" i="13" s="1"/>
  <c r="AX57" i="10"/>
  <c r="AX57" i="13" s="1"/>
  <c r="AK58" i="10"/>
  <c r="AK58" i="13" s="1"/>
  <c r="AL58" i="10"/>
  <c r="AL58" i="13" s="1"/>
  <c r="AM58" i="10"/>
  <c r="AM58" i="13" s="1"/>
  <c r="AN58" i="10"/>
  <c r="AN58" i="13" s="1"/>
  <c r="AO58" i="10"/>
  <c r="AO58" i="13" s="1"/>
  <c r="AP58" i="10"/>
  <c r="AP58" i="13" s="1"/>
  <c r="AQ58" i="10"/>
  <c r="AQ58" i="13" s="1"/>
  <c r="AR58" i="10"/>
  <c r="AR58" i="13" s="1"/>
  <c r="AS58" i="10"/>
  <c r="AS58" i="13" s="1"/>
  <c r="AT58" i="10"/>
  <c r="AT58" i="13" s="1"/>
  <c r="AU58" i="10"/>
  <c r="AU58" i="13" s="1"/>
  <c r="AV58" i="10"/>
  <c r="AV58" i="13" s="1"/>
  <c r="AW58" i="10"/>
  <c r="AW58" i="13" s="1"/>
  <c r="AX58" i="10"/>
  <c r="AX58" i="13" s="1"/>
  <c r="AK59" i="10"/>
  <c r="AK59" i="13" s="1"/>
  <c r="AL59" i="10"/>
  <c r="AL59" i="13" s="1"/>
  <c r="AM59" i="10"/>
  <c r="AM59" i="13" s="1"/>
  <c r="AN59" i="10"/>
  <c r="AN59" i="13" s="1"/>
  <c r="AO59" i="10"/>
  <c r="AO59" i="13" s="1"/>
  <c r="AP59" i="10"/>
  <c r="AP59" i="13" s="1"/>
  <c r="AQ59" i="10"/>
  <c r="AQ59" i="13" s="1"/>
  <c r="AR59" i="10"/>
  <c r="AR59" i="13" s="1"/>
  <c r="AS59" i="10"/>
  <c r="AS59" i="13" s="1"/>
  <c r="AT59" i="10"/>
  <c r="AT59" i="13" s="1"/>
  <c r="AU59" i="10"/>
  <c r="AU59" i="13" s="1"/>
  <c r="AV59" i="10"/>
  <c r="AV59" i="13" s="1"/>
  <c r="AW59" i="10"/>
  <c r="AW59" i="13" s="1"/>
  <c r="AX59" i="10"/>
  <c r="AX59" i="13" s="1"/>
  <c r="AK60" i="10"/>
  <c r="AK60" i="13" s="1"/>
  <c r="AL60" i="10"/>
  <c r="AL60" i="13" s="1"/>
  <c r="AM60" i="10"/>
  <c r="AM60" i="13" s="1"/>
  <c r="AN60" i="10"/>
  <c r="AN60" i="13" s="1"/>
  <c r="AO60" i="10"/>
  <c r="AO60" i="13" s="1"/>
  <c r="AP60" i="10"/>
  <c r="AP60" i="13" s="1"/>
  <c r="AQ60" i="10"/>
  <c r="AQ60" i="13" s="1"/>
  <c r="AR60" i="10"/>
  <c r="AR60" i="13" s="1"/>
  <c r="AS60" i="10"/>
  <c r="AS60" i="13" s="1"/>
  <c r="AT60" i="10"/>
  <c r="AT60" i="13" s="1"/>
  <c r="AU60" i="10"/>
  <c r="AU60" i="13" s="1"/>
  <c r="AV60" i="10"/>
  <c r="AV60" i="13" s="1"/>
  <c r="AW60" i="10"/>
  <c r="AW60" i="13" s="1"/>
  <c r="AX60" i="10"/>
  <c r="AX60" i="13" s="1"/>
  <c r="AK61" i="10"/>
  <c r="AK61" i="13" s="1"/>
  <c r="AL61" i="10"/>
  <c r="AL61" i="13" s="1"/>
  <c r="AM61" i="10"/>
  <c r="AM61" i="13" s="1"/>
  <c r="AN61" i="10"/>
  <c r="AN61" i="13" s="1"/>
  <c r="AO61" i="10"/>
  <c r="AO61" i="13" s="1"/>
  <c r="AP61" i="10"/>
  <c r="AP61" i="13" s="1"/>
  <c r="AQ61" i="10"/>
  <c r="AQ61" i="13" s="1"/>
  <c r="AR61" i="10"/>
  <c r="AR61" i="13" s="1"/>
  <c r="AS61" i="10"/>
  <c r="AS61" i="13" s="1"/>
  <c r="AT61" i="10"/>
  <c r="AT61" i="13" s="1"/>
  <c r="AU61" i="10"/>
  <c r="AU61" i="13" s="1"/>
  <c r="AV61" i="10"/>
  <c r="AV61" i="13" s="1"/>
  <c r="AW61" i="10"/>
  <c r="AW61" i="13" s="1"/>
  <c r="AX61" i="10"/>
  <c r="AX61" i="13" s="1"/>
  <c r="AK62" i="10"/>
  <c r="AK62" i="13" s="1"/>
  <c r="AL62" i="10"/>
  <c r="AL62" i="13" s="1"/>
  <c r="AM62" i="10"/>
  <c r="AM62" i="13" s="1"/>
  <c r="AN62" i="10"/>
  <c r="AN62" i="13" s="1"/>
  <c r="AO62" i="10"/>
  <c r="AO62" i="13" s="1"/>
  <c r="AP62" i="10"/>
  <c r="AP62" i="13" s="1"/>
  <c r="AQ62" i="10"/>
  <c r="AQ62" i="13" s="1"/>
  <c r="AR62" i="10"/>
  <c r="AR62" i="13" s="1"/>
  <c r="AS62" i="10"/>
  <c r="AS62" i="13" s="1"/>
  <c r="AT62" i="10"/>
  <c r="AT62" i="13" s="1"/>
  <c r="AU62" i="10"/>
  <c r="AU62" i="13" s="1"/>
  <c r="AV62" i="10"/>
  <c r="AV62" i="13" s="1"/>
  <c r="AW62" i="10"/>
  <c r="AW62" i="13" s="1"/>
  <c r="AX62" i="10"/>
  <c r="AX62" i="13" s="1"/>
  <c r="AK63" i="10"/>
  <c r="AK63" i="13" s="1"/>
  <c r="AL63" i="10"/>
  <c r="AL63" i="13" s="1"/>
  <c r="AM63" i="10"/>
  <c r="AM63" i="13" s="1"/>
  <c r="AN63" i="10"/>
  <c r="AN63" i="13" s="1"/>
  <c r="AO63" i="10"/>
  <c r="AO63" i="13" s="1"/>
  <c r="AP63" i="10"/>
  <c r="AP63" i="13" s="1"/>
  <c r="AQ63" i="10"/>
  <c r="AQ63" i="13" s="1"/>
  <c r="AR63" i="10"/>
  <c r="AR63" i="13" s="1"/>
  <c r="AS63" i="10"/>
  <c r="AS63" i="13" s="1"/>
  <c r="AT63" i="10"/>
  <c r="AT63" i="13" s="1"/>
  <c r="AU63" i="10"/>
  <c r="AU63" i="13" s="1"/>
  <c r="AV63" i="10"/>
  <c r="AV63" i="13" s="1"/>
  <c r="AW63" i="10"/>
  <c r="AW63" i="13" s="1"/>
  <c r="AX63" i="10"/>
  <c r="AX63" i="13" s="1"/>
  <c r="AK64" i="10"/>
  <c r="AK64" i="13" s="1"/>
  <c r="AL64" i="10"/>
  <c r="AL64" i="13" s="1"/>
  <c r="AM64" i="10"/>
  <c r="AM64" i="13" s="1"/>
  <c r="AN64" i="10"/>
  <c r="AN64" i="13" s="1"/>
  <c r="AO64" i="10"/>
  <c r="AO64" i="13" s="1"/>
  <c r="AP64" i="10"/>
  <c r="AP64" i="13" s="1"/>
  <c r="AQ64" i="10"/>
  <c r="AQ64" i="13" s="1"/>
  <c r="AR64" i="10"/>
  <c r="AR64" i="13" s="1"/>
  <c r="AS64" i="10"/>
  <c r="AS64" i="13" s="1"/>
  <c r="AT64" i="10"/>
  <c r="AT64" i="13" s="1"/>
  <c r="AU64" i="10"/>
  <c r="AU64" i="13" s="1"/>
  <c r="AV64" i="10"/>
  <c r="AV64" i="13" s="1"/>
  <c r="AW64" i="10"/>
  <c r="AW64" i="13" s="1"/>
  <c r="AX64" i="10"/>
  <c r="AX64" i="13" s="1"/>
  <c r="AK65" i="10"/>
  <c r="AK65" i="13" s="1"/>
  <c r="AL65" i="10"/>
  <c r="AL65" i="13" s="1"/>
  <c r="AM65" i="10"/>
  <c r="AM65" i="13" s="1"/>
  <c r="AN65" i="10"/>
  <c r="AN65" i="13" s="1"/>
  <c r="AO65" i="10"/>
  <c r="AO65" i="13" s="1"/>
  <c r="AP65" i="10"/>
  <c r="AP65" i="13" s="1"/>
  <c r="AQ65" i="10"/>
  <c r="AQ65" i="13" s="1"/>
  <c r="AR65" i="10"/>
  <c r="AR65" i="13" s="1"/>
  <c r="AS65" i="10"/>
  <c r="AS65" i="13" s="1"/>
  <c r="AT65" i="10"/>
  <c r="AT65" i="13" s="1"/>
  <c r="AU65" i="10"/>
  <c r="AU65" i="13" s="1"/>
  <c r="AV65" i="10"/>
  <c r="AV65" i="13" s="1"/>
  <c r="AW65" i="10"/>
  <c r="AW65" i="13" s="1"/>
  <c r="AX65" i="10"/>
  <c r="AX65" i="13" s="1"/>
  <c r="AK66" i="10"/>
  <c r="AK66" i="13" s="1"/>
  <c r="AL66" i="10"/>
  <c r="AL66" i="13" s="1"/>
  <c r="AM66" i="10"/>
  <c r="AM66" i="13" s="1"/>
  <c r="AN66" i="10"/>
  <c r="AN66" i="13" s="1"/>
  <c r="AO66" i="10"/>
  <c r="AO66" i="13" s="1"/>
  <c r="AP66" i="10"/>
  <c r="AP66" i="13" s="1"/>
  <c r="AQ66" i="10"/>
  <c r="AQ66" i="13" s="1"/>
  <c r="AR66" i="10"/>
  <c r="AR66" i="13" s="1"/>
  <c r="AS66" i="10"/>
  <c r="AS66" i="13" s="1"/>
  <c r="AT66" i="10"/>
  <c r="AT66" i="13" s="1"/>
  <c r="AU66" i="10"/>
  <c r="AU66" i="13" s="1"/>
  <c r="AV66" i="10"/>
  <c r="AV66" i="13" s="1"/>
  <c r="AW66" i="10"/>
  <c r="AW66" i="13" s="1"/>
  <c r="AX66" i="10"/>
  <c r="AX66" i="13" s="1"/>
  <c r="AK67" i="10"/>
  <c r="AK67" i="13" s="1"/>
  <c r="AL67" i="10"/>
  <c r="AL67" i="13" s="1"/>
  <c r="AM67" i="10"/>
  <c r="AM67" i="13" s="1"/>
  <c r="AN67" i="10"/>
  <c r="AN67" i="13" s="1"/>
  <c r="AO67" i="10"/>
  <c r="AO67" i="13" s="1"/>
  <c r="AP67" i="10"/>
  <c r="AP67" i="13" s="1"/>
  <c r="AQ67" i="10"/>
  <c r="AQ67" i="13" s="1"/>
  <c r="AR67" i="10"/>
  <c r="AR67" i="13" s="1"/>
  <c r="AS67" i="10"/>
  <c r="AS67" i="13" s="1"/>
  <c r="AT67" i="10"/>
  <c r="AT67" i="13" s="1"/>
  <c r="AU67" i="10"/>
  <c r="AU67" i="13" s="1"/>
  <c r="AV67" i="10"/>
  <c r="AV67" i="13" s="1"/>
  <c r="AW67" i="10"/>
  <c r="AW67" i="13" s="1"/>
  <c r="AX67" i="10"/>
  <c r="AX67" i="13" s="1"/>
  <c r="AK68" i="10"/>
  <c r="AK68" i="13" s="1"/>
  <c r="AL68" i="10"/>
  <c r="AL68" i="13" s="1"/>
  <c r="AM68" i="10"/>
  <c r="AM68" i="13" s="1"/>
  <c r="AN68" i="10"/>
  <c r="AN68" i="13" s="1"/>
  <c r="AO68" i="10"/>
  <c r="AO68" i="13" s="1"/>
  <c r="AP68" i="10"/>
  <c r="AP68" i="13" s="1"/>
  <c r="AQ68" i="10"/>
  <c r="AQ68" i="13" s="1"/>
  <c r="AR68" i="10"/>
  <c r="AR68" i="13" s="1"/>
  <c r="AS68" i="10"/>
  <c r="AS68" i="13" s="1"/>
  <c r="AT68" i="10"/>
  <c r="AT68" i="13" s="1"/>
  <c r="AU68" i="10"/>
  <c r="AU68" i="13" s="1"/>
  <c r="AV68" i="10"/>
  <c r="AV68" i="13" s="1"/>
  <c r="AW68" i="10"/>
  <c r="AW68" i="13" s="1"/>
  <c r="AX68" i="10"/>
  <c r="AX68" i="13" s="1"/>
  <c r="AK69" i="10"/>
  <c r="AK69" i="13" s="1"/>
  <c r="AL69" i="10"/>
  <c r="AL69" i="13" s="1"/>
  <c r="AM69" i="10"/>
  <c r="AM69" i="13" s="1"/>
  <c r="AN69" i="10"/>
  <c r="AN69" i="13" s="1"/>
  <c r="AO69" i="10"/>
  <c r="AO69" i="13" s="1"/>
  <c r="AP69" i="10"/>
  <c r="AP69" i="13" s="1"/>
  <c r="AQ69" i="10"/>
  <c r="AQ69" i="13" s="1"/>
  <c r="AR69" i="10"/>
  <c r="AR69" i="13" s="1"/>
  <c r="AS69" i="10"/>
  <c r="AS69" i="13" s="1"/>
  <c r="AT69" i="10"/>
  <c r="AT69" i="13" s="1"/>
  <c r="AU69" i="10"/>
  <c r="AU69" i="13" s="1"/>
  <c r="AV69" i="10"/>
  <c r="AV69" i="13" s="1"/>
  <c r="AW69" i="10"/>
  <c r="AW69" i="13" s="1"/>
  <c r="AX69" i="10"/>
  <c r="AX69" i="13" s="1"/>
  <c r="AK70" i="10"/>
  <c r="AK70" i="13" s="1"/>
  <c r="AL70" i="10"/>
  <c r="AL70" i="13" s="1"/>
  <c r="AM70" i="10"/>
  <c r="AM70" i="13" s="1"/>
  <c r="AN70" i="10"/>
  <c r="AN70" i="13" s="1"/>
  <c r="AO70" i="10"/>
  <c r="AO70" i="13" s="1"/>
  <c r="AP70" i="10"/>
  <c r="AP70" i="13" s="1"/>
  <c r="AQ70" i="10"/>
  <c r="AQ70" i="13" s="1"/>
  <c r="AR70" i="10"/>
  <c r="AR70" i="13" s="1"/>
  <c r="AS70" i="10"/>
  <c r="AS70" i="13" s="1"/>
  <c r="AT70" i="10"/>
  <c r="AT70" i="13" s="1"/>
  <c r="AU70" i="10"/>
  <c r="AU70" i="13" s="1"/>
  <c r="AV70" i="10"/>
  <c r="AV70" i="13" s="1"/>
  <c r="AW70" i="10"/>
  <c r="AW70" i="13" s="1"/>
  <c r="AX70" i="10"/>
  <c r="AX70" i="13" s="1"/>
  <c r="AL2" i="10"/>
  <c r="AL2" i="13" s="1"/>
  <c r="AM2" i="10"/>
  <c r="AM2" i="13" s="1"/>
  <c r="AN2" i="10"/>
  <c r="AN2" i="13" s="1"/>
  <c r="AO2" i="10"/>
  <c r="AO2" i="13" s="1"/>
  <c r="AP2" i="10"/>
  <c r="AP2" i="13" s="1"/>
  <c r="AQ2" i="10"/>
  <c r="AQ2" i="13" s="1"/>
  <c r="AR2" i="10"/>
  <c r="AR2" i="13" s="1"/>
  <c r="AS2" i="10"/>
  <c r="AS2" i="13" s="1"/>
  <c r="AT2" i="10"/>
  <c r="AT2" i="13" s="1"/>
  <c r="AU2" i="10"/>
  <c r="AU2" i="13" s="1"/>
  <c r="AV2" i="10"/>
  <c r="AV2" i="13" s="1"/>
  <c r="AW2" i="10"/>
  <c r="AW2" i="13" s="1"/>
  <c r="AX2" i="10"/>
  <c r="AX2" i="13" s="1"/>
  <c r="AK2" i="10"/>
  <c r="AK2" i="13" s="1"/>
  <c r="AA3" i="10"/>
  <c r="AA3" i="13" s="1"/>
  <c r="AB3" i="10"/>
  <c r="AB3" i="13" s="1"/>
  <c r="AC3" i="10"/>
  <c r="AC3" i="13" s="1"/>
  <c r="AD3" i="10"/>
  <c r="AD3" i="13" s="1"/>
  <c r="AF3" i="10"/>
  <c r="AF3" i="13" s="1"/>
  <c r="AG3" i="10"/>
  <c r="AG3" i="13" s="1"/>
  <c r="AH3" i="10"/>
  <c r="AH3" i="13" s="1"/>
  <c r="AI3" i="10"/>
  <c r="AI3" i="13" s="1"/>
  <c r="AA4" i="10"/>
  <c r="AA4" i="13" s="1"/>
  <c r="AB4" i="10"/>
  <c r="AB4" i="13" s="1"/>
  <c r="AC4" i="10"/>
  <c r="AC4" i="13" s="1"/>
  <c r="AD4" i="10"/>
  <c r="AD4" i="13" s="1"/>
  <c r="AF4" i="10"/>
  <c r="AF4" i="13" s="1"/>
  <c r="AG4" i="10"/>
  <c r="AG4" i="13" s="1"/>
  <c r="AH4" i="10"/>
  <c r="AH4" i="13" s="1"/>
  <c r="AI4" i="10"/>
  <c r="AI4" i="13" s="1"/>
  <c r="AA5" i="10"/>
  <c r="AA5" i="13" s="1"/>
  <c r="AB5" i="10"/>
  <c r="AB5" i="13" s="1"/>
  <c r="AC5" i="10"/>
  <c r="AC5" i="13" s="1"/>
  <c r="AD5" i="10"/>
  <c r="AD5" i="13" s="1"/>
  <c r="AF5" i="10"/>
  <c r="AF5" i="13" s="1"/>
  <c r="AG5" i="10"/>
  <c r="AG5" i="13" s="1"/>
  <c r="AH5" i="10"/>
  <c r="AH5" i="13" s="1"/>
  <c r="AI5" i="10"/>
  <c r="AI5" i="13" s="1"/>
  <c r="AA6" i="10"/>
  <c r="AA6" i="13" s="1"/>
  <c r="AB6" i="10"/>
  <c r="AB6" i="13" s="1"/>
  <c r="AC6" i="10"/>
  <c r="AC6" i="13" s="1"/>
  <c r="AD6" i="10"/>
  <c r="AD6" i="13" s="1"/>
  <c r="AF6" i="10"/>
  <c r="AF6" i="13" s="1"/>
  <c r="AG6" i="10"/>
  <c r="AG6" i="13" s="1"/>
  <c r="AH6" i="10"/>
  <c r="AH6" i="13" s="1"/>
  <c r="AI6" i="10"/>
  <c r="AI6" i="13" s="1"/>
  <c r="AA7" i="10"/>
  <c r="AA7" i="13" s="1"/>
  <c r="AB7" i="10"/>
  <c r="AB7" i="13" s="1"/>
  <c r="AC7" i="10"/>
  <c r="AC7" i="13" s="1"/>
  <c r="AD7" i="10"/>
  <c r="AD7" i="13" s="1"/>
  <c r="AF7" i="10"/>
  <c r="AF7" i="13" s="1"/>
  <c r="AG7" i="10"/>
  <c r="AG7" i="13" s="1"/>
  <c r="AH7" i="10"/>
  <c r="AH7" i="13" s="1"/>
  <c r="AI7" i="10"/>
  <c r="AI7" i="13" s="1"/>
  <c r="AA8" i="10"/>
  <c r="AA8" i="13" s="1"/>
  <c r="AB8" i="10"/>
  <c r="AB8" i="13" s="1"/>
  <c r="AC8" i="10"/>
  <c r="AC8" i="13" s="1"/>
  <c r="AD8" i="10"/>
  <c r="AD8" i="13" s="1"/>
  <c r="AF8" i="10"/>
  <c r="AF8" i="13" s="1"/>
  <c r="AG8" i="10"/>
  <c r="AG8" i="13" s="1"/>
  <c r="AH8" i="10"/>
  <c r="AH8" i="13" s="1"/>
  <c r="AI8" i="10"/>
  <c r="AI8" i="13" s="1"/>
  <c r="AA9" i="10"/>
  <c r="AA9" i="13" s="1"/>
  <c r="AB9" i="10"/>
  <c r="AB9" i="13" s="1"/>
  <c r="AC9" i="10"/>
  <c r="AC9" i="13" s="1"/>
  <c r="AD9" i="10"/>
  <c r="AD9" i="13" s="1"/>
  <c r="AF9" i="10"/>
  <c r="AF9" i="13" s="1"/>
  <c r="AG9" i="10"/>
  <c r="AG9" i="13" s="1"/>
  <c r="AH9" i="10"/>
  <c r="AH9" i="13" s="1"/>
  <c r="AI9" i="10"/>
  <c r="AI9" i="13" s="1"/>
  <c r="AA10" i="10"/>
  <c r="AA10" i="13" s="1"/>
  <c r="AB10" i="10"/>
  <c r="AB10" i="13" s="1"/>
  <c r="AC10" i="10"/>
  <c r="AC10" i="13" s="1"/>
  <c r="AD10" i="10"/>
  <c r="AD10" i="13" s="1"/>
  <c r="AF10" i="10"/>
  <c r="AF10" i="13" s="1"/>
  <c r="AG10" i="10"/>
  <c r="AG10" i="13" s="1"/>
  <c r="AH10" i="10"/>
  <c r="AH10" i="13" s="1"/>
  <c r="AI10" i="10"/>
  <c r="AI10" i="13" s="1"/>
  <c r="AA11" i="10"/>
  <c r="AA11" i="13" s="1"/>
  <c r="AB11" i="10"/>
  <c r="AB11" i="13" s="1"/>
  <c r="AC11" i="10"/>
  <c r="AC11" i="13" s="1"/>
  <c r="AD11" i="10"/>
  <c r="AD11" i="13" s="1"/>
  <c r="AF11" i="10"/>
  <c r="AF11" i="13" s="1"/>
  <c r="AG11" i="10"/>
  <c r="AG11" i="13" s="1"/>
  <c r="AH11" i="10"/>
  <c r="AH11" i="13" s="1"/>
  <c r="AI11" i="10"/>
  <c r="AI11" i="13" s="1"/>
  <c r="AA13" i="10"/>
  <c r="AA13" i="13" s="1"/>
  <c r="AB13" i="10"/>
  <c r="AB13" i="13" s="1"/>
  <c r="AC13" i="10"/>
  <c r="AC13" i="13" s="1"/>
  <c r="AD13" i="10"/>
  <c r="AD13" i="13" s="1"/>
  <c r="AF13" i="10"/>
  <c r="AF13" i="13" s="1"/>
  <c r="AG13" i="10"/>
  <c r="AG13" i="13" s="1"/>
  <c r="AH13" i="10"/>
  <c r="AH13" i="13" s="1"/>
  <c r="AI13" i="10"/>
  <c r="AI13" i="13" s="1"/>
  <c r="AA14" i="10"/>
  <c r="AA14" i="13" s="1"/>
  <c r="AB14" i="10"/>
  <c r="AB14" i="13" s="1"/>
  <c r="AC14" i="10"/>
  <c r="AC14" i="13" s="1"/>
  <c r="AD14" i="10"/>
  <c r="AD14" i="13" s="1"/>
  <c r="AF14" i="10"/>
  <c r="AF14" i="13" s="1"/>
  <c r="AG14" i="10"/>
  <c r="AG14" i="13" s="1"/>
  <c r="AH14" i="10"/>
  <c r="AH14" i="13" s="1"/>
  <c r="AI14" i="10"/>
  <c r="AI14" i="13" s="1"/>
  <c r="AA15" i="10"/>
  <c r="AA15" i="13" s="1"/>
  <c r="AB15" i="10"/>
  <c r="AB15" i="13" s="1"/>
  <c r="AC15" i="10"/>
  <c r="AC15" i="13" s="1"/>
  <c r="AD15" i="10"/>
  <c r="AD15" i="13" s="1"/>
  <c r="AF15" i="10"/>
  <c r="AF15" i="13" s="1"/>
  <c r="AG15" i="10"/>
  <c r="AG15" i="13" s="1"/>
  <c r="AH15" i="10"/>
  <c r="AH15" i="13" s="1"/>
  <c r="AI15" i="10"/>
  <c r="AI15" i="13" s="1"/>
  <c r="AA16" i="10"/>
  <c r="AA16" i="13" s="1"/>
  <c r="AB16" i="10"/>
  <c r="AB16" i="13" s="1"/>
  <c r="AC16" i="10"/>
  <c r="AC16" i="13" s="1"/>
  <c r="AD16" i="10"/>
  <c r="AD16" i="13" s="1"/>
  <c r="AF16" i="10"/>
  <c r="AF16" i="13" s="1"/>
  <c r="AG16" i="10"/>
  <c r="AG16" i="13" s="1"/>
  <c r="AH16" i="10"/>
  <c r="AH16" i="13" s="1"/>
  <c r="AI16" i="10"/>
  <c r="AI16" i="13" s="1"/>
  <c r="AA17" i="10"/>
  <c r="AA17" i="13" s="1"/>
  <c r="AB17" i="10"/>
  <c r="AB17" i="13" s="1"/>
  <c r="AC17" i="10"/>
  <c r="AC17" i="13" s="1"/>
  <c r="AD17" i="10"/>
  <c r="AD17" i="13" s="1"/>
  <c r="AF17" i="10"/>
  <c r="AF17" i="13" s="1"/>
  <c r="AG17" i="10"/>
  <c r="AG17" i="13" s="1"/>
  <c r="AH17" i="10"/>
  <c r="AH17" i="13" s="1"/>
  <c r="AI17" i="10"/>
  <c r="AI17" i="13" s="1"/>
  <c r="AA18" i="10"/>
  <c r="AA18" i="13" s="1"/>
  <c r="AB18" i="10"/>
  <c r="AB18" i="13" s="1"/>
  <c r="AC18" i="10"/>
  <c r="AC18" i="13" s="1"/>
  <c r="AD18" i="10"/>
  <c r="AD18" i="13" s="1"/>
  <c r="AF18" i="10"/>
  <c r="AF18" i="13" s="1"/>
  <c r="AG18" i="10"/>
  <c r="AG18" i="13" s="1"/>
  <c r="AH18" i="10"/>
  <c r="AH18" i="13" s="1"/>
  <c r="AI18" i="10"/>
  <c r="AI18" i="13" s="1"/>
  <c r="AA19" i="10"/>
  <c r="AA19" i="13" s="1"/>
  <c r="AB19" i="10"/>
  <c r="AB19" i="13" s="1"/>
  <c r="AC19" i="10"/>
  <c r="AC19" i="13" s="1"/>
  <c r="AD19" i="10"/>
  <c r="AD19" i="13" s="1"/>
  <c r="AF19" i="10"/>
  <c r="AF19" i="13" s="1"/>
  <c r="AG19" i="10"/>
  <c r="AG19" i="13" s="1"/>
  <c r="AH19" i="10"/>
  <c r="AH19" i="13" s="1"/>
  <c r="AI19" i="10"/>
  <c r="AI19" i="13" s="1"/>
  <c r="AA20" i="10"/>
  <c r="AA20" i="13" s="1"/>
  <c r="AB20" i="10"/>
  <c r="AB20" i="13" s="1"/>
  <c r="AC20" i="10"/>
  <c r="AC20" i="13" s="1"/>
  <c r="AD20" i="10"/>
  <c r="AD20" i="13" s="1"/>
  <c r="AF20" i="10"/>
  <c r="AF20" i="13" s="1"/>
  <c r="AG20" i="10"/>
  <c r="AG20" i="13" s="1"/>
  <c r="AH20" i="10"/>
  <c r="AH20" i="13" s="1"/>
  <c r="AI20" i="10"/>
  <c r="AI20" i="13" s="1"/>
  <c r="AA21" i="10"/>
  <c r="AA21" i="13" s="1"/>
  <c r="AB21" i="10"/>
  <c r="AB21" i="13" s="1"/>
  <c r="AC21" i="10"/>
  <c r="AC21" i="13" s="1"/>
  <c r="AD21" i="10"/>
  <c r="AD21" i="13" s="1"/>
  <c r="AF21" i="10"/>
  <c r="AF21" i="13" s="1"/>
  <c r="AG21" i="10"/>
  <c r="AG21" i="13" s="1"/>
  <c r="AH21" i="10"/>
  <c r="AH21" i="13" s="1"/>
  <c r="AI21" i="10"/>
  <c r="AI21" i="13" s="1"/>
  <c r="AA22" i="10"/>
  <c r="AA22" i="13" s="1"/>
  <c r="AB22" i="10"/>
  <c r="AB22" i="13" s="1"/>
  <c r="AC22" i="10"/>
  <c r="AC22" i="13" s="1"/>
  <c r="AD22" i="10"/>
  <c r="AD22" i="13" s="1"/>
  <c r="AF22" i="10"/>
  <c r="AF22" i="13" s="1"/>
  <c r="AG22" i="10"/>
  <c r="AG22" i="13" s="1"/>
  <c r="AH22" i="10"/>
  <c r="AH22" i="13" s="1"/>
  <c r="AI22" i="10"/>
  <c r="AI22" i="13" s="1"/>
  <c r="AA23" i="10"/>
  <c r="AA23" i="13" s="1"/>
  <c r="AB23" i="10"/>
  <c r="AB23" i="13" s="1"/>
  <c r="AC23" i="10"/>
  <c r="AC23" i="13" s="1"/>
  <c r="AD23" i="10"/>
  <c r="AD23" i="13" s="1"/>
  <c r="AF23" i="10"/>
  <c r="AF23" i="13" s="1"/>
  <c r="AG23" i="10"/>
  <c r="AG23" i="13" s="1"/>
  <c r="AH23" i="10"/>
  <c r="AH23" i="13" s="1"/>
  <c r="AI23" i="10"/>
  <c r="AI23" i="13" s="1"/>
  <c r="AA24" i="10"/>
  <c r="AA24" i="13" s="1"/>
  <c r="AB24" i="10"/>
  <c r="AB24" i="13" s="1"/>
  <c r="AC24" i="10"/>
  <c r="AC24" i="13" s="1"/>
  <c r="AD24" i="10"/>
  <c r="AD24" i="13" s="1"/>
  <c r="AF24" i="10"/>
  <c r="AF24" i="13" s="1"/>
  <c r="AG24" i="10"/>
  <c r="AG24" i="13" s="1"/>
  <c r="AH24" i="10"/>
  <c r="AH24" i="13" s="1"/>
  <c r="AI24" i="10"/>
  <c r="AI24" i="13" s="1"/>
  <c r="AA25" i="10"/>
  <c r="AA25" i="13" s="1"/>
  <c r="AB25" i="10"/>
  <c r="AB25" i="13" s="1"/>
  <c r="AC25" i="10"/>
  <c r="AC25" i="13" s="1"/>
  <c r="AD25" i="10"/>
  <c r="AD25" i="13" s="1"/>
  <c r="AF25" i="10"/>
  <c r="AF25" i="13" s="1"/>
  <c r="AG25" i="10"/>
  <c r="AG25" i="13" s="1"/>
  <c r="AH25" i="10"/>
  <c r="AH25" i="13" s="1"/>
  <c r="AI25" i="10"/>
  <c r="AI25" i="13" s="1"/>
  <c r="AA26" i="10"/>
  <c r="AA26" i="13" s="1"/>
  <c r="AB26" i="10"/>
  <c r="AB26" i="13" s="1"/>
  <c r="AC26" i="10"/>
  <c r="AC26" i="13" s="1"/>
  <c r="AD26" i="10"/>
  <c r="AD26" i="13" s="1"/>
  <c r="AF26" i="10"/>
  <c r="AF26" i="13" s="1"/>
  <c r="AG26" i="10"/>
  <c r="AG26" i="13" s="1"/>
  <c r="AH26" i="10"/>
  <c r="AH26" i="13" s="1"/>
  <c r="AI26" i="10"/>
  <c r="AI26" i="13" s="1"/>
  <c r="AA27" i="10"/>
  <c r="AA27" i="13" s="1"/>
  <c r="AB27" i="10"/>
  <c r="AB27" i="13" s="1"/>
  <c r="AC27" i="10"/>
  <c r="AC27" i="13" s="1"/>
  <c r="AD27" i="10"/>
  <c r="AD27" i="13" s="1"/>
  <c r="AF27" i="10"/>
  <c r="AF27" i="13" s="1"/>
  <c r="AG27" i="10"/>
  <c r="AG27" i="13" s="1"/>
  <c r="AH27" i="10"/>
  <c r="AH27" i="13" s="1"/>
  <c r="AI27" i="10"/>
  <c r="AI27" i="13" s="1"/>
  <c r="AA28" i="10"/>
  <c r="AA28" i="13" s="1"/>
  <c r="AB28" i="10"/>
  <c r="AB28" i="13" s="1"/>
  <c r="AC28" i="10"/>
  <c r="AC28" i="13" s="1"/>
  <c r="AD28" i="10"/>
  <c r="AD28" i="13" s="1"/>
  <c r="AF28" i="10"/>
  <c r="AF28" i="13" s="1"/>
  <c r="AG28" i="10"/>
  <c r="AG28" i="13" s="1"/>
  <c r="AH28" i="10"/>
  <c r="AH28" i="13" s="1"/>
  <c r="AI28" i="10"/>
  <c r="AI28" i="13" s="1"/>
  <c r="AA29" i="10"/>
  <c r="AA29" i="13" s="1"/>
  <c r="AB29" i="10"/>
  <c r="AB29" i="13" s="1"/>
  <c r="AC29" i="10"/>
  <c r="AC29" i="13" s="1"/>
  <c r="AD29" i="10"/>
  <c r="AD29" i="13" s="1"/>
  <c r="AF29" i="10"/>
  <c r="AF29" i="13" s="1"/>
  <c r="AG29" i="10"/>
  <c r="AG29" i="13" s="1"/>
  <c r="AH29" i="10"/>
  <c r="AH29" i="13" s="1"/>
  <c r="AI29" i="10"/>
  <c r="AI29" i="13" s="1"/>
  <c r="AA30" i="10"/>
  <c r="AA30" i="13" s="1"/>
  <c r="AB30" i="10"/>
  <c r="AB30" i="13" s="1"/>
  <c r="AC30" i="10"/>
  <c r="AC30" i="13" s="1"/>
  <c r="AD30" i="10"/>
  <c r="AD30" i="13" s="1"/>
  <c r="AF30" i="10"/>
  <c r="AF30" i="13" s="1"/>
  <c r="AG30" i="10"/>
  <c r="AG30" i="13" s="1"/>
  <c r="AH30" i="10"/>
  <c r="AH30" i="13" s="1"/>
  <c r="AI30" i="10"/>
  <c r="AI30" i="13" s="1"/>
  <c r="AA31" i="10"/>
  <c r="AA31" i="13" s="1"/>
  <c r="AB31" i="10"/>
  <c r="AB31" i="13" s="1"/>
  <c r="AC31" i="10"/>
  <c r="AC31" i="13" s="1"/>
  <c r="AD31" i="10"/>
  <c r="AD31" i="13" s="1"/>
  <c r="AF31" i="10"/>
  <c r="AF31" i="13" s="1"/>
  <c r="AG31" i="10"/>
  <c r="AG31" i="13" s="1"/>
  <c r="AH31" i="10"/>
  <c r="AH31" i="13" s="1"/>
  <c r="AI31" i="10"/>
  <c r="AI31" i="13" s="1"/>
  <c r="AA32" i="10"/>
  <c r="AA32" i="13" s="1"/>
  <c r="AB32" i="10"/>
  <c r="AB32" i="13" s="1"/>
  <c r="AC32" i="10"/>
  <c r="AC32" i="13" s="1"/>
  <c r="AD32" i="10"/>
  <c r="AD32" i="13" s="1"/>
  <c r="AF32" i="10"/>
  <c r="AF32" i="13" s="1"/>
  <c r="AG32" i="10"/>
  <c r="AG32" i="13" s="1"/>
  <c r="AH32" i="10"/>
  <c r="AH32" i="13" s="1"/>
  <c r="AI32" i="10"/>
  <c r="AI32" i="13" s="1"/>
  <c r="AA33" i="10"/>
  <c r="AA33" i="13" s="1"/>
  <c r="AB33" i="10"/>
  <c r="AB33" i="13" s="1"/>
  <c r="AC33" i="10"/>
  <c r="AC33" i="13" s="1"/>
  <c r="AD33" i="10"/>
  <c r="AD33" i="13" s="1"/>
  <c r="AF33" i="10"/>
  <c r="AF33" i="13" s="1"/>
  <c r="AG33" i="10"/>
  <c r="AG33" i="13" s="1"/>
  <c r="AH33" i="10"/>
  <c r="AH33" i="13" s="1"/>
  <c r="AI33" i="10"/>
  <c r="AI33" i="13" s="1"/>
  <c r="AA34" i="10"/>
  <c r="AA34" i="13" s="1"/>
  <c r="AB34" i="10"/>
  <c r="AB34" i="13" s="1"/>
  <c r="AC34" i="10"/>
  <c r="AC34" i="13" s="1"/>
  <c r="AD34" i="10"/>
  <c r="AD34" i="13" s="1"/>
  <c r="AF34" i="10"/>
  <c r="AF34" i="13" s="1"/>
  <c r="AG34" i="10"/>
  <c r="AG34" i="13" s="1"/>
  <c r="AH34" i="10"/>
  <c r="AH34" i="13" s="1"/>
  <c r="AI34" i="10"/>
  <c r="AI34" i="13" s="1"/>
  <c r="AA35" i="10"/>
  <c r="AA35" i="13" s="1"/>
  <c r="AB35" i="10"/>
  <c r="AB35" i="13" s="1"/>
  <c r="AC35" i="10"/>
  <c r="AC35" i="13" s="1"/>
  <c r="AD35" i="10"/>
  <c r="AD35" i="13" s="1"/>
  <c r="AF35" i="10"/>
  <c r="AF35" i="13" s="1"/>
  <c r="AG35" i="10"/>
  <c r="AG35" i="13" s="1"/>
  <c r="AH35" i="10"/>
  <c r="AH35" i="13" s="1"/>
  <c r="AI35" i="10"/>
  <c r="AI35" i="13" s="1"/>
  <c r="AA36" i="10"/>
  <c r="AA36" i="13" s="1"/>
  <c r="AB36" i="10"/>
  <c r="AB36" i="13" s="1"/>
  <c r="AC36" i="10"/>
  <c r="AC36" i="13" s="1"/>
  <c r="AD36" i="10"/>
  <c r="AD36" i="13" s="1"/>
  <c r="AF36" i="10"/>
  <c r="AF36" i="13" s="1"/>
  <c r="AG36" i="10"/>
  <c r="AG36" i="13" s="1"/>
  <c r="AH36" i="10"/>
  <c r="AH36" i="13" s="1"/>
  <c r="AI36" i="10"/>
  <c r="AI36" i="13" s="1"/>
  <c r="AA37" i="10"/>
  <c r="AA37" i="13" s="1"/>
  <c r="AB37" i="10"/>
  <c r="AB37" i="13" s="1"/>
  <c r="AC37" i="10"/>
  <c r="AC37" i="13" s="1"/>
  <c r="AD37" i="10"/>
  <c r="AD37" i="13" s="1"/>
  <c r="AF37" i="10"/>
  <c r="AF37" i="13" s="1"/>
  <c r="AG37" i="10"/>
  <c r="AG37" i="13" s="1"/>
  <c r="AH37" i="10"/>
  <c r="AH37" i="13" s="1"/>
  <c r="AI37" i="10"/>
  <c r="AI37" i="13" s="1"/>
  <c r="AA38" i="10"/>
  <c r="AA38" i="13" s="1"/>
  <c r="AB38" i="10"/>
  <c r="AB38" i="13" s="1"/>
  <c r="AC38" i="10"/>
  <c r="AC38" i="13" s="1"/>
  <c r="AD38" i="10"/>
  <c r="AD38" i="13" s="1"/>
  <c r="AF38" i="10"/>
  <c r="AF38" i="13" s="1"/>
  <c r="AG38" i="10"/>
  <c r="AG38" i="13" s="1"/>
  <c r="AH38" i="10"/>
  <c r="AH38" i="13" s="1"/>
  <c r="AI38" i="10"/>
  <c r="AI38" i="13" s="1"/>
  <c r="AA39" i="10"/>
  <c r="AA39" i="13" s="1"/>
  <c r="AB39" i="10"/>
  <c r="AB39" i="13" s="1"/>
  <c r="AC39" i="10"/>
  <c r="AC39" i="13" s="1"/>
  <c r="AD39" i="10"/>
  <c r="AD39" i="13" s="1"/>
  <c r="AF39" i="10"/>
  <c r="AF39" i="13" s="1"/>
  <c r="AG39" i="10"/>
  <c r="AG39" i="13" s="1"/>
  <c r="AH39" i="10"/>
  <c r="AH39" i="13" s="1"/>
  <c r="AI39" i="10"/>
  <c r="AI39" i="13" s="1"/>
  <c r="AA40" i="10"/>
  <c r="AA40" i="13" s="1"/>
  <c r="AB40" i="10"/>
  <c r="AB40" i="13" s="1"/>
  <c r="AC40" i="10"/>
  <c r="AC40" i="13" s="1"/>
  <c r="AD40" i="10"/>
  <c r="AD40" i="13" s="1"/>
  <c r="AF40" i="10"/>
  <c r="AF40" i="13" s="1"/>
  <c r="AG40" i="10"/>
  <c r="AG40" i="13" s="1"/>
  <c r="AH40" i="10"/>
  <c r="AH40" i="13" s="1"/>
  <c r="AI40" i="10"/>
  <c r="AI40" i="13" s="1"/>
  <c r="AA41" i="10"/>
  <c r="AA41" i="13" s="1"/>
  <c r="AB41" i="10"/>
  <c r="AB41" i="13" s="1"/>
  <c r="AC41" i="10"/>
  <c r="AC41" i="13" s="1"/>
  <c r="AD41" i="10"/>
  <c r="AD41" i="13" s="1"/>
  <c r="AF41" i="10"/>
  <c r="AF41" i="13" s="1"/>
  <c r="AG41" i="10"/>
  <c r="AG41" i="13" s="1"/>
  <c r="AH41" i="10"/>
  <c r="AH41" i="13" s="1"/>
  <c r="AI41" i="10"/>
  <c r="AI41" i="13" s="1"/>
  <c r="AA42" i="10"/>
  <c r="AA42" i="13" s="1"/>
  <c r="AB42" i="10"/>
  <c r="AB42" i="13" s="1"/>
  <c r="AC42" i="10"/>
  <c r="AC42" i="13" s="1"/>
  <c r="AD42" i="10"/>
  <c r="AD42" i="13" s="1"/>
  <c r="AF42" i="10"/>
  <c r="AF42" i="13" s="1"/>
  <c r="AG42" i="10"/>
  <c r="AG42" i="13" s="1"/>
  <c r="AH42" i="10"/>
  <c r="AH42" i="13" s="1"/>
  <c r="AI42" i="10"/>
  <c r="AI42" i="13" s="1"/>
  <c r="AA43" i="10"/>
  <c r="AA43" i="13" s="1"/>
  <c r="AB43" i="10"/>
  <c r="AB43" i="13" s="1"/>
  <c r="AC43" i="10"/>
  <c r="AC43" i="13" s="1"/>
  <c r="AD43" i="10"/>
  <c r="AD43" i="13" s="1"/>
  <c r="AF43" i="10"/>
  <c r="AF43" i="13" s="1"/>
  <c r="AG43" i="10"/>
  <c r="AG43" i="13" s="1"/>
  <c r="AH43" i="10"/>
  <c r="AH43" i="13" s="1"/>
  <c r="AI43" i="10"/>
  <c r="AI43" i="13" s="1"/>
  <c r="AA44" i="10"/>
  <c r="AA44" i="13" s="1"/>
  <c r="AB44" i="10"/>
  <c r="AB44" i="13" s="1"/>
  <c r="AC44" i="10"/>
  <c r="AC44" i="13" s="1"/>
  <c r="AD44" i="10"/>
  <c r="AD44" i="13" s="1"/>
  <c r="AF44" i="10"/>
  <c r="AF44" i="13" s="1"/>
  <c r="AG44" i="10"/>
  <c r="AG44" i="13" s="1"/>
  <c r="AH44" i="10"/>
  <c r="AH44" i="13" s="1"/>
  <c r="AI44" i="10"/>
  <c r="AI44" i="13" s="1"/>
  <c r="AA45" i="10"/>
  <c r="AA45" i="13" s="1"/>
  <c r="AB45" i="10"/>
  <c r="AB45" i="13" s="1"/>
  <c r="AC45" i="10"/>
  <c r="AC45" i="13" s="1"/>
  <c r="AD45" i="10"/>
  <c r="AD45" i="13" s="1"/>
  <c r="AF45" i="10"/>
  <c r="AF45" i="13" s="1"/>
  <c r="AG45" i="10"/>
  <c r="AG45" i="13" s="1"/>
  <c r="AH45" i="10"/>
  <c r="AH45" i="13" s="1"/>
  <c r="AI45" i="10"/>
  <c r="AI45" i="13" s="1"/>
  <c r="AA46" i="10"/>
  <c r="AA46" i="13" s="1"/>
  <c r="AB46" i="10"/>
  <c r="AB46" i="13" s="1"/>
  <c r="AC46" i="10"/>
  <c r="AC46" i="13" s="1"/>
  <c r="AD46" i="10"/>
  <c r="AD46" i="13" s="1"/>
  <c r="AF46" i="10"/>
  <c r="AF46" i="13" s="1"/>
  <c r="AG46" i="10"/>
  <c r="AG46" i="13" s="1"/>
  <c r="AH46" i="10"/>
  <c r="AH46" i="13" s="1"/>
  <c r="AI46" i="10"/>
  <c r="AI46" i="13" s="1"/>
  <c r="AA47" i="10"/>
  <c r="AA47" i="13" s="1"/>
  <c r="AB47" i="10"/>
  <c r="AB47" i="13" s="1"/>
  <c r="AC47" i="10"/>
  <c r="AC47" i="13" s="1"/>
  <c r="AD47" i="10"/>
  <c r="AD47" i="13" s="1"/>
  <c r="AF47" i="10"/>
  <c r="AF47" i="13" s="1"/>
  <c r="AG47" i="10"/>
  <c r="AG47" i="13" s="1"/>
  <c r="AH47" i="10"/>
  <c r="AH47" i="13" s="1"/>
  <c r="AI47" i="10"/>
  <c r="AI47" i="13" s="1"/>
  <c r="AA48" i="10"/>
  <c r="AA48" i="13" s="1"/>
  <c r="AB48" i="10"/>
  <c r="AB48" i="13" s="1"/>
  <c r="AC48" i="10"/>
  <c r="AC48" i="13" s="1"/>
  <c r="AD48" i="10"/>
  <c r="AD48" i="13" s="1"/>
  <c r="AF48" i="10"/>
  <c r="AF48" i="13" s="1"/>
  <c r="AG48" i="10"/>
  <c r="AG48" i="13" s="1"/>
  <c r="AH48" i="10"/>
  <c r="AH48" i="13" s="1"/>
  <c r="AI48" i="10"/>
  <c r="AI48" i="13" s="1"/>
  <c r="AA49" i="10"/>
  <c r="AA49" i="13" s="1"/>
  <c r="AB49" i="10"/>
  <c r="AB49" i="13" s="1"/>
  <c r="AC49" i="10"/>
  <c r="AC49" i="13" s="1"/>
  <c r="AD49" i="10"/>
  <c r="AD49" i="13" s="1"/>
  <c r="AF49" i="10"/>
  <c r="AF49" i="13" s="1"/>
  <c r="AG49" i="10"/>
  <c r="AG49" i="13" s="1"/>
  <c r="AH49" i="10"/>
  <c r="AH49" i="13" s="1"/>
  <c r="AI49" i="10"/>
  <c r="AI49" i="13" s="1"/>
  <c r="AA50" i="10"/>
  <c r="AA50" i="13" s="1"/>
  <c r="AB50" i="10"/>
  <c r="AB50" i="13" s="1"/>
  <c r="AC50" i="10"/>
  <c r="AC50" i="13" s="1"/>
  <c r="AD50" i="10"/>
  <c r="AD50" i="13" s="1"/>
  <c r="AF50" i="10"/>
  <c r="AF50" i="13" s="1"/>
  <c r="AG50" i="10"/>
  <c r="AG50" i="13" s="1"/>
  <c r="AH50" i="10"/>
  <c r="AH50" i="13" s="1"/>
  <c r="AI50" i="10"/>
  <c r="AI50" i="13" s="1"/>
  <c r="AA51" i="10"/>
  <c r="AA51" i="13" s="1"/>
  <c r="AB51" i="10"/>
  <c r="AB51" i="13" s="1"/>
  <c r="AC51" i="10"/>
  <c r="AC51" i="13" s="1"/>
  <c r="AD51" i="10"/>
  <c r="AD51" i="13" s="1"/>
  <c r="AF51" i="10"/>
  <c r="AF51" i="13" s="1"/>
  <c r="AG51" i="10"/>
  <c r="AG51" i="13" s="1"/>
  <c r="AH51" i="10"/>
  <c r="AH51" i="13" s="1"/>
  <c r="AI51" i="10"/>
  <c r="AI51" i="13" s="1"/>
  <c r="AA52" i="10"/>
  <c r="AA52" i="13" s="1"/>
  <c r="AB52" i="10"/>
  <c r="AB52" i="13" s="1"/>
  <c r="AC52" i="10"/>
  <c r="AC52" i="13" s="1"/>
  <c r="AD52" i="10"/>
  <c r="AD52" i="13" s="1"/>
  <c r="AF52" i="10"/>
  <c r="AF52" i="13" s="1"/>
  <c r="AG52" i="10"/>
  <c r="AG52" i="13" s="1"/>
  <c r="AH52" i="10"/>
  <c r="AH52" i="13" s="1"/>
  <c r="AI52" i="10"/>
  <c r="AI52" i="13" s="1"/>
  <c r="AA53" i="10"/>
  <c r="AA53" i="13" s="1"/>
  <c r="AB53" i="10"/>
  <c r="AB53" i="13" s="1"/>
  <c r="AC53" i="10"/>
  <c r="AC53" i="13" s="1"/>
  <c r="AD53" i="10"/>
  <c r="AD53" i="13" s="1"/>
  <c r="AF53" i="10"/>
  <c r="AF53" i="13" s="1"/>
  <c r="AG53" i="10"/>
  <c r="AG53" i="13" s="1"/>
  <c r="AH53" i="10"/>
  <c r="AH53" i="13" s="1"/>
  <c r="AI53" i="10"/>
  <c r="AI53" i="13" s="1"/>
  <c r="AA54" i="10"/>
  <c r="AA54" i="13" s="1"/>
  <c r="AB54" i="10"/>
  <c r="AB54" i="13" s="1"/>
  <c r="AC54" i="10"/>
  <c r="AC54" i="13" s="1"/>
  <c r="AD54" i="10"/>
  <c r="AD54" i="13" s="1"/>
  <c r="AF54" i="10"/>
  <c r="AF54" i="13" s="1"/>
  <c r="AG54" i="10"/>
  <c r="AG54" i="13" s="1"/>
  <c r="AH54" i="10"/>
  <c r="AH54" i="13" s="1"/>
  <c r="AI54" i="10"/>
  <c r="AI54" i="13" s="1"/>
  <c r="AA57" i="10"/>
  <c r="AA57" i="13" s="1"/>
  <c r="AB57" i="10"/>
  <c r="AB57" i="13" s="1"/>
  <c r="AC57" i="10"/>
  <c r="AC57" i="13" s="1"/>
  <c r="AD57" i="10"/>
  <c r="AD57" i="13" s="1"/>
  <c r="AF57" i="10"/>
  <c r="AF57" i="13" s="1"/>
  <c r="AG57" i="10"/>
  <c r="AG57" i="13" s="1"/>
  <c r="AH57" i="10"/>
  <c r="AH57" i="13" s="1"/>
  <c r="AI57" i="10"/>
  <c r="AI57" i="13" s="1"/>
  <c r="AA58" i="10"/>
  <c r="AA58" i="13" s="1"/>
  <c r="AB58" i="10"/>
  <c r="AB58" i="13" s="1"/>
  <c r="AC58" i="10"/>
  <c r="AC58" i="13" s="1"/>
  <c r="AD58" i="10"/>
  <c r="AD58" i="13" s="1"/>
  <c r="AF58" i="10"/>
  <c r="AF58" i="13" s="1"/>
  <c r="AG58" i="10"/>
  <c r="AG58" i="13" s="1"/>
  <c r="AH58" i="10"/>
  <c r="AH58" i="13" s="1"/>
  <c r="AI58" i="10"/>
  <c r="AI58" i="13" s="1"/>
  <c r="AA59" i="10"/>
  <c r="AA59" i="13" s="1"/>
  <c r="AB59" i="10"/>
  <c r="AB59" i="13" s="1"/>
  <c r="AC59" i="10"/>
  <c r="AC59" i="13" s="1"/>
  <c r="AD59" i="10"/>
  <c r="AD59" i="13" s="1"/>
  <c r="AF59" i="10"/>
  <c r="AF59" i="13" s="1"/>
  <c r="AG59" i="10"/>
  <c r="AG59" i="13" s="1"/>
  <c r="AH59" i="10"/>
  <c r="AH59" i="13" s="1"/>
  <c r="AI59" i="10"/>
  <c r="AI59" i="13" s="1"/>
  <c r="AA60" i="10"/>
  <c r="AA60" i="13" s="1"/>
  <c r="AB60" i="10"/>
  <c r="AB60" i="13" s="1"/>
  <c r="AC60" i="10"/>
  <c r="AC60" i="13" s="1"/>
  <c r="AD60" i="10"/>
  <c r="AD60" i="13" s="1"/>
  <c r="AF60" i="10"/>
  <c r="AF60" i="13" s="1"/>
  <c r="AG60" i="10"/>
  <c r="AG60" i="13" s="1"/>
  <c r="AH60" i="10"/>
  <c r="AH60" i="13" s="1"/>
  <c r="AI60" i="10"/>
  <c r="AI60" i="13" s="1"/>
  <c r="AA61" i="10"/>
  <c r="AA61" i="13" s="1"/>
  <c r="AB61" i="10"/>
  <c r="AB61" i="13" s="1"/>
  <c r="AC61" i="10"/>
  <c r="AC61" i="13" s="1"/>
  <c r="AD61" i="10"/>
  <c r="AD61" i="13" s="1"/>
  <c r="AF61" i="10"/>
  <c r="AF61" i="13" s="1"/>
  <c r="AG61" i="10"/>
  <c r="AG61" i="13" s="1"/>
  <c r="AH61" i="10"/>
  <c r="AH61" i="13" s="1"/>
  <c r="AI61" i="10"/>
  <c r="AI61" i="13" s="1"/>
  <c r="AA62" i="10"/>
  <c r="AA62" i="13" s="1"/>
  <c r="AB62" i="10"/>
  <c r="AB62" i="13" s="1"/>
  <c r="AC62" i="10"/>
  <c r="AC62" i="13" s="1"/>
  <c r="AD62" i="10"/>
  <c r="AD62" i="13" s="1"/>
  <c r="AF62" i="10"/>
  <c r="AF62" i="13" s="1"/>
  <c r="AG62" i="10"/>
  <c r="AG62" i="13" s="1"/>
  <c r="AH62" i="10"/>
  <c r="AH62" i="13" s="1"/>
  <c r="AI62" i="10"/>
  <c r="AI62" i="13" s="1"/>
  <c r="AA63" i="10"/>
  <c r="AA63" i="13" s="1"/>
  <c r="AB63" i="10"/>
  <c r="AB63" i="13" s="1"/>
  <c r="AC63" i="10"/>
  <c r="AC63" i="13" s="1"/>
  <c r="AD63" i="10"/>
  <c r="AD63" i="13" s="1"/>
  <c r="AF63" i="10"/>
  <c r="AF63" i="13" s="1"/>
  <c r="AG63" i="10"/>
  <c r="AG63" i="13" s="1"/>
  <c r="AH63" i="10"/>
  <c r="AH63" i="13" s="1"/>
  <c r="AI63" i="10"/>
  <c r="AI63" i="13" s="1"/>
  <c r="AA64" i="10"/>
  <c r="AA64" i="13" s="1"/>
  <c r="AB64" i="10"/>
  <c r="AB64" i="13" s="1"/>
  <c r="AC64" i="10"/>
  <c r="AC64" i="13" s="1"/>
  <c r="AD64" i="10"/>
  <c r="AD64" i="13" s="1"/>
  <c r="AF64" i="10"/>
  <c r="AF64" i="13" s="1"/>
  <c r="AG64" i="10"/>
  <c r="AG64" i="13" s="1"/>
  <c r="AH64" i="10"/>
  <c r="AH64" i="13" s="1"/>
  <c r="AI64" i="10"/>
  <c r="AI64" i="13" s="1"/>
  <c r="AA65" i="10"/>
  <c r="AA65" i="13" s="1"/>
  <c r="AB65" i="10"/>
  <c r="AB65" i="13" s="1"/>
  <c r="AC65" i="10"/>
  <c r="AC65" i="13" s="1"/>
  <c r="AD65" i="10"/>
  <c r="AD65" i="13" s="1"/>
  <c r="AF65" i="10"/>
  <c r="AF65" i="13" s="1"/>
  <c r="AG65" i="10"/>
  <c r="AG65" i="13" s="1"/>
  <c r="AH65" i="10"/>
  <c r="AH65" i="13" s="1"/>
  <c r="AI65" i="10"/>
  <c r="AI65" i="13" s="1"/>
  <c r="AA66" i="10"/>
  <c r="AA66" i="13" s="1"/>
  <c r="AB66" i="10"/>
  <c r="AB66" i="13" s="1"/>
  <c r="AC66" i="10"/>
  <c r="AC66" i="13" s="1"/>
  <c r="AD66" i="10"/>
  <c r="AD66" i="13" s="1"/>
  <c r="AF66" i="10"/>
  <c r="AF66" i="13" s="1"/>
  <c r="AG66" i="10"/>
  <c r="AG66" i="13" s="1"/>
  <c r="AH66" i="10"/>
  <c r="AH66" i="13" s="1"/>
  <c r="AI66" i="10"/>
  <c r="AI66" i="13" s="1"/>
  <c r="AA67" i="10"/>
  <c r="AA67" i="13" s="1"/>
  <c r="AB67" i="10"/>
  <c r="AB67" i="13" s="1"/>
  <c r="AC67" i="10"/>
  <c r="AC67" i="13" s="1"/>
  <c r="AD67" i="10"/>
  <c r="AD67" i="13" s="1"/>
  <c r="AF67" i="10"/>
  <c r="AF67" i="13" s="1"/>
  <c r="AG67" i="10"/>
  <c r="AG67" i="13" s="1"/>
  <c r="AH67" i="10"/>
  <c r="AH67" i="13" s="1"/>
  <c r="AI67" i="10"/>
  <c r="AI67" i="13" s="1"/>
  <c r="AA68" i="10"/>
  <c r="AA68" i="13" s="1"/>
  <c r="AB68" i="10"/>
  <c r="AB68" i="13" s="1"/>
  <c r="AC68" i="10"/>
  <c r="AC68" i="13" s="1"/>
  <c r="AD68" i="10"/>
  <c r="AD68" i="13" s="1"/>
  <c r="AF68" i="10"/>
  <c r="AF68" i="13" s="1"/>
  <c r="AG68" i="10"/>
  <c r="AG68" i="13" s="1"/>
  <c r="AH68" i="10"/>
  <c r="AH68" i="13" s="1"/>
  <c r="AI68" i="10"/>
  <c r="AI68" i="13" s="1"/>
  <c r="AA69" i="10"/>
  <c r="AA69" i="13" s="1"/>
  <c r="AB69" i="10"/>
  <c r="AB69" i="13" s="1"/>
  <c r="AC69" i="10"/>
  <c r="AC69" i="13" s="1"/>
  <c r="AD69" i="10"/>
  <c r="AD69" i="13" s="1"/>
  <c r="AF69" i="10"/>
  <c r="AF69" i="13" s="1"/>
  <c r="AG69" i="10"/>
  <c r="AG69" i="13" s="1"/>
  <c r="AH69" i="10"/>
  <c r="AH69" i="13" s="1"/>
  <c r="AI69" i="10"/>
  <c r="AI69" i="13" s="1"/>
  <c r="AA70" i="10"/>
  <c r="AA70" i="13" s="1"/>
  <c r="AB70" i="10"/>
  <c r="AB70" i="13" s="1"/>
  <c r="AC70" i="10"/>
  <c r="AC70" i="13" s="1"/>
  <c r="AD70" i="10"/>
  <c r="AD70" i="13" s="1"/>
  <c r="AF70" i="10"/>
  <c r="AF70" i="13" s="1"/>
  <c r="AG70" i="10"/>
  <c r="AG70" i="13" s="1"/>
  <c r="AH70" i="10"/>
  <c r="AH70" i="13" s="1"/>
  <c r="AI70" i="10"/>
  <c r="AI70" i="13" s="1"/>
  <c r="AB2" i="10"/>
  <c r="AB2" i="13" s="1"/>
  <c r="AC2" i="10"/>
  <c r="AC2" i="13" s="1"/>
  <c r="AD2" i="10"/>
  <c r="AD2" i="13" s="1"/>
  <c r="AF2" i="10"/>
  <c r="AF2" i="13" s="1"/>
  <c r="AG2" i="10"/>
  <c r="AG2" i="13" s="1"/>
  <c r="AH2" i="10"/>
  <c r="AH2" i="13" s="1"/>
  <c r="AI2" i="10"/>
  <c r="AI2" i="13" s="1"/>
  <c r="AA2" i="10"/>
  <c r="AA2" i="13" s="1"/>
  <c r="X3" i="10"/>
  <c r="X3" i="13" s="1"/>
  <c r="Y3" i="10"/>
  <c r="Y3" i="13" s="1"/>
  <c r="X4" i="10"/>
  <c r="X4" i="13" s="1"/>
  <c r="Y4" i="10"/>
  <c r="Y4" i="13" s="1"/>
  <c r="X5" i="10"/>
  <c r="X5" i="13" s="1"/>
  <c r="Y5" i="10"/>
  <c r="Y5" i="13" s="1"/>
  <c r="X6" i="10"/>
  <c r="X6" i="13" s="1"/>
  <c r="Y6" i="10"/>
  <c r="Y6" i="13" s="1"/>
  <c r="X7" i="10"/>
  <c r="X7" i="13" s="1"/>
  <c r="Y7" i="10"/>
  <c r="Y7" i="13" s="1"/>
  <c r="X8" i="10"/>
  <c r="X8" i="13" s="1"/>
  <c r="Y8" i="10"/>
  <c r="Y8" i="13" s="1"/>
  <c r="X9" i="10"/>
  <c r="X9" i="13" s="1"/>
  <c r="Y9" i="10"/>
  <c r="Y9" i="13" s="1"/>
  <c r="X10" i="10"/>
  <c r="X10" i="13" s="1"/>
  <c r="Y10" i="10"/>
  <c r="Y10" i="13" s="1"/>
  <c r="X11" i="10"/>
  <c r="X11" i="13" s="1"/>
  <c r="Y11" i="10"/>
  <c r="Y11" i="13" s="1"/>
  <c r="X13" i="10"/>
  <c r="X13" i="13" s="1"/>
  <c r="Y13" i="10"/>
  <c r="Y13" i="13" s="1"/>
  <c r="X14" i="10"/>
  <c r="X14" i="13" s="1"/>
  <c r="Y14" i="10"/>
  <c r="Y14" i="13" s="1"/>
  <c r="X15" i="10"/>
  <c r="X15" i="13" s="1"/>
  <c r="Y15" i="10"/>
  <c r="Y15" i="13" s="1"/>
  <c r="X16" i="10"/>
  <c r="X16" i="13" s="1"/>
  <c r="Y16" i="10"/>
  <c r="Y16" i="13" s="1"/>
  <c r="X17" i="10"/>
  <c r="X17" i="13" s="1"/>
  <c r="Y17" i="10"/>
  <c r="Y17" i="13" s="1"/>
  <c r="X18" i="10"/>
  <c r="X18" i="13" s="1"/>
  <c r="Y18" i="10"/>
  <c r="Y18" i="13" s="1"/>
  <c r="X19" i="10"/>
  <c r="X19" i="13" s="1"/>
  <c r="Y19" i="10"/>
  <c r="Y19" i="13" s="1"/>
  <c r="X20" i="10"/>
  <c r="X20" i="13" s="1"/>
  <c r="Y20" i="10"/>
  <c r="Y20" i="13" s="1"/>
  <c r="X21" i="10"/>
  <c r="X21" i="13" s="1"/>
  <c r="Y21" i="10"/>
  <c r="Y21" i="13" s="1"/>
  <c r="X22" i="10"/>
  <c r="X22" i="13" s="1"/>
  <c r="Y22" i="10"/>
  <c r="Y22" i="13" s="1"/>
  <c r="X23" i="10"/>
  <c r="X23" i="13" s="1"/>
  <c r="Y23" i="10"/>
  <c r="Y23" i="13" s="1"/>
  <c r="X24" i="10"/>
  <c r="X24" i="13" s="1"/>
  <c r="Y24" i="10"/>
  <c r="Y24" i="13" s="1"/>
  <c r="X25" i="10"/>
  <c r="X25" i="13" s="1"/>
  <c r="Y25" i="10"/>
  <c r="Y25" i="13" s="1"/>
  <c r="X26" i="10"/>
  <c r="X26" i="13" s="1"/>
  <c r="Y26" i="10"/>
  <c r="Y26" i="13" s="1"/>
  <c r="X27" i="10"/>
  <c r="X27" i="13" s="1"/>
  <c r="Y27" i="10"/>
  <c r="Y27" i="13" s="1"/>
  <c r="X28" i="10"/>
  <c r="X28" i="13" s="1"/>
  <c r="Y28" i="10"/>
  <c r="Y28" i="13" s="1"/>
  <c r="X29" i="10"/>
  <c r="X29" i="13" s="1"/>
  <c r="Y29" i="10"/>
  <c r="Y29" i="13" s="1"/>
  <c r="X30" i="10"/>
  <c r="X30" i="13" s="1"/>
  <c r="Y30" i="10"/>
  <c r="Y30" i="13" s="1"/>
  <c r="X31" i="10"/>
  <c r="X31" i="13" s="1"/>
  <c r="Y31" i="10"/>
  <c r="Y31" i="13" s="1"/>
  <c r="X32" i="10"/>
  <c r="X32" i="13" s="1"/>
  <c r="Y32" i="10"/>
  <c r="Y32" i="13" s="1"/>
  <c r="X33" i="10"/>
  <c r="X33" i="13" s="1"/>
  <c r="Y33" i="10"/>
  <c r="Y33" i="13" s="1"/>
  <c r="X34" i="10"/>
  <c r="X34" i="13" s="1"/>
  <c r="Y34" i="10"/>
  <c r="Y34" i="13" s="1"/>
  <c r="X35" i="10"/>
  <c r="X35" i="13" s="1"/>
  <c r="Y35" i="10"/>
  <c r="Y35" i="13" s="1"/>
  <c r="X36" i="10"/>
  <c r="X36" i="13" s="1"/>
  <c r="Y36" i="10"/>
  <c r="Y36" i="13" s="1"/>
  <c r="X37" i="10"/>
  <c r="X37" i="13" s="1"/>
  <c r="Y37" i="10"/>
  <c r="Y37" i="13" s="1"/>
  <c r="X38" i="10"/>
  <c r="X38" i="13" s="1"/>
  <c r="Y38" i="10"/>
  <c r="Y38" i="13" s="1"/>
  <c r="X39" i="10"/>
  <c r="X39" i="13" s="1"/>
  <c r="Y39" i="10"/>
  <c r="Y39" i="13" s="1"/>
  <c r="X40" i="10"/>
  <c r="X40" i="13" s="1"/>
  <c r="Y40" i="10"/>
  <c r="Y40" i="13" s="1"/>
  <c r="X41" i="10"/>
  <c r="X41" i="13" s="1"/>
  <c r="Y41" i="10"/>
  <c r="Y41" i="13" s="1"/>
  <c r="X42" i="10"/>
  <c r="X42" i="13" s="1"/>
  <c r="Y42" i="10"/>
  <c r="Y42" i="13" s="1"/>
  <c r="X43" i="10"/>
  <c r="X43" i="13" s="1"/>
  <c r="Y43" i="10"/>
  <c r="Y43" i="13" s="1"/>
  <c r="X44" i="10"/>
  <c r="X44" i="13" s="1"/>
  <c r="Y44" i="10"/>
  <c r="Y44" i="13" s="1"/>
  <c r="X45" i="10"/>
  <c r="X45" i="13" s="1"/>
  <c r="Y45" i="10"/>
  <c r="Y45" i="13" s="1"/>
  <c r="X46" i="10"/>
  <c r="X46" i="13" s="1"/>
  <c r="Y46" i="10"/>
  <c r="Y46" i="13" s="1"/>
  <c r="X47" i="10"/>
  <c r="X47" i="13" s="1"/>
  <c r="Y47" i="10"/>
  <c r="Y47" i="13" s="1"/>
  <c r="X48" i="10"/>
  <c r="X48" i="13" s="1"/>
  <c r="Y48" i="10"/>
  <c r="Y48" i="13" s="1"/>
  <c r="X49" i="10"/>
  <c r="X49" i="13" s="1"/>
  <c r="Y49" i="10"/>
  <c r="Y49" i="13" s="1"/>
  <c r="X50" i="10"/>
  <c r="X50" i="13" s="1"/>
  <c r="Y50" i="10"/>
  <c r="Y50" i="13" s="1"/>
  <c r="X51" i="10"/>
  <c r="X51" i="13" s="1"/>
  <c r="Y51" i="10"/>
  <c r="Y51" i="13" s="1"/>
  <c r="X52" i="10"/>
  <c r="X52" i="13" s="1"/>
  <c r="Y52" i="10"/>
  <c r="Y52" i="13" s="1"/>
  <c r="X53" i="10"/>
  <c r="X53" i="13" s="1"/>
  <c r="Y53" i="10"/>
  <c r="Y53" i="13" s="1"/>
  <c r="X54" i="10"/>
  <c r="X54" i="13" s="1"/>
  <c r="Y54" i="10"/>
  <c r="Y54" i="13" s="1"/>
  <c r="X57" i="10"/>
  <c r="X57" i="13" s="1"/>
  <c r="Y57" i="10"/>
  <c r="Y57" i="13" s="1"/>
  <c r="X58" i="10"/>
  <c r="X58" i="13" s="1"/>
  <c r="Y58" i="10"/>
  <c r="Y58" i="13" s="1"/>
  <c r="X59" i="10"/>
  <c r="X59" i="13" s="1"/>
  <c r="Y59" i="10"/>
  <c r="Y59" i="13" s="1"/>
  <c r="X60" i="10"/>
  <c r="X60" i="13" s="1"/>
  <c r="Y60" i="10"/>
  <c r="Y60" i="13" s="1"/>
  <c r="X61" i="10"/>
  <c r="X61" i="13" s="1"/>
  <c r="Y61" i="10"/>
  <c r="Y61" i="13" s="1"/>
  <c r="X62" i="10"/>
  <c r="X62" i="13" s="1"/>
  <c r="Y62" i="10"/>
  <c r="Y62" i="13" s="1"/>
  <c r="X63" i="10"/>
  <c r="X63" i="13" s="1"/>
  <c r="Y63" i="10"/>
  <c r="Y63" i="13" s="1"/>
  <c r="X64" i="10"/>
  <c r="X64" i="13" s="1"/>
  <c r="Y64" i="10"/>
  <c r="Y64" i="13" s="1"/>
  <c r="X65" i="10"/>
  <c r="X65" i="13" s="1"/>
  <c r="Y65" i="10"/>
  <c r="Y65" i="13" s="1"/>
  <c r="X66" i="10"/>
  <c r="X66" i="13" s="1"/>
  <c r="Y66" i="10"/>
  <c r="Y66" i="13" s="1"/>
  <c r="X67" i="10"/>
  <c r="X67" i="13" s="1"/>
  <c r="Y67" i="10"/>
  <c r="Y67" i="13" s="1"/>
  <c r="X68" i="10"/>
  <c r="X68" i="13" s="1"/>
  <c r="Y68" i="10"/>
  <c r="Y68" i="13" s="1"/>
  <c r="X69" i="10"/>
  <c r="X69" i="13" s="1"/>
  <c r="Y69" i="10"/>
  <c r="Y69" i="13" s="1"/>
  <c r="X70" i="10"/>
  <c r="X70" i="13" s="1"/>
  <c r="Y70" i="10"/>
  <c r="Y70" i="13" s="1"/>
  <c r="Y2" i="10"/>
  <c r="Y2" i="13" s="1"/>
  <c r="X2" i="10"/>
  <c r="X2" i="13" s="1"/>
  <c r="O28" i="12" l="1"/>
  <c r="L86" i="12"/>
  <c r="M86" i="12"/>
  <c r="K86" i="12"/>
  <c r="N86" i="12"/>
  <c r="J86" i="12"/>
  <c r="O86" i="12" s="1"/>
  <c r="J88" i="12"/>
  <c r="O88" i="12" s="1"/>
  <c r="L88" i="12"/>
  <c r="M88" i="12"/>
  <c r="N88" i="12"/>
  <c r="K88" i="12"/>
  <c r="M87" i="12"/>
  <c r="J87" i="12"/>
  <c r="O87" i="12" s="1"/>
  <c r="N87" i="12"/>
  <c r="K87" i="12"/>
  <c r="L87" i="12"/>
  <c r="AA56" i="10"/>
  <c r="AA56" i="13" s="1"/>
  <c r="AH56" i="10"/>
  <c r="AH56" i="13" s="1"/>
  <c r="AT56" i="10"/>
  <c r="AT56" i="13" s="1"/>
  <c r="BB56" i="10"/>
  <c r="BB56" i="13" s="1"/>
  <c r="Y56" i="10"/>
  <c r="Y56" i="13" s="1"/>
  <c r="AG56" i="10"/>
  <c r="AG56" i="13" s="1"/>
  <c r="AS56" i="10"/>
  <c r="AS56" i="13" s="1"/>
  <c r="BA56" i="10"/>
  <c r="BA56" i="13" s="1"/>
  <c r="AF56" i="10"/>
  <c r="AF56" i="13" s="1"/>
  <c r="AR56" i="10"/>
  <c r="AR56" i="13" s="1"/>
  <c r="BH56" i="10"/>
  <c r="BH56" i="13" s="1"/>
  <c r="AZ56" i="10"/>
  <c r="AZ56" i="13" s="1"/>
  <c r="AI56" i="10"/>
  <c r="AI56" i="13" s="1"/>
  <c r="AU56" i="10"/>
  <c r="AU56" i="13" s="1"/>
  <c r="AD56" i="10"/>
  <c r="AD56" i="13" s="1"/>
  <c r="AQ56" i="10"/>
  <c r="AQ56" i="13" s="1"/>
  <c r="BG56" i="10"/>
  <c r="BG56" i="13" s="1"/>
  <c r="AC56" i="10"/>
  <c r="AC56" i="13" s="1"/>
  <c r="AX56" i="10"/>
  <c r="AX56" i="13" s="1"/>
  <c r="AP56" i="10"/>
  <c r="AP56" i="13" s="1"/>
  <c r="BF56" i="10"/>
  <c r="BF56" i="13" s="1"/>
  <c r="BC56" i="10"/>
  <c r="BC56" i="13" s="1"/>
  <c r="AB56" i="10"/>
  <c r="AB56" i="13" s="1"/>
  <c r="AW56" i="10"/>
  <c r="AW56" i="13" s="1"/>
  <c r="BE56" i="10"/>
  <c r="BE56" i="13" s="1"/>
  <c r="X56" i="10"/>
  <c r="X56" i="13" s="1"/>
  <c r="AV56" i="10"/>
  <c r="AV56" i="13" s="1"/>
  <c r="BD56" i="10"/>
  <c r="BD56" i="13" s="1"/>
  <c r="B4" i="10"/>
  <c r="B5" i="10"/>
  <c r="B6" i="10"/>
  <c r="O76" i="10"/>
  <c r="O77" i="10" s="1"/>
  <c r="I76" i="10"/>
  <c r="I77" i="10" s="1"/>
  <c r="I23" i="10" s="1"/>
  <c r="H76" i="10"/>
  <c r="H77" i="10" s="1"/>
  <c r="H61" i="10" s="1"/>
  <c r="V54" i="10"/>
  <c r="G76" i="10"/>
  <c r="G77" i="10" s="1"/>
  <c r="G11" i="10" s="1"/>
  <c r="V51" i="10"/>
  <c r="R76" i="10"/>
  <c r="R77" i="10" s="1"/>
  <c r="R54" i="10" s="1"/>
  <c r="Q64" i="10"/>
  <c r="Q58" i="10"/>
  <c r="Q69" i="10"/>
  <c r="Q15" i="10"/>
  <c r="Q19" i="10"/>
  <c r="Q23" i="10"/>
  <c r="Q27" i="10"/>
  <c r="Q31" i="10"/>
  <c r="Q35" i="10"/>
  <c r="Q39" i="10"/>
  <c r="Q43" i="10"/>
  <c r="Q66" i="10"/>
  <c r="Q60" i="10"/>
  <c r="Q63" i="10"/>
  <c r="Q57" i="10"/>
  <c r="Q14" i="10"/>
  <c r="Q18" i="10"/>
  <c r="Q22" i="10"/>
  <c r="Q26" i="10"/>
  <c r="Q30" i="10"/>
  <c r="Q65" i="10"/>
  <c r="Q59" i="10"/>
  <c r="Q17" i="10"/>
  <c r="Q21" i="10"/>
  <c r="Q25" i="10"/>
  <c r="Q29" i="10"/>
  <c r="Q33" i="10"/>
  <c r="Q37" i="10"/>
  <c r="Q41" i="10"/>
  <c r="Q45" i="10"/>
  <c r="Q70" i="10"/>
  <c r="Q61" i="10"/>
  <c r="Q38" i="10"/>
  <c r="Q62" i="10"/>
  <c r="Q28" i="10"/>
  <c r="Q47" i="10"/>
  <c r="Q67" i="10"/>
  <c r="Q16" i="10"/>
  <c r="Q7" i="10"/>
  <c r="Q36" i="10"/>
  <c r="Q44" i="10"/>
  <c r="Q46" i="10"/>
  <c r="Q50" i="10"/>
  <c r="Q54" i="10"/>
  <c r="Q4" i="10"/>
  <c r="Q34" i="10"/>
  <c r="Q53" i="10"/>
  <c r="Q6" i="10"/>
  <c r="Q8" i="10"/>
  <c r="Q10" i="10"/>
  <c r="Q49" i="10"/>
  <c r="Q3" i="10"/>
  <c r="Q5" i="10"/>
  <c r="Q9" i="10"/>
  <c r="Q11" i="10"/>
  <c r="Q68" i="10"/>
  <c r="Q2" i="10"/>
  <c r="Q52" i="10"/>
  <c r="Q40" i="10"/>
  <c r="Q32" i="10"/>
  <c r="Q48" i="10"/>
  <c r="Q20" i="10"/>
  <c r="Q24" i="10"/>
  <c r="Q42" i="10"/>
  <c r="Q51" i="10"/>
  <c r="J61" i="10"/>
  <c r="J16" i="10"/>
  <c r="J20" i="10"/>
  <c r="J24" i="10"/>
  <c r="J28" i="10"/>
  <c r="J32" i="10"/>
  <c r="J36" i="10"/>
  <c r="J40" i="10"/>
  <c r="J44" i="10"/>
  <c r="J58" i="10"/>
  <c r="J15" i="10"/>
  <c r="J19" i="10"/>
  <c r="J23" i="10"/>
  <c r="J27" i="10"/>
  <c r="J31" i="10"/>
  <c r="J35" i="10"/>
  <c r="J39" i="10"/>
  <c r="J43" i="10"/>
  <c r="J60" i="10"/>
  <c r="J30" i="10"/>
  <c r="J48" i="10"/>
  <c r="J18" i="10"/>
  <c r="J21" i="10"/>
  <c r="J34" i="10"/>
  <c r="J42" i="10"/>
  <c r="J33" i="10"/>
  <c r="J41" i="10"/>
  <c r="J47" i="10"/>
  <c r="J51" i="10"/>
  <c r="J2" i="10"/>
  <c r="J10" i="10"/>
  <c r="J26" i="10"/>
  <c r="J29" i="10"/>
  <c r="J7" i="10"/>
  <c r="J14" i="10"/>
  <c r="J17" i="10"/>
  <c r="J22" i="10"/>
  <c r="J25" i="10"/>
  <c r="J45" i="10"/>
  <c r="J57" i="10"/>
  <c r="J46" i="10"/>
  <c r="J52" i="10"/>
  <c r="J37" i="10"/>
  <c r="J9" i="10"/>
  <c r="J11" i="10"/>
  <c r="J49" i="10"/>
  <c r="J53" i="10"/>
  <c r="J4" i="10"/>
  <c r="J6" i="10"/>
  <c r="J8" i="10"/>
  <c r="J50" i="10"/>
  <c r="J3" i="10"/>
  <c r="J5" i="10"/>
  <c r="J59" i="10"/>
  <c r="J38" i="10"/>
  <c r="J54" i="10"/>
  <c r="I60" i="10"/>
  <c r="I57" i="10"/>
  <c r="I15" i="10"/>
  <c r="I14" i="10"/>
  <c r="I7" i="10"/>
  <c r="I24" i="10"/>
  <c r="I26" i="10"/>
  <c r="I36" i="10"/>
  <c r="I34" i="10"/>
  <c r="I49" i="10"/>
  <c r="I9" i="10"/>
  <c r="I44" i="10"/>
  <c r="I50" i="10"/>
  <c r="I6" i="10"/>
  <c r="I10" i="10"/>
  <c r="I29" i="10"/>
  <c r="I41" i="10"/>
  <c r="I3" i="10"/>
  <c r="I42" i="10"/>
  <c r="I52" i="10"/>
  <c r="I21" i="10"/>
  <c r="P69" i="10"/>
  <c r="P15" i="10"/>
  <c r="P19" i="10"/>
  <c r="P23" i="10"/>
  <c r="P27" i="10"/>
  <c r="P31" i="10"/>
  <c r="P35" i="10"/>
  <c r="P39" i="10"/>
  <c r="P43" i="10"/>
  <c r="P66" i="10"/>
  <c r="P60" i="10"/>
  <c r="P63" i="10"/>
  <c r="P57" i="10"/>
  <c r="P14" i="10"/>
  <c r="P18" i="10"/>
  <c r="P22" i="10"/>
  <c r="P26" i="10"/>
  <c r="P30" i="10"/>
  <c r="P34" i="10"/>
  <c r="P38" i="10"/>
  <c r="P42" i="10"/>
  <c r="P68" i="10"/>
  <c r="P62" i="10"/>
  <c r="P70" i="10"/>
  <c r="P58" i="10"/>
  <c r="P25" i="10"/>
  <c r="P28" i="10"/>
  <c r="P47" i="10"/>
  <c r="P67" i="10"/>
  <c r="P16" i="10"/>
  <c r="P37" i="10"/>
  <c r="P45" i="10"/>
  <c r="P36" i="10"/>
  <c r="P44" i="10"/>
  <c r="P46" i="10"/>
  <c r="P50" i="10"/>
  <c r="P54" i="10"/>
  <c r="P4" i="10"/>
  <c r="P64" i="10"/>
  <c r="P21" i="10"/>
  <c r="P24" i="10"/>
  <c r="P9" i="10"/>
  <c r="P49" i="10"/>
  <c r="P3" i="10"/>
  <c r="P5" i="10"/>
  <c r="P7" i="10"/>
  <c r="P8" i="10"/>
  <c r="P10" i="10"/>
  <c r="P29" i="10"/>
  <c r="P41" i="10"/>
  <c r="P2" i="10"/>
  <c r="P40" i="10"/>
  <c r="P6" i="10"/>
  <c r="P32" i="10"/>
  <c r="P48" i="10"/>
  <c r="P59" i="10"/>
  <c r="P20" i="10"/>
  <c r="P51" i="10"/>
  <c r="P11" i="10"/>
  <c r="P53" i="10"/>
  <c r="P65" i="10"/>
  <c r="P61" i="10"/>
  <c r="P17" i="10"/>
  <c r="P33" i="10"/>
  <c r="P52" i="10"/>
  <c r="W63" i="19"/>
  <c r="W67" i="19"/>
  <c r="V4" i="10"/>
  <c r="V2" i="10"/>
  <c r="V50" i="10"/>
  <c r="V44" i="10"/>
  <c r="R42" i="10"/>
  <c r="V27" i="10"/>
  <c r="V24" i="10"/>
  <c r="V70" i="19"/>
  <c r="V70" i="10" s="1"/>
  <c r="O66" i="10"/>
  <c r="O60" i="10"/>
  <c r="O63" i="10"/>
  <c r="O57" i="10"/>
  <c r="O14" i="10"/>
  <c r="O18" i="10"/>
  <c r="O22" i="10"/>
  <c r="O26" i="10"/>
  <c r="O30" i="10"/>
  <c r="O34" i="10"/>
  <c r="O38" i="10"/>
  <c r="O42" i="10"/>
  <c r="O68" i="10"/>
  <c r="O65" i="10"/>
  <c r="O59" i="10"/>
  <c r="O17" i="10"/>
  <c r="O21" i="10"/>
  <c r="O25" i="10"/>
  <c r="O29" i="10"/>
  <c r="O67" i="10"/>
  <c r="O61" i="10"/>
  <c r="O16" i="10"/>
  <c r="O20" i="10"/>
  <c r="O24" i="10"/>
  <c r="O28" i="10"/>
  <c r="O32" i="10"/>
  <c r="O36" i="10"/>
  <c r="O40" i="10"/>
  <c r="O44" i="10"/>
  <c r="O62" i="10"/>
  <c r="O31" i="10"/>
  <c r="O37" i="10"/>
  <c r="O45" i="10"/>
  <c r="O19" i="10"/>
  <c r="O46" i="10"/>
  <c r="O64" i="10"/>
  <c r="O9" i="10"/>
  <c r="O69" i="10"/>
  <c r="O27" i="10"/>
  <c r="O35" i="10"/>
  <c r="O43" i="10"/>
  <c r="O49" i="10"/>
  <c r="O53" i="10"/>
  <c r="O6" i="10"/>
  <c r="O15" i="10"/>
  <c r="G57" i="10"/>
  <c r="G59" i="10"/>
  <c r="G9" i="10"/>
  <c r="B60" i="10"/>
  <c r="B61" i="10"/>
  <c r="B57" i="10"/>
  <c r="B58" i="10"/>
  <c r="B8" i="10"/>
  <c r="B59" i="10"/>
  <c r="B9" i="10"/>
  <c r="B3" i="10"/>
  <c r="V9" i="10"/>
  <c r="V7" i="10"/>
  <c r="V5" i="10"/>
  <c r="O52" i="10"/>
  <c r="V48" i="10"/>
  <c r="R46" i="10"/>
  <c r="O33" i="10"/>
  <c r="O58" i="10"/>
  <c r="H4" i="10"/>
  <c r="H59" i="10"/>
  <c r="W64" i="19"/>
  <c r="V47" i="10"/>
  <c r="R33" i="10"/>
  <c r="W65" i="19"/>
  <c r="N76" i="10"/>
  <c r="N77" i="10" s="1"/>
  <c r="F76" i="10"/>
  <c r="F77" i="10" s="1"/>
  <c r="B2" i="10"/>
  <c r="B56" i="10" s="1"/>
  <c r="V10" i="10"/>
  <c r="V8" i="10"/>
  <c r="O47" i="10"/>
  <c r="O39" i="10"/>
  <c r="R67" i="10"/>
  <c r="R61" i="10"/>
  <c r="R16" i="10"/>
  <c r="R20" i="10"/>
  <c r="R24" i="10"/>
  <c r="R28" i="10"/>
  <c r="R32" i="10"/>
  <c r="R36" i="10"/>
  <c r="R40" i="10"/>
  <c r="R44" i="10"/>
  <c r="R64" i="10"/>
  <c r="R58" i="10"/>
  <c r="R69" i="10"/>
  <c r="R15" i="10"/>
  <c r="R19" i="10"/>
  <c r="R23" i="10"/>
  <c r="R27" i="10"/>
  <c r="R31" i="10"/>
  <c r="R35" i="10"/>
  <c r="R39" i="10"/>
  <c r="R43" i="10"/>
  <c r="R66" i="10"/>
  <c r="R60" i="10"/>
  <c r="R68" i="10"/>
  <c r="R65" i="10"/>
  <c r="R57" i="10"/>
  <c r="R59" i="10"/>
  <c r="R48" i="10"/>
  <c r="R70" i="10"/>
  <c r="R22" i="10"/>
  <c r="R25" i="10"/>
  <c r="R38" i="10"/>
  <c r="R62" i="10"/>
  <c r="R37" i="10"/>
  <c r="R45" i="10"/>
  <c r="R47" i="10"/>
  <c r="R51" i="10"/>
  <c r="R2" i="10"/>
  <c r="R10" i="10"/>
  <c r="R30" i="10"/>
  <c r="R7" i="10"/>
  <c r="R18" i="10"/>
  <c r="R21" i="10"/>
  <c r="R52" i="10"/>
  <c r="V35" i="10"/>
  <c r="W68" i="19"/>
  <c r="M76" i="10"/>
  <c r="M77" i="10" s="1"/>
  <c r="E76" i="10"/>
  <c r="E77" i="10" s="1"/>
  <c r="U77" i="10"/>
  <c r="B11" i="10"/>
  <c r="H7" i="10"/>
  <c r="R5" i="10"/>
  <c r="R3" i="10"/>
  <c r="G2" i="10"/>
  <c r="O54" i="10"/>
  <c r="O51" i="10"/>
  <c r="R49" i="10"/>
  <c r="V43" i="10"/>
  <c r="R41" i="10"/>
  <c r="R29" i="10"/>
  <c r="R26" i="10"/>
  <c r="O23" i="10"/>
  <c r="V15" i="10"/>
  <c r="H58" i="10"/>
  <c r="V69" i="19"/>
  <c r="V69" i="10" s="1"/>
  <c r="V63" i="19"/>
  <c r="V63" i="10" s="1"/>
  <c r="T76" i="10"/>
  <c r="T77" i="10" s="1"/>
  <c r="L76" i="10"/>
  <c r="L77" i="10" s="1"/>
  <c r="D76" i="10"/>
  <c r="D77" i="10" s="1"/>
  <c r="B10" i="10"/>
  <c r="R8" i="10"/>
  <c r="R6" i="10"/>
  <c r="G5" i="10"/>
  <c r="R4" i="10"/>
  <c r="R53" i="10"/>
  <c r="V52" i="10"/>
  <c r="R50" i="10"/>
  <c r="O48" i="10"/>
  <c r="R34" i="10"/>
  <c r="R63" i="10"/>
  <c r="V57" i="10"/>
  <c r="V14" i="10"/>
  <c r="V18" i="10"/>
  <c r="V22" i="10"/>
  <c r="V26" i="10"/>
  <c r="V30" i="10"/>
  <c r="V34" i="10"/>
  <c r="V38" i="10"/>
  <c r="V42" i="10"/>
  <c r="V59" i="10"/>
  <c r="V17" i="10"/>
  <c r="V21" i="10"/>
  <c r="V25" i="10"/>
  <c r="V29" i="10"/>
  <c r="V33" i="10"/>
  <c r="V37" i="10"/>
  <c r="V41" i="10"/>
  <c r="V45" i="10"/>
  <c r="V62" i="10"/>
  <c r="V58" i="10"/>
  <c r="V20" i="10"/>
  <c r="V23" i="10"/>
  <c r="V46" i="10"/>
  <c r="V61" i="10"/>
  <c r="V32" i="10"/>
  <c r="V40" i="10"/>
  <c r="V60" i="10"/>
  <c r="V28" i="10"/>
  <c r="V31" i="10"/>
  <c r="V39" i="10"/>
  <c r="V49" i="10"/>
  <c r="V53" i="10"/>
  <c r="V6" i="10"/>
  <c r="V67" i="10"/>
  <c r="V16" i="10"/>
  <c r="V19" i="10"/>
  <c r="V3" i="10"/>
  <c r="V11" i="10"/>
  <c r="R17" i="10"/>
  <c r="S76" i="10"/>
  <c r="S77" i="10" s="1"/>
  <c r="K76" i="10"/>
  <c r="K77" i="10" s="1"/>
  <c r="C76" i="10"/>
  <c r="C77" i="10" s="1"/>
  <c r="B7" i="10"/>
  <c r="R11" i="10"/>
  <c r="R9" i="10"/>
  <c r="G8" i="10"/>
  <c r="O4" i="10"/>
  <c r="O2" i="10"/>
  <c r="O50" i="10"/>
  <c r="O41" i="10"/>
  <c r="R14" i="10"/>
  <c r="W76" i="10"/>
  <c r="W77" i="10" s="1"/>
  <c r="V64" i="19"/>
  <c r="V64" i="10" s="1"/>
  <c r="V68" i="19"/>
  <c r="V68" i="10" s="1"/>
  <c r="V66" i="19"/>
  <c r="V66" i="10" s="1"/>
  <c r="V65" i="19"/>
  <c r="V65" i="10" s="1"/>
  <c r="W66" i="19"/>
  <c r="W70" i="19"/>
  <c r="V62" i="19"/>
  <c r="V67" i="19"/>
  <c r="AK56" i="10"/>
  <c r="AK56" i="13" s="1"/>
  <c r="AL56" i="10"/>
  <c r="AL56" i="13" s="1"/>
  <c r="AO56" i="10"/>
  <c r="AO56" i="13" s="1"/>
  <c r="AN56" i="10"/>
  <c r="AN56" i="13" s="1"/>
  <c r="AM56" i="10"/>
  <c r="AM56" i="13" s="1"/>
  <c r="O47" i="12" l="1"/>
  <c r="G3" i="10"/>
  <c r="H10" i="10"/>
  <c r="H9" i="10"/>
  <c r="G61" i="10"/>
  <c r="I2" i="10"/>
  <c r="I51" i="10"/>
  <c r="I8" i="10"/>
  <c r="I11" i="10"/>
  <c r="I46" i="10"/>
  <c r="I16" i="10"/>
  <c r="I59" i="10"/>
  <c r="G10" i="10"/>
  <c r="H6" i="10"/>
  <c r="H60" i="10"/>
  <c r="G60" i="10"/>
  <c r="I30" i="10"/>
  <c r="I19" i="10"/>
  <c r="I38" i="10"/>
  <c r="I37" i="10"/>
  <c r="I4" i="10"/>
  <c r="I47" i="10"/>
  <c r="I97" i="13" s="1"/>
  <c r="I58" i="10"/>
  <c r="O11" i="10"/>
  <c r="O70" i="10"/>
  <c r="O5" i="10"/>
  <c r="O3" i="10"/>
  <c r="O7" i="10"/>
  <c r="O8" i="10"/>
  <c r="O10" i="10"/>
  <c r="H11" i="10"/>
  <c r="G4" i="10"/>
  <c r="H2" i="10"/>
  <c r="I53" i="10"/>
  <c r="I20" i="10"/>
  <c r="I61" i="10"/>
  <c r="I28" i="10"/>
  <c r="I27" i="10"/>
  <c r="I48" i="10"/>
  <c r="I39" i="10"/>
  <c r="H3" i="10"/>
  <c r="H57" i="10"/>
  <c r="G7" i="10"/>
  <c r="H5" i="10"/>
  <c r="G58" i="10"/>
  <c r="I43" i="10"/>
  <c r="I94" i="13" s="1"/>
  <c r="I35" i="10"/>
  <c r="I54" i="10"/>
  <c r="I18" i="10"/>
  <c r="I17" i="10"/>
  <c r="I40" i="10"/>
  <c r="I31" i="10"/>
  <c r="H8" i="10"/>
  <c r="G6" i="10"/>
  <c r="I33" i="10"/>
  <c r="I5" i="10"/>
  <c r="I22" i="10"/>
  <c r="I25" i="10"/>
  <c r="I45" i="10"/>
  <c r="I32" i="10"/>
  <c r="M68" i="10"/>
  <c r="M65" i="10"/>
  <c r="M59" i="10"/>
  <c r="M17" i="10"/>
  <c r="M21" i="10"/>
  <c r="M25" i="10"/>
  <c r="M29" i="10"/>
  <c r="M33" i="10"/>
  <c r="M88" i="13" s="1"/>
  <c r="M37" i="10"/>
  <c r="M41" i="10"/>
  <c r="M92" i="13" s="1"/>
  <c r="M45" i="10"/>
  <c r="M62" i="10"/>
  <c r="M70" i="10"/>
  <c r="M67" i="10"/>
  <c r="M61" i="10"/>
  <c r="M16" i="10"/>
  <c r="M20" i="10"/>
  <c r="M24" i="10"/>
  <c r="M28" i="10"/>
  <c r="M69" i="10"/>
  <c r="M15" i="10"/>
  <c r="M19" i="10"/>
  <c r="M23" i="10"/>
  <c r="M27" i="10"/>
  <c r="M31" i="10"/>
  <c r="M35" i="10"/>
  <c r="M39" i="10"/>
  <c r="M43" i="10"/>
  <c r="M22" i="10"/>
  <c r="M36" i="10"/>
  <c r="M44" i="10"/>
  <c r="M64" i="10"/>
  <c r="M49" i="10"/>
  <c r="M30" i="10"/>
  <c r="M3" i="10"/>
  <c r="M11" i="10"/>
  <c r="M66" i="10"/>
  <c r="M18" i="10"/>
  <c r="M34" i="10"/>
  <c r="M42" i="10"/>
  <c r="M93" i="13" s="1"/>
  <c r="M48" i="10"/>
  <c r="M98" i="13" s="1"/>
  <c r="M52" i="10"/>
  <c r="M101" i="13" s="1"/>
  <c r="M8" i="10"/>
  <c r="M63" i="10"/>
  <c r="M32" i="10"/>
  <c r="M51" i="10"/>
  <c r="M54" i="10"/>
  <c r="M38" i="10"/>
  <c r="M90" i="13" s="1"/>
  <c r="M57" i="10"/>
  <c r="M60" i="10"/>
  <c r="M26" i="10"/>
  <c r="M47" i="10"/>
  <c r="M53" i="10"/>
  <c r="M102" i="13" s="1"/>
  <c r="M4" i="10"/>
  <c r="M6" i="10"/>
  <c r="M14" i="10"/>
  <c r="M79" i="13" s="1"/>
  <c r="M58" i="10"/>
  <c r="M46" i="10"/>
  <c r="M2" i="10"/>
  <c r="M50" i="10"/>
  <c r="M40" i="10"/>
  <c r="M10" i="10"/>
  <c r="M5" i="10"/>
  <c r="M7" i="10"/>
  <c r="M9" i="10"/>
  <c r="K62" i="10"/>
  <c r="K70" i="10"/>
  <c r="K67" i="10"/>
  <c r="K61" i="10"/>
  <c r="K16" i="10"/>
  <c r="K20" i="10"/>
  <c r="K24" i="10"/>
  <c r="K28" i="10"/>
  <c r="K32" i="10"/>
  <c r="K36" i="10"/>
  <c r="K40" i="10"/>
  <c r="K44" i="10"/>
  <c r="K64" i="10"/>
  <c r="K58" i="10"/>
  <c r="K69" i="10"/>
  <c r="K15" i="10"/>
  <c r="K80" i="13" s="1"/>
  <c r="K19" i="10"/>
  <c r="K23" i="10"/>
  <c r="K27" i="10"/>
  <c r="K31" i="10"/>
  <c r="K63" i="10"/>
  <c r="K57" i="10"/>
  <c r="K14" i="10"/>
  <c r="K79" i="13" s="1"/>
  <c r="K18" i="10"/>
  <c r="K22" i="10"/>
  <c r="K26" i="10"/>
  <c r="K30" i="10"/>
  <c r="K34" i="10"/>
  <c r="K38" i="10"/>
  <c r="K42" i="10"/>
  <c r="K46" i="10"/>
  <c r="K96" i="13" s="1"/>
  <c r="K35" i="10"/>
  <c r="K43" i="10"/>
  <c r="K94" i="13" s="1"/>
  <c r="K48" i="10"/>
  <c r="K66" i="10"/>
  <c r="K21" i="10"/>
  <c r="K5" i="10"/>
  <c r="K33" i="10"/>
  <c r="K41" i="10"/>
  <c r="K92" i="13" s="1"/>
  <c r="K47" i="10"/>
  <c r="K97" i="13" s="1"/>
  <c r="K51" i="10"/>
  <c r="K100" i="13" s="1"/>
  <c r="K2" i="10"/>
  <c r="K10" i="10"/>
  <c r="K68" i="10"/>
  <c r="K60" i="10"/>
  <c r="K29" i="10"/>
  <c r="K39" i="10"/>
  <c r="K54" i="10"/>
  <c r="K103" i="13" s="1"/>
  <c r="K25" i="10"/>
  <c r="K84" i="13" s="1"/>
  <c r="K59" i="10"/>
  <c r="K45" i="10"/>
  <c r="K52" i="10"/>
  <c r="K101" i="13" s="1"/>
  <c r="K49" i="10"/>
  <c r="K37" i="10"/>
  <c r="K7" i="10"/>
  <c r="K9" i="10"/>
  <c r="K11" i="10"/>
  <c r="K65" i="10"/>
  <c r="K17" i="10"/>
  <c r="K53" i="10"/>
  <c r="K4" i="10"/>
  <c r="K6" i="10"/>
  <c r="K8" i="10"/>
  <c r="K50" i="10"/>
  <c r="K3" i="10"/>
  <c r="T65" i="10"/>
  <c r="T59" i="10"/>
  <c r="T17" i="10"/>
  <c r="T21" i="10"/>
  <c r="T25" i="10"/>
  <c r="T29" i="10"/>
  <c r="T33" i="10"/>
  <c r="T88" i="13" s="1"/>
  <c r="T37" i="10"/>
  <c r="T41" i="10"/>
  <c r="T45" i="10"/>
  <c r="T62" i="10"/>
  <c r="T70" i="10"/>
  <c r="T67" i="10"/>
  <c r="T61" i="10"/>
  <c r="T16" i="10"/>
  <c r="T20" i="10"/>
  <c r="T24" i="10"/>
  <c r="T28" i="10"/>
  <c r="T32" i="10"/>
  <c r="T36" i="10"/>
  <c r="T40" i="10"/>
  <c r="T44" i="10"/>
  <c r="T64" i="10"/>
  <c r="T58" i="10"/>
  <c r="T66" i="10"/>
  <c r="T60" i="10"/>
  <c r="T68" i="10"/>
  <c r="T14" i="10"/>
  <c r="T79" i="13" s="1"/>
  <c r="T49" i="10"/>
  <c r="T57" i="10"/>
  <c r="T31" i="10"/>
  <c r="T39" i="10"/>
  <c r="T19" i="10"/>
  <c r="T22" i="10"/>
  <c r="T38" i="10"/>
  <c r="T90" i="13" s="1"/>
  <c r="T48" i="10"/>
  <c r="T52" i="10"/>
  <c r="T8" i="10"/>
  <c r="T5" i="10"/>
  <c r="T69" i="10"/>
  <c r="T18" i="10"/>
  <c r="T15" i="10"/>
  <c r="T43" i="10"/>
  <c r="T94" i="13" s="1"/>
  <c r="T10" i="10"/>
  <c r="T63" i="10"/>
  <c r="T34" i="10"/>
  <c r="T7" i="10"/>
  <c r="T9" i="10"/>
  <c r="T11" i="10"/>
  <c r="T46" i="10"/>
  <c r="T23" i="10"/>
  <c r="T26" i="10"/>
  <c r="T50" i="10"/>
  <c r="T53" i="10"/>
  <c r="T102" i="13" s="1"/>
  <c r="T2" i="10"/>
  <c r="T4" i="10"/>
  <c r="T6" i="10"/>
  <c r="T42" i="10"/>
  <c r="T27" i="10"/>
  <c r="T30" i="10"/>
  <c r="T47" i="10"/>
  <c r="T3" i="10"/>
  <c r="T35" i="10"/>
  <c r="T51" i="10"/>
  <c r="T100" i="13" s="1"/>
  <c r="T54" i="10"/>
  <c r="W66" i="10"/>
  <c r="W60" i="10"/>
  <c r="W63" i="10"/>
  <c r="W57" i="10"/>
  <c r="W14" i="10"/>
  <c r="W79" i="13" s="1"/>
  <c r="W18" i="10"/>
  <c r="W22" i="10"/>
  <c r="W26" i="10"/>
  <c r="W30" i="10"/>
  <c r="W34" i="10"/>
  <c r="W38" i="10"/>
  <c r="W42" i="10"/>
  <c r="W68" i="10"/>
  <c r="W65" i="10"/>
  <c r="W59" i="10"/>
  <c r="W17" i="10"/>
  <c r="W21" i="10"/>
  <c r="W25" i="10"/>
  <c r="W29" i="10"/>
  <c r="W67" i="10"/>
  <c r="W61" i="10"/>
  <c r="W16" i="10"/>
  <c r="W20" i="10"/>
  <c r="W24" i="10"/>
  <c r="W28" i="10"/>
  <c r="W32" i="10"/>
  <c r="W36" i="10"/>
  <c r="W40" i="10"/>
  <c r="W44" i="10"/>
  <c r="W33" i="10"/>
  <c r="W41" i="10"/>
  <c r="W23" i="10"/>
  <c r="W46" i="10"/>
  <c r="W70" i="10"/>
  <c r="W58" i="10"/>
  <c r="W9" i="10"/>
  <c r="W62" i="10"/>
  <c r="W31" i="10"/>
  <c r="W87" i="13" s="1"/>
  <c r="W39" i="10"/>
  <c r="W49" i="10"/>
  <c r="W53" i="10"/>
  <c r="W6" i="10"/>
  <c r="W19" i="10"/>
  <c r="W45" i="10"/>
  <c r="W51" i="10"/>
  <c r="W100" i="13" s="1"/>
  <c r="W54" i="10"/>
  <c r="W103" i="13" s="1"/>
  <c r="W27" i="10"/>
  <c r="W2" i="10"/>
  <c r="AE2" i="10" s="1"/>
  <c r="W4" i="10"/>
  <c r="W35" i="10"/>
  <c r="W47" i="10"/>
  <c r="W52" i="10"/>
  <c r="W64" i="10"/>
  <c r="W15" i="10"/>
  <c r="W80" i="13" s="1"/>
  <c r="W43" i="10"/>
  <c r="W94" i="13" s="1"/>
  <c r="W11" i="10"/>
  <c r="W50" i="10"/>
  <c r="W37" i="10"/>
  <c r="W8" i="10"/>
  <c r="W10" i="10"/>
  <c r="W69" i="10"/>
  <c r="W48" i="10"/>
  <c r="W98" i="13" s="1"/>
  <c r="W3" i="10"/>
  <c r="W5" i="10"/>
  <c r="W7" i="10"/>
  <c r="S62" i="10"/>
  <c r="S70" i="10"/>
  <c r="S67" i="10"/>
  <c r="S61" i="10"/>
  <c r="S16" i="10"/>
  <c r="S81" i="13" s="1"/>
  <c r="S20" i="10"/>
  <c r="S24" i="10"/>
  <c r="S28" i="10"/>
  <c r="S32" i="10"/>
  <c r="S36" i="10"/>
  <c r="S40" i="10"/>
  <c r="S44" i="10"/>
  <c r="S64" i="10"/>
  <c r="S58" i="10"/>
  <c r="S69" i="10"/>
  <c r="S15" i="10"/>
  <c r="S19" i="10"/>
  <c r="S23" i="10"/>
  <c r="S27" i="10"/>
  <c r="S31" i="10"/>
  <c r="S63" i="10"/>
  <c r="S57" i="10"/>
  <c r="S14" i="10"/>
  <c r="S18" i="10"/>
  <c r="S22" i="10"/>
  <c r="S26" i="10"/>
  <c r="S30" i="10"/>
  <c r="S34" i="10"/>
  <c r="S38" i="10"/>
  <c r="S42" i="10"/>
  <c r="S93" i="13" s="1"/>
  <c r="S60" i="10"/>
  <c r="S17" i="10"/>
  <c r="S39" i="10"/>
  <c r="S65" i="10"/>
  <c r="S59" i="10"/>
  <c r="S48" i="10"/>
  <c r="S98" i="13" s="1"/>
  <c r="S25" i="10"/>
  <c r="S5" i="10"/>
  <c r="S37" i="10"/>
  <c r="S45" i="10"/>
  <c r="S47" i="10"/>
  <c r="S97" i="13" s="1"/>
  <c r="S51" i="10"/>
  <c r="S2" i="10"/>
  <c r="S10" i="10"/>
  <c r="S43" i="10"/>
  <c r="S52" i="10"/>
  <c r="S101" i="13" s="1"/>
  <c r="S66" i="10"/>
  <c r="S33" i="10"/>
  <c r="S7" i="10"/>
  <c r="S9" i="10"/>
  <c r="S11" i="10"/>
  <c r="S50" i="10"/>
  <c r="S53" i="10"/>
  <c r="S4" i="10"/>
  <c r="S6" i="10"/>
  <c r="S8" i="10"/>
  <c r="S68" i="10"/>
  <c r="S29" i="10"/>
  <c r="S41" i="10"/>
  <c r="S49" i="10"/>
  <c r="S3" i="10"/>
  <c r="S35" i="10"/>
  <c r="S54" i="10"/>
  <c r="S21" i="10"/>
  <c r="S46" i="10"/>
  <c r="S96" i="13" s="1"/>
  <c r="U68" i="10"/>
  <c r="U65" i="10"/>
  <c r="U59" i="10"/>
  <c r="U17" i="10"/>
  <c r="U21" i="10"/>
  <c r="U25" i="10"/>
  <c r="U84" i="13" s="1"/>
  <c r="U29" i="10"/>
  <c r="U33" i="10"/>
  <c r="U88" i="13" s="1"/>
  <c r="U37" i="10"/>
  <c r="U41" i="10"/>
  <c r="U45" i="10"/>
  <c r="U62" i="10"/>
  <c r="U70" i="10"/>
  <c r="U67" i="10"/>
  <c r="U61" i="10"/>
  <c r="U16" i="10"/>
  <c r="U20" i="10"/>
  <c r="U24" i="10"/>
  <c r="U28" i="10"/>
  <c r="U69" i="10"/>
  <c r="U15" i="10"/>
  <c r="U80" i="13" s="1"/>
  <c r="U19" i="10"/>
  <c r="U23" i="10"/>
  <c r="U27" i="10"/>
  <c r="U31" i="10"/>
  <c r="U35" i="10"/>
  <c r="U39" i="10"/>
  <c r="U43" i="10"/>
  <c r="U94" i="13" s="1"/>
  <c r="U63" i="10"/>
  <c r="U26" i="10"/>
  <c r="U32" i="10"/>
  <c r="U40" i="10"/>
  <c r="U58" i="10"/>
  <c r="U60" i="10"/>
  <c r="U14" i="10"/>
  <c r="U79" i="13" s="1"/>
  <c r="U49" i="10"/>
  <c r="U57" i="10"/>
  <c r="U3" i="10"/>
  <c r="U11" i="10"/>
  <c r="U22" i="10"/>
  <c r="U38" i="10"/>
  <c r="U48" i="10"/>
  <c r="U52" i="10"/>
  <c r="U101" i="13" s="1"/>
  <c r="U8" i="10"/>
  <c r="U64" i="10"/>
  <c r="U18" i="10"/>
  <c r="U36" i="10"/>
  <c r="U42" i="10"/>
  <c r="U93" i="13" s="1"/>
  <c r="U46" i="10"/>
  <c r="U10" i="10"/>
  <c r="U51" i="10"/>
  <c r="U100" i="13" s="1"/>
  <c r="U34" i="10"/>
  <c r="U5" i="10"/>
  <c r="U7" i="10"/>
  <c r="U9" i="10"/>
  <c r="U54" i="10"/>
  <c r="U103" i="13" s="1"/>
  <c r="U66" i="10"/>
  <c r="U44" i="10"/>
  <c r="U50" i="10"/>
  <c r="U53" i="10"/>
  <c r="U102" i="13" s="1"/>
  <c r="U2" i="10"/>
  <c r="U4" i="10"/>
  <c r="U6" i="10"/>
  <c r="U30" i="10"/>
  <c r="U47" i="10"/>
  <c r="F57" i="10"/>
  <c r="F59" i="10"/>
  <c r="F58" i="10"/>
  <c r="F6" i="10"/>
  <c r="F61" i="10"/>
  <c r="F3" i="10"/>
  <c r="F11" i="10"/>
  <c r="F60" i="10"/>
  <c r="F5" i="10"/>
  <c r="F7" i="10"/>
  <c r="F9" i="10"/>
  <c r="F2" i="10"/>
  <c r="F4" i="10"/>
  <c r="F8" i="10"/>
  <c r="F10" i="10"/>
  <c r="N63" i="10"/>
  <c r="N57" i="10"/>
  <c r="N14" i="10"/>
  <c r="N79" i="13" s="1"/>
  <c r="N18" i="10"/>
  <c r="N22" i="10"/>
  <c r="N26" i="10"/>
  <c r="N30" i="10"/>
  <c r="N34" i="10"/>
  <c r="N38" i="10"/>
  <c r="N42" i="10"/>
  <c r="N68" i="10"/>
  <c r="N65" i="10"/>
  <c r="N59" i="10"/>
  <c r="N17" i="10"/>
  <c r="N21" i="10"/>
  <c r="N25" i="10"/>
  <c r="N84" i="13" s="1"/>
  <c r="N29" i="10"/>
  <c r="N33" i="10"/>
  <c r="N37" i="10"/>
  <c r="N41" i="10"/>
  <c r="N45" i="10"/>
  <c r="N62" i="10"/>
  <c r="N70" i="10"/>
  <c r="N64" i="10"/>
  <c r="N58" i="10"/>
  <c r="N67" i="10"/>
  <c r="N16" i="10"/>
  <c r="N19" i="10"/>
  <c r="N46" i="10"/>
  <c r="N96" i="13" s="1"/>
  <c r="N50" i="10"/>
  <c r="N36" i="10"/>
  <c r="N44" i="10"/>
  <c r="N69" i="10"/>
  <c r="N24" i="10"/>
  <c r="N27" i="10"/>
  <c r="N35" i="10"/>
  <c r="N43" i="10"/>
  <c r="N94" i="13" s="1"/>
  <c r="N49" i="10"/>
  <c r="N53" i="10"/>
  <c r="N6" i="10"/>
  <c r="N15" i="10"/>
  <c r="N3" i="10"/>
  <c r="N11" i="10"/>
  <c r="N66" i="10"/>
  <c r="N48" i="10"/>
  <c r="N98" i="13" s="1"/>
  <c r="N7" i="10"/>
  <c r="N28" i="10"/>
  <c r="N31" i="10"/>
  <c r="N23" i="10"/>
  <c r="N32" i="10"/>
  <c r="N51" i="10"/>
  <c r="N100" i="13" s="1"/>
  <c r="N54" i="10"/>
  <c r="N103" i="13" s="1"/>
  <c r="N5" i="10"/>
  <c r="N9" i="10"/>
  <c r="N4" i="10"/>
  <c r="N60" i="10"/>
  <c r="N20" i="10"/>
  <c r="N39" i="10"/>
  <c r="N47" i="10"/>
  <c r="N97" i="13" s="1"/>
  <c r="N52" i="10"/>
  <c r="N2" i="10"/>
  <c r="N61" i="10"/>
  <c r="N40" i="10"/>
  <c r="N8" i="10"/>
  <c r="N10" i="10"/>
  <c r="D59" i="10"/>
  <c r="D61" i="10"/>
  <c r="D58" i="10"/>
  <c r="D60" i="10"/>
  <c r="D8" i="10"/>
  <c r="D57" i="10"/>
  <c r="D5" i="10"/>
  <c r="D3" i="10"/>
  <c r="D11" i="10"/>
  <c r="D2" i="10"/>
  <c r="D7" i="10"/>
  <c r="D9" i="10"/>
  <c r="D4" i="10"/>
  <c r="D6" i="10"/>
  <c r="D10" i="10"/>
  <c r="E59" i="10"/>
  <c r="E61" i="10"/>
  <c r="E3" i="10"/>
  <c r="E11" i="10"/>
  <c r="E58" i="10"/>
  <c r="E60" i="10"/>
  <c r="E8" i="10"/>
  <c r="E57" i="10"/>
  <c r="E2" i="10"/>
  <c r="E4" i="10"/>
  <c r="E6" i="10"/>
  <c r="E7" i="10"/>
  <c r="E10" i="10"/>
  <c r="E5" i="10"/>
  <c r="E9" i="10"/>
  <c r="C61" i="10"/>
  <c r="C58" i="10"/>
  <c r="C57" i="10"/>
  <c r="C60" i="10"/>
  <c r="C5" i="10"/>
  <c r="C59" i="10"/>
  <c r="C2" i="10"/>
  <c r="C10" i="10"/>
  <c r="C4" i="10"/>
  <c r="C6" i="10"/>
  <c r="C8" i="10"/>
  <c r="C3" i="10"/>
  <c r="C7" i="10"/>
  <c r="C9" i="10"/>
  <c r="C11" i="10"/>
  <c r="L65" i="10"/>
  <c r="L59" i="10"/>
  <c r="L17" i="10"/>
  <c r="L21" i="10"/>
  <c r="L25" i="10"/>
  <c r="L84" i="13" s="1"/>
  <c r="L29" i="10"/>
  <c r="L33" i="10"/>
  <c r="L88" i="13" s="1"/>
  <c r="L37" i="10"/>
  <c r="L41" i="10"/>
  <c r="L45" i="10"/>
  <c r="L62" i="10"/>
  <c r="L70" i="10"/>
  <c r="L67" i="10"/>
  <c r="L61" i="10"/>
  <c r="L16" i="10"/>
  <c r="L20" i="10"/>
  <c r="L24" i="10"/>
  <c r="L28" i="10"/>
  <c r="L32" i="10"/>
  <c r="L36" i="10"/>
  <c r="L40" i="10"/>
  <c r="L44" i="10"/>
  <c r="L64" i="10"/>
  <c r="L58" i="10"/>
  <c r="L66" i="10"/>
  <c r="L60" i="10"/>
  <c r="L49" i="10"/>
  <c r="L69" i="10"/>
  <c r="L27" i="10"/>
  <c r="L30" i="10"/>
  <c r="L35" i="10"/>
  <c r="L43" i="10"/>
  <c r="L94" i="13" s="1"/>
  <c r="L15" i="10"/>
  <c r="L80" i="13" s="1"/>
  <c r="L18" i="10"/>
  <c r="L34" i="10"/>
  <c r="L42" i="10"/>
  <c r="L48" i="10"/>
  <c r="L98" i="13" s="1"/>
  <c r="L52" i="10"/>
  <c r="L101" i="13" s="1"/>
  <c r="L8" i="10"/>
  <c r="L5" i="10"/>
  <c r="L63" i="10"/>
  <c r="L57" i="10"/>
  <c r="L23" i="10"/>
  <c r="L26" i="10"/>
  <c r="L47" i="10"/>
  <c r="L97" i="13" s="1"/>
  <c r="L31" i="10"/>
  <c r="L38" i="10"/>
  <c r="L90" i="13" s="1"/>
  <c r="L22" i="10"/>
  <c r="L68" i="10"/>
  <c r="L19" i="10"/>
  <c r="L39" i="10"/>
  <c r="L50" i="10"/>
  <c r="L3" i="10"/>
  <c r="L46" i="10"/>
  <c r="L14" i="10"/>
  <c r="L79" i="13" s="1"/>
  <c r="L10" i="10"/>
  <c r="L51" i="10"/>
  <c r="L54" i="10"/>
  <c r="L7" i="10"/>
  <c r="L9" i="10"/>
  <c r="L11" i="10"/>
  <c r="L53" i="10"/>
  <c r="L102" i="13" s="1"/>
  <c r="L2" i="10"/>
  <c r="L4" i="10"/>
  <c r="L6" i="10"/>
  <c r="J79" i="13"/>
  <c r="P79" i="13"/>
  <c r="Q79" i="13"/>
  <c r="R79" i="13"/>
  <c r="V79" i="13"/>
  <c r="M80" i="13"/>
  <c r="N80" i="13"/>
  <c r="Q80" i="13"/>
  <c r="S80" i="13"/>
  <c r="T80" i="13"/>
  <c r="V80" i="13"/>
  <c r="Q81" i="13"/>
  <c r="K81" i="13"/>
  <c r="J84" i="13"/>
  <c r="M84" i="13"/>
  <c r="O84" i="13"/>
  <c r="P84" i="13"/>
  <c r="Q84" i="13"/>
  <c r="T84" i="13"/>
  <c r="V84" i="13"/>
  <c r="S85" i="13"/>
  <c r="O87" i="13"/>
  <c r="J87" i="13"/>
  <c r="K88" i="13"/>
  <c r="N88" i="13"/>
  <c r="O88" i="13"/>
  <c r="P88" i="13"/>
  <c r="Q88" i="13"/>
  <c r="R88" i="13"/>
  <c r="V88" i="13"/>
  <c r="W88" i="13"/>
  <c r="J90" i="13"/>
  <c r="N90" i="13"/>
  <c r="P90" i="13"/>
  <c r="Q90" i="13"/>
  <c r="R90" i="13"/>
  <c r="S90" i="13"/>
  <c r="U90" i="13"/>
  <c r="V90" i="13"/>
  <c r="J91" i="13"/>
  <c r="R91" i="13"/>
  <c r="P91" i="13"/>
  <c r="L92" i="13"/>
  <c r="N92" i="13"/>
  <c r="O92" i="13"/>
  <c r="P92" i="13"/>
  <c r="Q92" i="13"/>
  <c r="R92" i="13"/>
  <c r="S92" i="13"/>
  <c r="T92" i="13"/>
  <c r="U92" i="13"/>
  <c r="V92" i="13"/>
  <c r="W92" i="13"/>
  <c r="J93" i="13"/>
  <c r="K93" i="13"/>
  <c r="L93" i="13"/>
  <c r="N93" i="13"/>
  <c r="O93" i="13"/>
  <c r="P93" i="13"/>
  <c r="Q93" i="13"/>
  <c r="T93" i="13"/>
  <c r="V93" i="13"/>
  <c r="M94" i="13"/>
  <c r="O94" i="13"/>
  <c r="P94" i="13"/>
  <c r="Q94" i="13"/>
  <c r="S94" i="13"/>
  <c r="V94" i="13"/>
  <c r="K95" i="13"/>
  <c r="J96" i="13"/>
  <c r="L96" i="13"/>
  <c r="M96" i="13"/>
  <c r="P96" i="13"/>
  <c r="Q96" i="13"/>
  <c r="T96" i="13"/>
  <c r="U96" i="13"/>
  <c r="V96" i="13"/>
  <c r="W96" i="13"/>
  <c r="M97" i="13"/>
  <c r="O97" i="13"/>
  <c r="Q97" i="13"/>
  <c r="R97" i="13"/>
  <c r="T97" i="13"/>
  <c r="U97" i="13"/>
  <c r="V97" i="13"/>
  <c r="J98" i="13"/>
  <c r="K98" i="13"/>
  <c r="O98" i="13"/>
  <c r="P98" i="13"/>
  <c r="Q98" i="13"/>
  <c r="T98" i="13"/>
  <c r="U98" i="13"/>
  <c r="V98" i="13"/>
  <c r="O99" i="13"/>
  <c r="R99" i="13"/>
  <c r="J99" i="13"/>
  <c r="W99" i="13"/>
  <c r="J100" i="13"/>
  <c r="L100" i="13"/>
  <c r="M100" i="13"/>
  <c r="P100" i="13"/>
  <c r="Q100" i="13"/>
  <c r="S100" i="13"/>
  <c r="V100" i="13"/>
  <c r="N101" i="13"/>
  <c r="O101" i="13"/>
  <c r="P101" i="13"/>
  <c r="Q101" i="13"/>
  <c r="R101" i="13"/>
  <c r="T101" i="13"/>
  <c r="V101" i="13"/>
  <c r="W101" i="13"/>
  <c r="K102" i="13"/>
  <c r="N102" i="13"/>
  <c r="O102" i="13"/>
  <c r="P102" i="13"/>
  <c r="Q102" i="13"/>
  <c r="R102" i="13"/>
  <c r="S102" i="13"/>
  <c r="V102" i="13"/>
  <c r="J103" i="13"/>
  <c r="L103" i="13"/>
  <c r="M103" i="13"/>
  <c r="O103" i="13"/>
  <c r="P103" i="13"/>
  <c r="Q103" i="13"/>
  <c r="R103" i="13"/>
  <c r="T103" i="13"/>
  <c r="V103" i="13"/>
  <c r="I80" i="13"/>
  <c r="I81" i="13"/>
  <c r="I88" i="13"/>
  <c r="I90" i="13"/>
  <c r="I92" i="13"/>
  <c r="I93" i="13"/>
  <c r="I96" i="13"/>
  <c r="I98" i="13"/>
  <c r="I100" i="13"/>
  <c r="I101" i="13"/>
  <c r="I102" i="13"/>
  <c r="P80" i="13"/>
  <c r="O80" i="13"/>
  <c r="I79" i="13"/>
  <c r="W93" i="13"/>
  <c r="J94" i="13"/>
  <c r="R94" i="13"/>
  <c r="W97" i="13"/>
  <c r="R98" i="13"/>
  <c r="R100" i="13"/>
  <c r="J102" i="13"/>
  <c r="V56" i="10"/>
  <c r="O79" i="13"/>
  <c r="S79" i="13"/>
  <c r="J80" i="13"/>
  <c r="R80" i="13"/>
  <c r="I84" i="13"/>
  <c r="R84" i="13"/>
  <c r="S84" i="13"/>
  <c r="W84" i="13"/>
  <c r="O86" i="13"/>
  <c r="R87" i="13"/>
  <c r="J88" i="13"/>
  <c r="S88" i="13"/>
  <c r="K90" i="13"/>
  <c r="O90" i="13"/>
  <c r="W90" i="13"/>
  <c r="J92" i="13"/>
  <c r="R93" i="13"/>
  <c r="J95" i="13"/>
  <c r="R95" i="13"/>
  <c r="O96" i="13"/>
  <c r="R96" i="13"/>
  <c r="J97" i="13"/>
  <c r="P97" i="13"/>
  <c r="O100" i="13"/>
  <c r="J101" i="13"/>
  <c r="W102" i="13"/>
  <c r="I103" i="13"/>
  <c r="S103" i="13"/>
  <c r="AE56" i="10" l="1"/>
  <c r="AE56" i="13" s="1"/>
  <c r="AE2" i="13"/>
  <c r="I85" i="13"/>
  <c r="W86" i="13"/>
  <c r="O95" i="13"/>
  <c r="K85" i="13"/>
  <c r="L95" i="13"/>
  <c r="U85" i="13"/>
  <c r="AJ2" i="10"/>
  <c r="S82" i="13"/>
  <c r="K82" i="13"/>
  <c r="M86" i="13"/>
  <c r="U86" i="13"/>
  <c r="W95" i="13"/>
  <c r="M85" i="13"/>
  <c r="AE5" i="10"/>
  <c r="AE5" i="13" s="1"/>
  <c r="Q99" i="13"/>
  <c r="P99" i="13"/>
  <c r="L81" i="13"/>
  <c r="I99" i="13"/>
  <c r="I91" i="13"/>
  <c r="N87" i="13"/>
  <c r="T95" i="13"/>
  <c r="U95" i="13"/>
  <c r="V95" i="13"/>
  <c r="N95" i="13"/>
  <c r="V91" i="13"/>
  <c r="N91" i="13"/>
  <c r="V89" i="13"/>
  <c r="N89" i="13"/>
  <c r="V87" i="13"/>
  <c r="V85" i="13"/>
  <c r="N85" i="13"/>
  <c r="V83" i="13"/>
  <c r="N83" i="13"/>
  <c r="V82" i="13"/>
  <c r="N82" i="13"/>
  <c r="M95" i="13"/>
  <c r="T81" i="13"/>
  <c r="S95" i="13"/>
  <c r="S91" i="13"/>
  <c r="K91" i="13"/>
  <c r="S89" i="13"/>
  <c r="K89" i="13"/>
  <c r="I82" i="13"/>
  <c r="I87" i="13"/>
  <c r="T99" i="13"/>
  <c r="L99" i="13"/>
  <c r="Q85" i="13"/>
  <c r="Q83" i="13"/>
  <c r="P95" i="13"/>
  <c r="P86" i="13"/>
  <c r="I89" i="13"/>
  <c r="I83" i="13"/>
  <c r="U99" i="13"/>
  <c r="M99" i="13"/>
  <c r="U89" i="13"/>
  <c r="Q87" i="13"/>
  <c r="U82" i="13"/>
  <c r="M82" i="13"/>
  <c r="M89" i="13"/>
  <c r="P83" i="13"/>
  <c r="S99" i="13"/>
  <c r="K99" i="13"/>
  <c r="Q91" i="13"/>
  <c r="Q89" i="13"/>
  <c r="V99" i="13"/>
  <c r="N99" i="13"/>
  <c r="Q95" i="13"/>
  <c r="I95" i="13"/>
  <c r="T91" i="13"/>
  <c r="L91" i="13"/>
  <c r="W89" i="13"/>
  <c r="O89" i="13"/>
  <c r="S87" i="13"/>
  <c r="K87" i="13"/>
  <c r="Q86" i="13"/>
  <c r="I86" i="13"/>
  <c r="W85" i="13"/>
  <c r="T89" i="13"/>
  <c r="L89" i="13"/>
  <c r="P87" i="13"/>
  <c r="V86" i="13"/>
  <c r="N86" i="13"/>
  <c r="T85" i="13"/>
  <c r="L85" i="13"/>
  <c r="W83" i="13"/>
  <c r="O83" i="13"/>
  <c r="T82" i="13"/>
  <c r="L82" i="13"/>
  <c r="R81" i="13"/>
  <c r="J81" i="13"/>
  <c r="W91" i="13"/>
  <c r="O91" i="13"/>
  <c r="R89" i="13"/>
  <c r="J89" i="13"/>
  <c r="T86" i="13"/>
  <c r="L86" i="13"/>
  <c r="R85" i="13"/>
  <c r="J85" i="13"/>
  <c r="U83" i="13"/>
  <c r="M83" i="13"/>
  <c r="R82" i="13"/>
  <c r="J82" i="13"/>
  <c r="P81" i="13"/>
  <c r="U87" i="13"/>
  <c r="M87" i="13"/>
  <c r="S86" i="13"/>
  <c r="K86" i="13"/>
  <c r="T83" i="13"/>
  <c r="L83" i="13"/>
  <c r="Q82" i="13"/>
  <c r="W81" i="13"/>
  <c r="O81" i="13"/>
  <c r="U91" i="13"/>
  <c r="M91" i="13"/>
  <c r="P89" i="13"/>
  <c r="T87" i="13"/>
  <c r="L87" i="13"/>
  <c r="R86" i="13"/>
  <c r="J86" i="13"/>
  <c r="P85" i="13"/>
  <c r="S83" i="13"/>
  <c r="K83" i="13"/>
  <c r="P82" i="13"/>
  <c r="V81" i="13"/>
  <c r="N81" i="13"/>
  <c r="O85" i="13"/>
  <c r="R83" i="13"/>
  <c r="J83" i="13"/>
  <c r="W82" i="13"/>
  <c r="O82" i="13"/>
  <c r="U81" i="13"/>
  <c r="M81" i="13"/>
  <c r="AY2" i="10" l="1"/>
  <c r="AY2" i="13" s="1"/>
  <c r="AJ2" i="13"/>
  <c r="AJ56" i="10"/>
  <c r="AJ56" i="13" s="1"/>
  <c r="AJ4" i="10"/>
  <c r="AJ4" i="13" s="1"/>
  <c r="BI2" i="10"/>
  <c r="AJ5" i="10"/>
  <c r="AJ5" i="13" s="1"/>
  <c r="B13" i="10"/>
  <c r="B78" i="13" s="1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W56" i="10"/>
  <c r="C13" i="10"/>
  <c r="C78" i="13" s="1"/>
  <c r="D13" i="10"/>
  <c r="D78" i="13" s="1"/>
  <c r="E13" i="10"/>
  <c r="E78" i="13" s="1"/>
  <c r="F13" i="10"/>
  <c r="F78" i="13" s="1"/>
  <c r="G13" i="10"/>
  <c r="G78" i="13" s="1"/>
  <c r="H13" i="10"/>
  <c r="H78" i="13" s="1"/>
  <c r="I13" i="10"/>
  <c r="I78" i="13" s="1"/>
  <c r="J13" i="10"/>
  <c r="J78" i="13" s="1"/>
  <c r="K13" i="10"/>
  <c r="K78" i="13" s="1"/>
  <c r="L13" i="10"/>
  <c r="L78" i="13" s="1"/>
  <c r="M13" i="10"/>
  <c r="M78" i="13" s="1"/>
  <c r="N13" i="10"/>
  <c r="N78" i="13" s="1"/>
  <c r="O13" i="10"/>
  <c r="O78" i="13" s="1"/>
  <c r="P13" i="10"/>
  <c r="P78" i="13" s="1"/>
  <c r="Q13" i="10"/>
  <c r="Q78" i="13" s="1"/>
  <c r="R13" i="10"/>
  <c r="S13" i="10"/>
  <c r="T13" i="10"/>
  <c r="U13" i="10"/>
  <c r="U78" i="13" s="1"/>
  <c r="V13" i="10"/>
  <c r="V78" i="13" s="1"/>
  <c r="W13" i="10"/>
  <c r="AY5" i="10" l="1"/>
  <c r="AY5" i="13" s="1"/>
  <c r="AY4" i="10"/>
  <c r="AY13" i="10" s="1"/>
  <c r="AY13" i="13" s="1"/>
  <c r="AY56" i="10"/>
  <c r="AY56" i="13" s="1"/>
  <c r="BI4" i="10"/>
  <c r="BI4" i="13" s="1"/>
  <c r="BI2" i="13"/>
  <c r="L28" i="12"/>
  <c r="BI56" i="10"/>
  <c r="BI56" i="13" s="1"/>
  <c r="Z3" i="10"/>
  <c r="Z3" i="13" s="1"/>
  <c r="R78" i="13"/>
  <c r="S78" i="13"/>
  <c r="W78" i="13"/>
  <c r="T78" i="13"/>
  <c r="M28" i="12" l="1"/>
  <c r="AY4" i="13"/>
  <c r="N28" i="12"/>
  <c r="Z4" i="10" l="1"/>
  <c r="Z4" i="13" s="1"/>
  <c r="Z5" i="10"/>
  <c r="Z5" i="13" s="1"/>
  <c r="Z13" i="10" l="1"/>
  <c r="Z56" i="10"/>
  <c r="Z56" i="13" l="1"/>
  <c r="Z57" i="10"/>
  <c r="Z57" i="13" s="1"/>
  <c r="Z18" i="10"/>
  <c r="Z18" i="13" s="1"/>
  <c r="Z26" i="10"/>
  <c r="Z34" i="10"/>
  <c r="Z42" i="10"/>
  <c r="Z50" i="10"/>
  <c r="Z50" i="13" s="1"/>
  <c r="Z19" i="10"/>
  <c r="Z19" i="13" s="1"/>
  <c r="Z27" i="10"/>
  <c r="Z27" i="13" s="1"/>
  <c r="Z35" i="10"/>
  <c r="Z43" i="10"/>
  <c r="Z51" i="10"/>
  <c r="Z51" i="13" s="1"/>
  <c r="Z20" i="10"/>
  <c r="Z20" i="13" s="1"/>
  <c r="Z28" i="10"/>
  <c r="Z28" i="13" s="1"/>
  <c r="Z36" i="10"/>
  <c r="Z44" i="10"/>
  <c r="Z52" i="10"/>
  <c r="Z24" i="10"/>
  <c r="Z24" i="13" s="1"/>
  <c r="Z48" i="10"/>
  <c r="Z21" i="10"/>
  <c r="Z21" i="13" s="1"/>
  <c r="Z29" i="10"/>
  <c r="Z29" i="13" s="1"/>
  <c r="Z37" i="10"/>
  <c r="Z37" i="13" s="1"/>
  <c r="Z45" i="10"/>
  <c r="Z53" i="10"/>
  <c r="Z38" i="10"/>
  <c r="Z46" i="10"/>
  <c r="Z54" i="10"/>
  <c r="Z16" i="10"/>
  <c r="Z16" i="13" s="1"/>
  <c r="Z14" i="10"/>
  <c r="Z22" i="10"/>
  <c r="Z22" i="13" s="1"/>
  <c r="Z30" i="10"/>
  <c r="Z40" i="10"/>
  <c r="Z15" i="10"/>
  <c r="Z23" i="10"/>
  <c r="Z23" i="13" s="1"/>
  <c r="Z31" i="10"/>
  <c r="Z31" i="13" s="1"/>
  <c r="Z39" i="10"/>
  <c r="Z47" i="10"/>
  <c r="Z32" i="10"/>
  <c r="Z32" i="13" s="1"/>
  <c r="Z49" i="10"/>
  <c r="Z49" i="13" s="1"/>
  <c r="Z33" i="10"/>
  <c r="Z41" i="10"/>
  <c r="Z17" i="10"/>
  <c r="Z17" i="13" s="1"/>
  <c r="Z25" i="10"/>
  <c r="Z13" i="13"/>
  <c r="Z78" i="13" s="1"/>
  <c r="Z61" i="10"/>
  <c r="Z70" i="10"/>
  <c r="Z69" i="10"/>
  <c r="Z60" i="10"/>
  <c r="Z58" i="10"/>
  <c r="Z62" i="10"/>
  <c r="Z68" i="10"/>
  <c r="Z66" i="10"/>
  <c r="Z63" i="10"/>
  <c r="Z59" i="10"/>
  <c r="Z64" i="10"/>
  <c r="Z67" i="10"/>
  <c r="Z65" i="10"/>
  <c r="J28" i="12"/>
  <c r="K28" i="12"/>
  <c r="J47" i="12"/>
  <c r="P65" i="12"/>
  <c r="X78" i="13"/>
  <c r="Z40" i="13" l="1"/>
  <c r="D110" i="12"/>
  <c r="Z30" i="13"/>
  <c r="D104" i="12"/>
  <c r="Z42" i="13"/>
  <c r="D112" i="12"/>
  <c r="Z47" i="13"/>
  <c r="D117" i="12"/>
  <c r="Z14" i="13"/>
  <c r="D97" i="12"/>
  <c r="Z34" i="13"/>
  <c r="D106" i="12"/>
  <c r="Z44" i="13"/>
  <c r="D114" i="12"/>
  <c r="Z45" i="13"/>
  <c r="D115" i="12"/>
  <c r="Z39" i="13"/>
  <c r="D109" i="12"/>
  <c r="Z26" i="13"/>
  <c r="D103" i="12"/>
  <c r="Z54" i="13"/>
  <c r="D101" i="12"/>
  <c r="Z48" i="13"/>
  <c r="D118" i="12"/>
  <c r="Z43" i="13"/>
  <c r="D113" i="12"/>
  <c r="Z33" i="13"/>
  <c r="D105" i="12"/>
  <c r="Z25" i="13"/>
  <c r="D102" i="12"/>
  <c r="Z46" i="13"/>
  <c r="D116" i="12"/>
  <c r="Z35" i="13"/>
  <c r="D119" i="12"/>
  <c r="Z53" i="13"/>
  <c r="D100" i="12"/>
  <c r="Z36" i="13"/>
  <c r="D107" i="12"/>
  <c r="Z41" i="13"/>
  <c r="D111" i="12"/>
  <c r="Z15" i="13"/>
  <c r="D98" i="12"/>
  <c r="Z38" i="13"/>
  <c r="D108" i="12"/>
  <c r="Z52" i="13"/>
  <c r="D99" i="12"/>
  <c r="P66" i="12"/>
  <c r="P50" i="12"/>
  <c r="P59" i="12"/>
  <c r="P63" i="12"/>
  <c r="P64" i="12"/>
  <c r="P76" i="12"/>
  <c r="P54" i="12"/>
  <c r="P71" i="12"/>
  <c r="P70" i="12"/>
  <c r="P61" i="12"/>
  <c r="P83" i="12"/>
  <c r="P51" i="12"/>
  <c r="P74" i="12"/>
  <c r="P58" i="12"/>
  <c r="P55" i="12"/>
  <c r="P67" i="12"/>
  <c r="P87" i="12"/>
  <c r="P75" i="12"/>
  <c r="P86" i="12"/>
  <c r="P85" i="12"/>
  <c r="P72" i="12"/>
  <c r="P48" i="12"/>
  <c r="P79" i="12"/>
  <c r="P88" i="12"/>
  <c r="P84" i="12"/>
  <c r="P68" i="12"/>
  <c r="P31" i="12"/>
  <c r="P77" i="12"/>
  <c r="P49" i="12"/>
  <c r="P81" i="12"/>
  <c r="P57" i="12"/>
  <c r="P29" i="12"/>
  <c r="Z58" i="13"/>
  <c r="P30" i="12"/>
  <c r="Z59" i="13"/>
  <c r="P42" i="12"/>
  <c r="Z70" i="13"/>
  <c r="P62" i="12"/>
  <c r="P82" i="12"/>
  <c r="P35" i="12"/>
  <c r="Z63" i="13"/>
  <c r="P33" i="12"/>
  <c r="Z61" i="13"/>
  <c r="P60" i="12"/>
  <c r="P53" i="12"/>
  <c r="P38" i="12"/>
  <c r="Z66" i="13"/>
  <c r="P69" i="12"/>
  <c r="P78" i="12"/>
  <c r="P52" i="12"/>
  <c r="P40" i="12"/>
  <c r="Z68" i="13"/>
  <c r="P34" i="12"/>
  <c r="Z62" i="13"/>
  <c r="P37" i="12"/>
  <c r="Z65" i="13"/>
  <c r="P39" i="12"/>
  <c r="Z67" i="13"/>
  <c r="P32" i="12"/>
  <c r="Z60" i="13"/>
  <c r="P80" i="12"/>
  <c r="P73" i="12"/>
  <c r="P56" i="12"/>
  <c r="P36" i="12"/>
  <c r="Z64" i="13"/>
  <c r="P41" i="12"/>
  <c r="Z69" i="13"/>
  <c r="Y78" i="13"/>
  <c r="D125" i="12" l="1"/>
  <c r="D126" i="12"/>
  <c r="D124" i="12"/>
  <c r="D123" i="12"/>
  <c r="P47" i="12"/>
  <c r="P28" i="12"/>
  <c r="AE57" i="10" s="1"/>
  <c r="AE57" i="13" s="1"/>
  <c r="AE67" i="10"/>
  <c r="AE67" i="13" s="1"/>
  <c r="AE66" i="10" l="1"/>
  <c r="AE69" i="10"/>
  <c r="AE69" i="13" s="1"/>
  <c r="AE65" i="10"/>
  <c r="AE60" i="10"/>
  <c r="AE60" i="13" s="1"/>
  <c r="AE64" i="10"/>
  <c r="Q36" i="12" s="1"/>
  <c r="AE63" i="10"/>
  <c r="AE63" i="13" s="1"/>
  <c r="AE70" i="10"/>
  <c r="AE70" i="13" s="1"/>
  <c r="AE62" i="10"/>
  <c r="AE62" i="13" s="1"/>
  <c r="AE6" i="10"/>
  <c r="AE6" i="13" s="1"/>
  <c r="AE59" i="10"/>
  <c r="AE59" i="13" s="1"/>
  <c r="Q39" i="12"/>
  <c r="AE61" i="10"/>
  <c r="AE61" i="13" s="1"/>
  <c r="AE58" i="10"/>
  <c r="AE58" i="13" s="1"/>
  <c r="Q31" i="12"/>
  <c r="AE68" i="10"/>
  <c r="AE68" i="13" s="1"/>
  <c r="Q41" i="12"/>
  <c r="Q38" i="12"/>
  <c r="AE66" i="13"/>
  <c r="Q37" i="12"/>
  <c r="AE65" i="13"/>
  <c r="AE9" i="10"/>
  <c r="AE9" i="13" s="1"/>
  <c r="Q34" i="12" l="1"/>
  <c r="AE64" i="13"/>
  <c r="Q32" i="12"/>
  <c r="Q42" i="12"/>
  <c r="Q35" i="12"/>
  <c r="Q33" i="12"/>
  <c r="AE8" i="10"/>
  <c r="AE8" i="13" s="1"/>
  <c r="Q30" i="12"/>
  <c r="Q29" i="12"/>
  <c r="AE10" i="10"/>
  <c r="AE10" i="13" s="1"/>
  <c r="Q40" i="12"/>
  <c r="AE7" i="10"/>
  <c r="AE7" i="13" s="1"/>
  <c r="AE11" i="10"/>
  <c r="AE11" i="13" s="1"/>
  <c r="Q28" i="12" l="1"/>
  <c r="AJ57" i="10" s="1"/>
  <c r="AJ57" i="13" s="1"/>
  <c r="AJ66" i="10"/>
  <c r="AJ64" i="10"/>
  <c r="AJ65" i="10"/>
  <c r="AJ59" i="10"/>
  <c r="AJ67" i="10"/>
  <c r="AJ60" i="10"/>
  <c r="AJ68" i="10"/>
  <c r="AJ69" i="10"/>
  <c r="AJ62" i="10"/>
  <c r="AJ62" i="13" s="1"/>
  <c r="AJ70" i="10"/>
  <c r="AJ70" i="13" s="1"/>
  <c r="AJ63" i="10"/>
  <c r="AA78" i="13"/>
  <c r="R31" i="12" l="1"/>
  <c r="AJ61" i="10"/>
  <c r="AJ61" i="13" s="1"/>
  <c r="AJ58" i="10"/>
  <c r="R29" i="12" s="1"/>
  <c r="R34" i="12"/>
  <c r="R40" i="12"/>
  <c r="AJ68" i="13"/>
  <c r="R32" i="12"/>
  <c r="AJ60" i="13"/>
  <c r="R39" i="12"/>
  <c r="AJ67" i="13"/>
  <c r="R42" i="12"/>
  <c r="R30" i="12"/>
  <c r="AJ59" i="13"/>
  <c r="R35" i="12"/>
  <c r="AJ63" i="13"/>
  <c r="R37" i="12"/>
  <c r="AJ65" i="13"/>
  <c r="R36" i="12"/>
  <c r="AJ64" i="13"/>
  <c r="R38" i="12"/>
  <c r="AJ66" i="13"/>
  <c r="R41" i="12"/>
  <c r="AJ69" i="13"/>
  <c r="R33" i="12"/>
  <c r="AB78" i="13"/>
  <c r="AJ58" i="13" l="1"/>
  <c r="R28" i="12"/>
  <c r="AY57" i="10" s="1"/>
  <c r="AY57" i="13" s="1"/>
  <c r="AY59" i="10"/>
  <c r="AY59" i="13" s="1"/>
  <c r="AY67" i="10"/>
  <c r="AY61" i="10"/>
  <c r="AY61" i="13" s="1"/>
  <c r="AY70" i="10"/>
  <c r="AY60" i="10"/>
  <c r="AY60" i="13" s="1"/>
  <c r="AY64" i="10"/>
  <c r="AY64" i="13" s="1"/>
  <c r="AC78" i="13"/>
  <c r="AY63" i="10" l="1"/>
  <c r="S35" i="12" s="1"/>
  <c r="AY65" i="10"/>
  <c r="AY65" i="13" s="1"/>
  <c r="AY62" i="10"/>
  <c r="AY62" i="13" s="1"/>
  <c r="AY6" i="10"/>
  <c r="AY6" i="13" s="1"/>
  <c r="AY69" i="10"/>
  <c r="AY69" i="13" s="1"/>
  <c r="S36" i="12"/>
  <c r="AY66" i="10"/>
  <c r="AY66" i="13" s="1"/>
  <c r="S31" i="12"/>
  <c r="AY68" i="10"/>
  <c r="AY58" i="10"/>
  <c r="AY58" i="13" s="1"/>
  <c r="S42" i="12"/>
  <c r="AY70" i="13"/>
  <c r="AY63" i="13"/>
  <c r="S39" i="12"/>
  <c r="AY67" i="13"/>
  <c r="S33" i="12"/>
  <c r="AY10" i="10"/>
  <c r="AY10" i="13" s="1"/>
  <c r="AY9" i="10"/>
  <c r="AY9" i="13" s="1"/>
  <c r="S32" i="12"/>
  <c r="AY8" i="10"/>
  <c r="AY8" i="13" s="1"/>
  <c r="S30" i="12"/>
  <c r="AD78" i="13"/>
  <c r="S34" i="12" l="1"/>
  <c r="S37" i="12"/>
  <c r="S41" i="12"/>
  <c r="S38" i="12"/>
  <c r="AY11" i="10"/>
  <c r="AY11" i="13" s="1"/>
  <c r="AY7" i="10"/>
  <c r="AY7" i="13" s="1"/>
  <c r="S29" i="12"/>
  <c r="AY68" i="13"/>
  <c r="S40" i="12"/>
  <c r="Y102" i="13"/>
  <c r="Y96" i="13"/>
  <c r="Y100" i="13"/>
  <c r="Y103" i="13"/>
  <c r="Y80" i="13"/>
  <c r="Y94" i="13"/>
  <c r="Y84" i="13"/>
  <c r="Y88" i="13"/>
  <c r="Y97" i="13"/>
  <c r="Y89" i="13"/>
  <c r="Y86" i="13"/>
  <c r="Y92" i="13"/>
  <c r="Y95" i="13"/>
  <c r="Y79" i="13"/>
  <c r="Y101" i="13"/>
  <c r="Y90" i="13"/>
  <c r="Y93" i="13"/>
  <c r="Y98" i="13"/>
  <c r="X88" i="13"/>
  <c r="X93" i="13"/>
  <c r="X95" i="13"/>
  <c r="X102" i="13"/>
  <c r="X79" i="13"/>
  <c r="X87" i="13"/>
  <c r="X96" i="13"/>
  <c r="X101" i="13"/>
  <c r="X94" i="13"/>
  <c r="X92" i="13"/>
  <c r="X84" i="13"/>
  <c r="X100" i="13"/>
  <c r="X98" i="13"/>
  <c r="X81" i="13"/>
  <c r="X99" i="13"/>
  <c r="X97" i="13"/>
  <c r="X90" i="13"/>
  <c r="X82" i="13"/>
  <c r="X103" i="13"/>
  <c r="X80" i="13"/>
  <c r="S28" i="12" l="1"/>
  <c r="BI58" i="10" s="1"/>
  <c r="BI58" i="13" s="1"/>
  <c r="BI66" i="10"/>
  <c r="BI66" i="13" s="1"/>
  <c r="BI59" i="10"/>
  <c r="BI59" i="13" s="1"/>
  <c r="BI67" i="10"/>
  <c r="BI67" i="13" s="1"/>
  <c r="BI60" i="10"/>
  <c r="BI60" i="13" s="1"/>
  <c r="BI68" i="10"/>
  <c r="BI68" i="13" s="1"/>
  <c r="BI70" i="10"/>
  <c r="BI70" i="13" s="1"/>
  <c r="BI61" i="10"/>
  <c r="BI61" i="13" s="1"/>
  <c r="BI62" i="10"/>
  <c r="BI62" i="13" s="1"/>
  <c r="BI64" i="10"/>
  <c r="BI64" i="13" s="1"/>
  <c r="BI63" i="10"/>
  <c r="BI63" i="13" s="1"/>
  <c r="BI65" i="10"/>
  <c r="BI65" i="13" s="1"/>
  <c r="BI57" i="10"/>
  <c r="BI57" i="13" s="1"/>
  <c r="AH80" i="13"/>
  <c r="AI97" i="13"/>
  <c r="AC96" i="13"/>
  <c r="AD90" i="13"/>
  <c r="AA90" i="13"/>
  <c r="AD97" i="13"/>
  <c r="AD81" i="13"/>
  <c r="AA88" i="13"/>
  <c r="AA101" i="13"/>
  <c r="AA96" i="13"/>
  <c r="AB98" i="13"/>
  <c r="AB80" i="13"/>
  <c r="AB100" i="13"/>
  <c r="AH96" i="13"/>
  <c r="AH79" i="13"/>
  <c r="AH92" i="13"/>
  <c r="AI79" i="13"/>
  <c r="AG97" i="13"/>
  <c r="AG102" i="13"/>
  <c r="AC85" i="13"/>
  <c r="AC79" i="13"/>
  <c r="Z102" i="13"/>
  <c r="Z79" i="13"/>
  <c r="AF94" i="13"/>
  <c r="AF79" i="13"/>
  <c r="AH101" i="13"/>
  <c r="AC103" i="13"/>
  <c r="AF100" i="13"/>
  <c r="AD102" i="13"/>
  <c r="AD84" i="13"/>
  <c r="AD82" i="13"/>
  <c r="AA98" i="13"/>
  <c r="AA102" i="13"/>
  <c r="AA94" i="13"/>
  <c r="AB102" i="13"/>
  <c r="AB82" i="13"/>
  <c r="AB84" i="13"/>
  <c r="AH102" i="13"/>
  <c r="AH81" i="13"/>
  <c r="AH93" i="13"/>
  <c r="AI95" i="13"/>
  <c r="AI96" i="13"/>
  <c r="AG98" i="13"/>
  <c r="AG79" i="13"/>
  <c r="AG80" i="13"/>
  <c r="AG94" i="13"/>
  <c r="AC93" i="13"/>
  <c r="AC102" i="13"/>
  <c r="AC95" i="13"/>
  <c r="Z97" i="13"/>
  <c r="Z83" i="13"/>
  <c r="Z88" i="13"/>
  <c r="Z103" i="13"/>
  <c r="AF96" i="13"/>
  <c r="AF97" i="13"/>
  <c r="AF89" i="13"/>
  <c r="AB92" i="13"/>
  <c r="AH88" i="13"/>
  <c r="AF99" i="13"/>
  <c r="AB103" i="13"/>
  <c r="AA93" i="13"/>
  <c r="AA97" i="13"/>
  <c r="AB90" i="13"/>
  <c r="AB79" i="13"/>
  <c r="AH98" i="13"/>
  <c r="AH103" i="13"/>
  <c r="AH84" i="13"/>
  <c r="AI99" i="13"/>
  <c r="AI84" i="13"/>
  <c r="AG100" i="13"/>
  <c r="AG93" i="13"/>
  <c r="AC82" i="13"/>
  <c r="AC81" i="13"/>
  <c r="Z99" i="13"/>
  <c r="Z95" i="13"/>
  <c r="AF101" i="13"/>
  <c r="AF93" i="13"/>
  <c r="AF102" i="13"/>
  <c r="AF88" i="13"/>
  <c r="AD96" i="13"/>
  <c r="AH100" i="13"/>
  <c r="AC94" i="13"/>
  <c r="Z80" i="13"/>
  <c r="AF90" i="13"/>
  <c r="AD88" i="13"/>
  <c r="AD100" i="13"/>
  <c r="AA92" i="13"/>
  <c r="AB93" i="13"/>
  <c r="AG88" i="13"/>
  <c r="Z98" i="13"/>
  <c r="Z93" i="13"/>
  <c r="Z92" i="13"/>
  <c r="AD101" i="13"/>
  <c r="AD92" i="13"/>
  <c r="AD95" i="13"/>
  <c r="AD80" i="13"/>
  <c r="AD79" i="13"/>
  <c r="AD93" i="13"/>
  <c r="AA87" i="13"/>
  <c r="AB96" i="13"/>
  <c r="AB88" i="13"/>
  <c r="AH97" i="13"/>
  <c r="AI93" i="13"/>
  <c r="AI92" i="13"/>
  <c r="AG103" i="13"/>
  <c r="AC97" i="13"/>
  <c r="AC98" i="13"/>
  <c r="AC86" i="13"/>
  <c r="Z91" i="13"/>
  <c r="Z86" i="13"/>
  <c r="Z90" i="13"/>
  <c r="AF84" i="13"/>
  <c r="AA100" i="13"/>
  <c r="AA95" i="13"/>
  <c r="AB86" i="13"/>
  <c r="AI101" i="13"/>
  <c r="AG85" i="13"/>
  <c r="AD86" i="13"/>
  <c r="AA79" i="13"/>
  <c r="AH94" i="13"/>
  <c r="AI98" i="13"/>
  <c r="AG96" i="13"/>
  <c r="AC88" i="13"/>
  <c r="Z96" i="13"/>
  <c r="AA86" i="13"/>
  <c r="AB94" i="13"/>
  <c r="AI88" i="13"/>
  <c r="AI81" i="13"/>
  <c r="AI102" i="13"/>
  <c r="AG84" i="13"/>
  <c r="AC90" i="13"/>
  <c r="AC99" i="13"/>
  <c r="Z94" i="13"/>
  <c r="Z101" i="13"/>
  <c r="AF92" i="13"/>
  <c r="AF80" i="13"/>
  <c r="AG101" i="13"/>
  <c r="AC84" i="13"/>
  <c r="AI94" i="13"/>
  <c r="AC80" i="13"/>
  <c r="AD94" i="13"/>
  <c r="AA80" i="13"/>
  <c r="AB81" i="13"/>
  <c r="AF78" i="13"/>
  <c r="AD103" i="13"/>
  <c r="AD98" i="13"/>
  <c r="AA84" i="13"/>
  <c r="AA103" i="13"/>
  <c r="AB101" i="13"/>
  <c r="AB97" i="13"/>
  <c r="AH90" i="13"/>
  <c r="AI80" i="13"/>
  <c r="AI103" i="13"/>
  <c r="AI90" i="13"/>
  <c r="AI100" i="13"/>
  <c r="AG95" i="13"/>
  <c r="AG90" i="13"/>
  <c r="AG92" i="13"/>
  <c r="AC100" i="13"/>
  <c r="AC101" i="13"/>
  <c r="AC92" i="13"/>
  <c r="Z84" i="13"/>
  <c r="Z100" i="13"/>
  <c r="AF98" i="13"/>
  <c r="AF103" i="13"/>
  <c r="X83" i="13"/>
  <c r="Y87" i="13"/>
  <c r="AB99" i="13"/>
  <c r="AF86" i="13"/>
  <c r="AG83" i="13"/>
  <c r="AC89" i="13"/>
  <c r="X91" i="13"/>
  <c r="AB85" i="13"/>
  <c r="AH89" i="13"/>
  <c r="AH82" i="13"/>
  <c r="AI82" i="13"/>
  <c r="AG81" i="13"/>
  <c r="AG99" i="13"/>
  <c r="AC83" i="13"/>
  <c r="Z87" i="13"/>
  <c r="AF83" i="13"/>
  <c r="AD87" i="13"/>
  <c r="Y81" i="13"/>
  <c r="AD89" i="13"/>
  <c r="AA91" i="13"/>
  <c r="AH99" i="13"/>
  <c r="Z82" i="13"/>
  <c r="Y85" i="13"/>
  <c r="AA89" i="13"/>
  <c r="AA82" i="13"/>
  <c r="AB83" i="13"/>
  <c r="AI86" i="13"/>
  <c r="AB89" i="13"/>
  <c r="AH91" i="13"/>
  <c r="AG82" i="13"/>
  <c r="AD91" i="13"/>
  <c r="Y82" i="13"/>
  <c r="Y99" i="13"/>
  <c r="Y91" i="13"/>
  <c r="AA83" i="13"/>
  <c r="AA99" i="13"/>
  <c r="AB91" i="13"/>
  <c r="AH95" i="13"/>
  <c r="AI87" i="13"/>
  <c r="AG86" i="13"/>
  <c r="AF85" i="13"/>
  <c r="AF91" i="13"/>
  <c r="X89" i="13"/>
  <c r="X86" i="13"/>
  <c r="AD99" i="13"/>
  <c r="Y83" i="13"/>
  <c r="AA85" i="13"/>
  <c r="AB95" i="13"/>
  <c r="AH86" i="13"/>
  <c r="AH83" i="13"/>
  <c r="AI83" i="13"/>
  <c r="AG87" i="13"/>
  <c r="AG91" i="13"/>
  <c r="Z85" i="13"/>
  <c r="AF95" i="13"/>
  <c r="AI91" i="13"/>
  <c r="AI85" i="13"/>
  <c r="Z81" i="13"/>
  <c r="AC91" i="13"/>
  <c r="X85" i="13"/>
  <c r="AD85" i="13"/>
  <c r="AD83" i="13"/>
  <c r="AA81" i="13"/>
  <c r="AB87" i="13"/>
  <c r="AH87" i="13"/>
  <c r="AH85" i="13"/>
  <c r="AI89" i="13"/>
  <c r="AG89" i="13"/>
  <c r="AC87" i="13"/>
  <c r="Z89" i="13"/>
  <c r="AF81" i="13"/>
  <c r="AF87" i="13"/>
  <c r="AF82" i="13"/>
  <c r="BI69" i="10" l="1"/>
  <c r="BI69" i="13" s="1"/>
  <c r="AG78" i="13"/>
  <c r="AH78" i="13" l="1"/>
  <c r="AI78" i="13" l="1"/>
  <c r="AK78" i="13" l="1"/>
  <c r="AL78" i="13" l="1"/>
  <c r="AM78" i="13" l="1"/>
  <c r="AN78" i="13" l="1"/>
  <c r="AO78" i="13" l="1"/>
  <c r="AP78" i="13" l="1"/>
  <c r="AQ78" i="13" l="1"/>
  <c r="AR78" i="13" l="1"/>
  <c r="BI5" i="10"/>
  <c r="BI5" i="13" s="1"/>
  <c r="AS78" i="13" l="1"/>
  <c r="AT78" i="13" l="1"/>
  <c r="AU78" i="13" l="1"/>
  <c r="AZ78" i="13"/>
  <c r="BC78" i="13" l="1"/>
  <c r="BB78" i="13"/>
  <c r="BA78" i="13"/>
  <c r="AV78" i="13"/>
  <c r="BD78" i="13" l="1"/>
  <c r="AW78" i="13"/>
  <c r="BE78" i="13" l="1"/>
  <c r="AX78" i="13"/>
  <c r="AZ102" i="13" l="1"/>
  <c r="AZ97" i="13"/>
  <c r="AZ101" i="13"/>
  <c r="AZ98" i="13"/>
  <c r="AZ96" i="13"/>
  <c r="AZ100" i="13"/>
  <c r="AZ99" i="13"/>
  <c r="AZ84" i="13"/>
  <c r="AZ80" i="13"/>
  <c r="AZ79" i="13"/>
  <c r="AZ94" i="13"/>
  <c r="AZ92" i="13"/>
  <c r="AZ93" i="13"/>
  <c r="BF78" i="13"/>
  <c r="AZ90" i="13"/>
  <c r="AZ86" i="13" l="1"/>
  <c r="AZ91" i="13"/>
  <c r="AZ81" i="13"/>
  <c r="AZ95" i="13"/>
  <c r="AZ82" i="13"/>
  <c r="BE90" i="13"/>
  <c r="BB99" i="13"/>
  <c r="AK103" i="13"/>
  <c r="BA93" i="13"/>
  <c r="BE93" i="13"/>
  <c r="BE79" i="13"/>
  <c r="BE100" i="13"/>
  <c r="BB101" i="13"/>
  <c r="BE91" i="13"/>
  <c r="BE102" i="13"/>
  <c r="BE101" i="13"/>
  <c r="BB97" i="13"/>
  <c r="BB94" i="13"/>
  <c r="BF99" i="13"/>
  <c r="BF100" i="13"/>
  <c r="BF79" i="13"/>
  <c r="AL92" i="13"/>
  <c r="AL84" i="13"/>
  <c r="AL100" i="13"/>
  <c r="AK101" i="13"/>
  <c r="AK81" i="13"/>
  <c r="AK88" i="13"/>
  <c r="AR102" i="13"/>
  <c r="AR96" i="13"/>
  <c r="AR80" i="13"/>
  <c r="BG93" i="13"/>
  <c r="AM98" i="13"/>
  <c r="AM88" i="13"/>
  <c r="AN97" i="13"/>
  <c r="AV98" i="13"/>
  <c r="AV92" i="13"/>
  <c r="AO96" i="13"/>
  <c r="AO97" i="13"/>
  <c r="AO88" i="13"/>
  <c r="AS90" i="13"/>
  <c r="AS103" i="13"/>
  <c r="AW87" i="13"/>
  <c r="AW88" i="13"/>
  <c r="AW98" i="13"/>
  <c r="AX100" i="13"/>
  <c r="AX88" i="13"/>
  <c r="AX80" i="13"/>
  <c r="AU84" i="13"/>
  <c r="BD92" i="13"/>
  <c r="BD103" i="13"/>
  <c r="AP97" i="13"/>
  <c r="BC85" i="13"/>
  <c r="BC96" i="13"/>
  <c r="BC90" i="13"/>
  <c r="BC93" i="13"/>
  <c r="BH81" i="13"/>
  <c r="BH79" i="13"/>
  <c r="BA101" i="13"/>
  <c r="BA91" i="13"/>
  <c r="BA97" i="13"/>
  <c r="BA103" i="13"/>
  <c r="AT98" i="13"/>
  <c r="AT84" i="13"/>
  <c r="AT88" i="13"/>
  <c r="AT80" i="13"/>
  <c r="AZ103" i="13"/>
  <c r="BH92" i="13"/>
  <c r="AT97" i="13"/>
  <c r="AT79" i="13"/>
  <c r="AT92" i="13"/>
  <c r="AQ103" i="13"/>
  <c r="AQ90" i="13"/>
  <c r="BE80" i="13"/>
  <c r="BB96" i="13"/>
  <c r="BB93" i="13"/>
  <c r="AL96" i="13"/>
  <c r="AK97" i="13"/>
  <c r="BG94" i="13"/>
  <c r="AM80" i="13"/>
  <c r="AN87" i="13"/>
  <c r="AN103" i="13"/>
  <c r="AO90" i="13"/>
  <c r="AW79" i="13"/>
  <c r="AX79" i="13"/>
  <c r="AX102" i="13"/>
  <c r="AP90" i="13"/>
  <c r="AP99" i="13"/>
  <c r="AP103" i="13"/>
  <c r="BH90" i="13"/>
  <c r="BH93" i="13"/>
  <c r="AT96" i="13"/>
  <c r="AQ88" i="13"/>
  <c r="AQ93" i="13"/>
  <c r="AQ98" i="13"/>
  <c r="AZ83" i="13"/>
  <c r="BE83" i="13"/>
  <c r="BE99" i="13"/>
  <c r="BE96" i="13"/>
  <c r="BB89" i="13"/>
  <c r="BB102" i="13"/>
  <c r="BB80" i="13"/>
  <c r="BF101" i="13"/>
  <c r="BF90" i="13"/>
  <c r="BF82" i="13"/>
  <c r="AK91" i="13"/>
  <c r="AK100" i="13"/>
  <c r="AR87" i="13"/>
  <c r="AR79" i="13"/>
  <c r="BG102" i="13"/>
  <c r="BG101" i="13"/>
  <c r="BG83" i="13"/>
  <c r="BG79" i="13"/>
  <c r="AM91" i="13"/>
  <c r="AM90" i="13"/>
  <c r="AM84" i="13"/>
  <c r="AM83" i="13"/>
  <c r="AN98" i="13"/>
  <c r="AN88" i="13"/>
  <c r="AN80" i="13"/>
  <c r="AV101" i="13"/>
  <c r="AV94" i="13"/>
  <c r="AV93" i="13"/>
  <c r="AO89" i="13"/>
  <c r="AO81" i="13"/>
  <c r="AO103" i="13"/>
  <c r="AS101" i="13"/>
  <c r="AS87" i="13"/>
  <c r="AS96" i="13"/>
  <c r="AS85" i="13"/>
  <c r="AW81" i="13"/>
  <c r="AX89" i="13"/>
  <c r="AX82" i="13"/>
  <c r="AU87" i="13"/>
  <c r="AU86" i="13"/>
  <c r="BD86" i="13"/>
  <c r="BD95" i="13"/>
  <c r="BD96" i="13"/>
  <c r="BD80" i="13"/>
  <c r="AP96" i="13"/>
  <c r="AP98" i="13"/>
  <c r="AP88" i="13"/>
  <c r="AP84" i="13"/>
  <c r="BC102" i="13"/>
  <c r="BC84" i="13"/>
  <c r="BH82" i="13"/>
  <c r="BH88" i="13"/>
  <c r="BA94" i="13"/>
  <c r="BA84" i="13"/>
  <c r="BA96" i="13"/>
  <c r="AT94" i="13"/>
  <c r="AT91" i="13"/>
  <c r="AT99" i="13"/>
  <c r="AQ89" i="13"/>
  <c r="AQ96" i="13"/>
  <c r="AQ100" i="13"/>
  <c r="AZ87" i="13"/>
  <c r="AZ85" i="13"/>
  <c r="BE103" i="13"/>
  <c r="AL99" i="13"/>
  <c r="AR94" i="13"/>
  <c r="BG96" i="13"/>
  <c r="AN100" i="13"/>
  <c r="AN90" i="13"/>
  <c r="AV79" i="13"/>
  <c r="AO86" i="13"/>
  <c r="AO102" i="13"/>
  <c r="AU97" i="13"/>
  <c r="AU93" i="13"/>
  <c r="AU80" i="13"/>
  <c r="BD100" i="13"/>
  <c r="BD84" i="13"/>
  <c r="AP101" i="13"/>
  <c r="BH84" i="13"/>
  <c r="BA100" i="13"/>
  <c r="AQ80" i="13"/>
  <c r="BB100" i="13"/>
  <c r="AN85" i="13"/>
  <c r="AV85" i="13"/>
  <c r="AO101" i="13"/>
  <c r="BB92" i="13"/>
  <c r="BB79" i="13"/>
  <c r="BB85" i="13"/>
  <c r="BB84" i="13"/>
  <c r="BF96" i="13"/>
  <c r="BF80" i="13"/>
  <c r="AL94" i="13"/>
  <c r="AL103" i="13"/>
  <c r="AK90" i="13"/>
  <c r="AK99" i="13"/>
  <c r="AR92" i="13"/>
  <c r="AR101" i="13"/>
  <c r="AR83" i="13"/>
  <c r="AR88" i="13"/>
  <c r="BG91" i="13"/>
  <c r="BG85" i="13"/>
  <c r="BG100" i="13"/>
  <c r="AM101" i="13"/>
  <c r="AM97" i="13"/>
  <c r="AM103" i="13"/>
  <c r="AN102" i="13"/>
  <c r="AN84" i="13"/>
  <c r="AN94" i="13"/>
  <c r="AV81" i="13"/>
  <c r="AV83" i="13"/>
  <c r="AV84" i="13"/>
  <c r="AV88" i="13"/>
  <c r="AV80" i="13"/>
  <c r="AO93" i="13"/>
  <c r="AO87" i="13"/>
  <c r="AO100" i="13"/>
  <c r="AS102" i="13"/>
  <c r="AS82" i="13"/>
  <c r="AW102" i="13"/>
  <c r="AW93" i="13"/>
  <c r="AW82" i="13"/>
  <c r="AX96" i="13"/>
  <c r="AU101" i="13"/>
  <c r="AU98" i="13"/>
  <c r="BD90" i="13"/>
  <c r="BD93" i="13"/>
  <c r="AP87" i="13"/>
  <c r="AP100" i="13"/>
  <c r="AP93" i="13"/>
  <c r="AP80" i="13"/>
  <c r="BC81" i="13"/>
  <c r="BC101" i="13"/>
  <c r="BH98" i="13"/>
  <c r="BH103" i="13"/>
  <c r="BH100" i="13"/>
  <c r="BA82" i="13"/>
  <c r="BA85" i="13"/>
  <c r="AT83" i="13"/>
  <c r="AQ82" i="13"/>
  <c r="AZ89" i="13"/>
  <c r="BF98" i="13"/>
  <c r="AM100" i="13"/>
  <c r="AS84" i="13"/>
  <c r="BC79" i="13"/>
  <c r="BA90" i="13"/>
  <c r="AK92" i="13"/>
  <c r="AK93" i="13"/>
  <c r="AR97" i="13"/>
  <c r="AV90" i="13"/>
  <c r="AV95" i="13"/>
  <c r="AV103" i="13"/>
  <c r="AO92" i="13"/>
  <c r="AS79" i="13"/>
  <c r="AX98" i="13"/>
  <c r="AU94" i="13"/>
  <c r="AU88" i="13"/>
  <c r="BD97" i="13"/>
  <c r="BD88" i="13"/>
  <c r="AP102" i="13"/>
  <c r="BC94" i="13"/>
  <c r="BC88" i="13"/>
  <c r="BC100" i="13"/>
  <c r="BH102" i="13"/>
  <c r="BE98" i="13"/>
  <c r="BE82" i="13"/>
  <c r="BF91" i="13"/>
  <c r="BF87" i="13"/>
  <c r="AL88" i="13"/>
  <c r="BE88" i="13"/>
  <c r="BB90" i="13"/>
  <c r="BB88" i="13"/>
  <c r="BF97" i="13"/>
  <c r="BF84" i="13"/>
  <c r="BF102" i="13"/>
  <c r="BF83" i="13"/>
  <c r="AL87" i="13"/>
  <c r="AL95" i="13"/>
  <c r="AL102" i="13"/>
  <c r="AL101" i="13"/>
  <c r="AL93" i="13"/>
  <c r="AK79" i="13"/>
  <c r="AR91" i="13"/>
  <c r="AR98" i="13"/>
  <c r="AR103" i="13"/>
  <c r="AR93" i="13"/>
  <c r="AR85" i="13"/>
  <c r="BG81" i="13"/>
  <c r="BG97" i="13"/>
  <c r="BG84" i="13"/>
  <c r="BG98" i="13"/>
  <c r="AM92" i="13"/>
  <c r="AM79" i="13"/>
  <c r="AM93" i="13"/>
  <c r="AN101" i="13"/>
  <c r="AN79" i="13"/>
  <c r="AV102" i="13"/>
  <c r="AO98" i="13"/>
  <c r="AO94" i="13"/>
  <c r="AO80" i="13"/>
  <c r="AS93" i="13"/>
  <c r="AS98" i="13"/>
  <c r="AS100" i="13"/>
  <c r="AW91" i="13"/>
  <c r="AW84" i="13"/>
  <c r="AW100" i="13"/>
  <c r="AW103" i="13"/>
  <c r="AX93" i="13"/>
  <c r="AU81" i="13"/>
  <c r="AU92" i="13"/>
  <c r="AU79" i="13"/>
  <c r="BD94" i="13"/>
  <c r="BD102" i="13"/>
  <c r="AP86" i="13"/>
  <c r="AP92" i="13"/>
  <c r="AP89" i="13"/>
  <c r="BC92" i="13"/>
  <c r="BC99" i="13"/>
  <c r="BC80" i="13"/>
  <c r="BH91" i="13"/>
  <c r="BH87" i="13"/>
  <c r="BH96" i="13"/>
  <c r="BH85" i="13"/>
  <c r="BA88" i="13"/>
  <c r="BA79" i="13"/>
  <c r="AT93" i="13"/>
  <c r="AQ101" i="13"/>
  <c r="AQ85" i="13"/>
  <c r="AQ91" i="13"/>
  <c r="AK96" i="13"/>
  <c r="AM86" i="13"/>
  <c r="AM94" i="13"/>
  <c r="AS94" i="13"/>
  <c r="AS95" i="13"/>
  <c r="AW96" i="13"/>
  <c r="AW94" i="13"/>
  <c r="AX97" i="13"/>
  <c r="BA98" i="13"/>
  <c r="AT102" i="13"/>
  <c r="BE97" i="13"/>
  <c r="BB103" i="13"/>
  <c r="AL90" i="13"/>
  <c r="AK94" i="13"/>
  <c r="BG78" i="13"/>
  <c r="BE92" i="13"/>
  <c r="BE94" i="13"/>
  <c r="BE84" i="13"/>
  <c r="BB95" i="13"/>
  <c r="BB91" i="13"/>
  <c r="BF95" i="13"/>
  <c r="BF93" i="13"/>
  <c r="AL86" i="13"/>
  <c r="AL98" i="13"/>
  <c r="AL80" i="13"/>
  <c r="AK86" i="13"/>
  <c r="AK84" i="13"/>
  <c r="AR86" i="13"/>
  <c r="AR84" i="13"/>
  <c r="BG90" i="13"/>
  <c r="BG86" i="13"/>
  <c r="BG103" i="13"/>
  <c r="BG88" i="13"/>
  <c r="AM102" i="13"/>
  <c r="AM87" i="13"/>
  <c r="AM95" i="13"/>
  <c r="AN96" i="13"/>
  <c r="AN93" i="13"/>
  <c r="AV86" i="13"/>
  <c r="AV100" i="13"/>
  <c r="AO95" i="13"/>
  <c r="AO85" i="13"/>
  <c r="AS92" i="13"/>
  <c r="AS80" i="13"/>
  <c r="AW101" i="13"/>
  <c r="AW90" i="13"/>
  <c r="AX85" i="13"/>
  <c r="AX101" i="13"/>
  <c r="AX92" i="13"/>
  <c r="AU96" i="13"/>
  <c r="AU85" i="13"/>
  <c r="AU103" i="13"/>
  <c r="BD98" i="13"/>
  <c r="BD101" i="13"/>
  <c r="AP94" i="13"/>
  <c r="BH95" i="13"/>
  <c r="BH80" i="13"/>
  <c r="BA92" i="13"/>
  <c r="BA99" i="13"/>
  <c r="AT103" i="13"/>
  <c r="AQ79" i="13"/>
  <c r="AQ99" i="13"/>
  <c r="AQ84" i="13"/>
  <c r="BF86" i="13"/>
  <c r="BF92" i="13"/>
  <c r="AR90" i="13"/>
  <c r="BG87" i="13"/>
  <c r="BG80" i="13"/>
  <c r="AM96" i="13"/>
  <c r="BD79" i="13"/>
  <c r="BC98" i="13"/>
  <c r="AT101" i="13"/>
  <c r="AQ92" i="13"/>
  <c r="BB98" i="13"/>
  <c r="BF81" i="13"/>
  <c r="BF94" i="13"/>
  <c r="BF103" i="13"/>
  <c r="BF88" i="13"/>
  <c r="AL79" i="13"/>
  <c r="AL97" i="13"/>
  <c r="AK98" i="13"/>
  <c r="AK102" i="13"/>
  <c r="AK80" i="13"/>
  <c r="AR100" i="13"/>
  <c r="BG92" i="13"/>
  <c r="AM81" i="13"/>
  <c r="AN92" i="13"/>
  <c r="AN91" i="13"/>
  <c r="AV96" i="13"/>
  <c r="AV97" i="13"/>
  <c r="AO82" i="13"/>
  <c r="AO84" i="13"/>
  <c r="AO79" i="13"/>
  <c r="AS97" i="13"/>
  <c r="AS88" i="13"/>
  <c r="AW92" i="13"/>
  <c r="AW97" i="13"/>
  <c r="AW80" i="13"/>
  <c r="AX94" i="13"/>
  <c r="AX103" i="13"/>
  <c r="AX90" i="13"/>
  <c r="AX84" i="13"/>
  <c r="AU90" i="13"/>
  <c r="AU100" i="13"/>
  <c r="AU102" i="13"/>
  <c r="AP79" i="13"/>
  <c r="BC97" i="13"/>
  <c r="BC103" i="13"/>
  <c r="BH99" i="13"/>
  <c r="BH97" i="13"/>
  <c r="BH101" i="13"/>
  <c r="BH94" i="13"/>
  <c r="BA86" i="13"/>
  <c r="BA102" i="13"/>
  <c r="BA80" i="13"/>
  <c r="AT90" i="13"/>
  <c r="AT100" i="13"/>
  <c r="AQ102" i="13"/>
  <c r="AQ94" i="13"/>
  <c r="AQ97" i="13"/>
  <c r="AZ88" i="13"/>
  <c r="BH83" i="13"/>
  <c r="AK82" i="13"/>
  <c r="BG82" i="13"/>
  <c r="AO83" i="13"/>
  <c r="AL85" i="13"/>
  <c r="AV89" i="13"/>
  <c r="AO99" i="13"/>
  <c r="AS89" i="13"/>
  <c r="AS91" i="13"/>
  <c r="AX95" i="13"/>
  <c r="AU83" i="13"/>
  <c r="BD87" i="13"/>
  <c r="AP81" i="13"/>
  <c r="BC91" i="13"/>
  <c r="BC83" i="13"/>
  <c r="BH86" i="13"/>
  <c r="BF89" i="13"/>
  <c r="BB86" i="13"/>
  <c r="AM82" i="13"/>
  <c r="AR99" i="13"/>
  <c r="BE89" i="13"/>
  <c r="AK95" i="13"/>
  <c r="AR89" i="13"/>
  <c r="BG89" i="13"/>
  <c r="AN89" i="13"/>
  <c r="AV99" i="13"/>
  <c r="AV87" i="13"/>
  <c r="AO91" i="13"/>
  <c r="AS83" i="13"/>
  <c r="AW85" i="13"/>
  <c r="AX91" i="13"/>
  <c r="AU82" i="13"/>
  <c r="BD99" i="13"/>
  <c r="BD81" i="13"/>
  <c r="AP95" i="13"/>
  <c r="BC87" i="13"/>
  <c r="BC86" i="13"/>
  <c r="AT82" i="13"/>
  <c r="AQ83" i="13"/>
  <c r="BC89" i="13"/>
  <c r="BH89" i="13"/>
  <c r="AR82" i="13"/>
  <c r="AN99" i="13"/>
  <c r="BE85" i="13"/>
  <c r="BB87" i="13"/>
  <c r="BB82" i="13"/>
  <c r="BF85" i="13"/>
  <c r="AL82" i="13"/>
  <c r="AR81" i="13"/>
  <c r="BG99" i="13"/>
  <c r="AM89" i="13"/>
  <c r="AN86" i="13"/>
  <c r="AN95" i="13"/>
  <c r="AW99" i="13"/>
  <c r="AW83" i="13"/>
  <c r="AX86" i="13"/>
  <c r="AX83" i="13"/>
  <c r="AX87" i="13"/>
  <c r="AU89" i="13"/>
  <c r="AU95" i="13"/>
  <c r="BD85" i="13"/>
  <c r="BD83" i="13"/>
  <c r="AP85" i="13"/>
  <c r="AP82" i="13"/>
  <c r="AT81" i="13"/>
  <c r="AT85" i="13"/>
  <c r="AQ87" i="13"/>
  <c r="AQ95" i="13"/>
  <c r="AQ81" i="13"/>
  <c r="BE81" i="13"/>
  <c r="AK83" i="13"/>
  <c r="AN83" i="13"/>
  <c r="AX81" i="13"/>
  <c r="BA81" i="13"/>
  <c r="AQ86" i="13"/>
  <c r="AL89" i="13"/>
  <c r="AK85" i="13"/>
  <c r="BE87" i="13"/>
  <c r="BB81" i="13"/>
  <c r="AL91" i="13"/>
  <c r="AL83" i="13"/>
  <c r="AK89" i="13"/>
  <c r="AN81" i="13"/>
  <c r="AV82" i="13"/>
  <c r="AW86" i="13"/>
  <c r="AW95" i="13"/>
  <c r="AX99" i="13"/>
  <c r="AU99" i="13"/>
  <c r="BD91" i="13"/>
  <c r="AP91" i="13"/>
  <c r="AW89" i="13"/>
  <c r="BA87" i="13"/>
  <c r="BB83" i="13"/>
  <c r="AK87" i="13"/>
  <c r="AS81" i="13"/>
  <c r="BD82" i="13"/>
  <c r="BC95" i="13"/>
  <c r="BA95" i="13"/>
  <c r="AT89" i="13"/>
  <c r="AN82" i="13"/>
  <c r="BE86" i="13"/>
  <c r="BE95" i="13"/>
  <c r="AL81" i="13"/>
  <c r="AR95" i="13"/>
  <c r="BG95" i="13"/>
  <c r="AM85" i="13"/>
  <c r="AM99" i="13"/>
  <c r="AV91" i="13"/>
  <c r="AS99" i="13"/>
  <c r="AS86" i="13"/>
  <c r="AU91" i="13"/>
  <c r="BD89" i="13"/>
  <c r="AP83" i="13"/>
  <c r="BC82" i="13"/>
  <c r="BA83" i="13"/>
  <c r="BA89" i="13"/>
  <c r="AT87" i="13"/>
  <c r="AT86" i="13"/>
  <c r="AT95" i="13"/>
  <c r="BH78" i="13" l="1"/>
  <c r="AJ8" i="10" l="1"/>
  <c r="AJ8" i="13" s="1"/>
  <c r="Z6" i="10"/>
  <c r="Z6" i="13" s="1"/>
  <c r="AJ9" i="10"/>
  <c r="AJ9" i="13" s="1"/>
  <c r="AJ10" i="10"/>
  <c r="AJ10" i="13" s="1"/>
  <c r="Z11" i="10"/>
  <c r="Z11" i="13" s="1"/>
  <c r="Z8" i="10"/>
  <c r="Z8" i="13" s="1"/>
  <c r="Z9" i="10"/>
  <c r="Z9" i="13" s="1"/>
  <c r="Z7" i="10"/>
  <c r="Z7" i="13" s="1"/>
  <c r="AJ11" i="10"/>
  <c r="AJ11" i="13" s="1"/>
  <c r="AJ7" i="10"/>
  <c r="AJ7" i="13" s="1"/>
  <c r="AJ6" i="10"/>
  <c r="AJ6" i="13" s="1"/>
  <c r="Z10" i="10"/>
  <c r="Z10" i="13" s="1"/>
  <c r="B16" i="12" l="1"/>
  <c r="AE3" i="10" s="1"/>
  <c r="AE3" i="13" s="1"/>
  <c r="AE4" i="10"/>
  <c r="AE4" i="13" s="1"/>
  <c r="AE13" i="10" l="1"/>
  <c r="AE13" i="13" l="1"/>
  <c r="AE14" i="10"/>
  <c r="Q48" i="12" s="1"/>
  <c r="AE32" i="10"/>
  <c r="AE32" i="13" s="1"/>
  <c r="AE41" i="10"/>
  <c r="AE50" i="10"/>
  <c r="AE50" i="13" s="1"/>
  <c r="AE20" i="10"/>
  <c r="AE20" i="13" s="1"/>
  <c r="AE54" i="10"/>
  <c r="AE48" i="10"/>
  <c r="AE27" i="10"/>
  <c r="AE27" i="13" s="1"/>
  <c r="AE46" i="10"/>
  <c r="AE15" i="10"/>
  <c r="AE40" i="10"/>
  <c r="AE49" i="10"/>
  <c r="AE49" i="13" s="1"/>
  <c r="AE19" i="10"/>
  <c r="AE19" i="13" s="1"/>
  <c r="AE28" i="10"/>
  <c r="AE28" i="13" s="1"/>
  <c r="AE23" i="10"/>
  <c r="AE23" i="13" s="1"/>
  <c r="AE22" i="10"/>
  <c r="AE22" i="13" s="1"/>
  <c r="AE36" i="10"/>
  <c r="AE39" i="10"/>
  <c r="AE30" i="10"/>
  <c r="AE18" i="10"/>
  <c r="AE18" i="13" s="1"/>
  <c r="AE43" i="10"/>
  <c r="AE52" i="10"/>
  <c r="AE53" i="10"/>
  <c r="AE35" i="10"/>
  <c r="AE47" i="10"/>
  <c r="AE17" i="10"/>
  <c r="AE17" i="13" s="1"/>
  <c r="AE26" i="10"/>
  <c r="AE51" i="10"/>
  <c r="AE51" i="13" s="1"/>
  <c r="AE21" i="10"/>
  <c r="AE21" i="13" s="1"/>
  <c r="AE16" i="10"/>
  <c r="AE16" i="13" s="1"/>
  <c r="AE25" i="10"/>
  <c r="AE34" i="10"/>
  <c r="Q57" i="12" s="1"/>
  <c r="AE29" i="10"/>
  <c r="AE29" i="13" s="1"/>
  <c r="AE37" i="10"/>
  <c r="AE37" i="13" s="1"/>
  <c r="AE31" i="10"/>
  <c r="AE31" i="13" s="1"/>
  <c r="AE24" i="10"/>
  <c r="AE24" i="13" s="1"/>
  <c r="AE33" i="10"/>
  <c r="AE42" i="10"/>
  <c r="AE45" i="10"/>
  <c r="AE38" i="10"/>
  <c r="AE44" i="10"/>
  <c r="Q66" i="12"/>
  <c r="Q63" i="12"/>
  <c r="Q76" i="12"/>
  <c r="Q49" i="12"/>
  <c r="Q58" i="12"/>
  <c r="Q70" i="12"/>
  <c r="K47" i="12"/>
  <c r="AE78" i="13"/>
  <c r="AE52" i="13" l="1"/>
  <c r="E99" i="12"/>
  <c r="AE54" i="13"/>
  <c r="E101" i="12"/>
  <c r="AE33" i="13"/>
  <c r="E105" i="12"/>
  <c r="AE43" i="13"/>
  <c r="AE94" i="13" s="1"/>
  <c r="E113" i="12"/>
  <c r="AE48" i="13"/>
  <c r="E118" i="12"/>
  <c r="AE26" i="13"/>
  <c r="E103" i="12"/>
  <c r="AE40" i="13"/>
  <c r="E110" i="12"/>
  <c r="AE39" i="13"/>
  <c r="E109" i="12"/>
  <c r="AE15" i="13"/>
  <c r="E98" i="12"/>
  <c r="AE25" i="13"/>
  <c r="AE84" i="13" s="1"/>
  <c r="E102" i="12"/>
  <c r="AE42" i="13"/>
  <c r="AE93" i="13" s="1"/>
  <c r="E112" i="12"/>
  <c r="AE30" i="13"/>
  <c r="E104" i="12"/>
  <c r="Q61" i="12"/>
  <c r="AE44" i="13"/>
  <c r="E114" i="12"/>
  <c r="AE47" i="13"/>
  <c r="AE97" i="13" s="1"/>
  <c r="E117" i="12"/>
  <c r="AE36" i="13"/>
  <c r="E107" i="12"/>
  <c r="AE46" i="13"/>
  <c r="AE96" i="13" s="1"/>
  <c r="E116" i="12"/>
  <c r="AE14" i="13"/>
  <c r="AE79" i="13" s="1"/>
  <c r="E97" i="12"/>
  <c r="AE45" i="13"/>
  <c r="E115" i="12"/>
  <c r="AE53" i="13"/>
  <c r="AE102" i="13" s="1"/>
  <c r="E100" i="12"/>
  <c r="AE41" i="13"/>
  <c r="E111" i="12"/>
  <c r="AE38" i="13"/>
  <c r="AE90" i="13" s="1"/>
  <c r="E108" i="12"/>
  <c r="AE34" i="13"/>
  <c r="E106" i="12"/>
  <c r="AE35" i="13"/>
  <c r="E119" i="12"/>
  <c r="Q71" i="12"/>
  <c r="Q84" i="12"/>
  <c r="Q81" i="12"/>
  <c r="Q79" i="12"/>
  <c r="Q59" i="12"/>
  <c r="Q60" i="12"/>
  <c r="Q55" i="12"/>
  <c r="Q69" i="12"/>
  <c r="Q62" i="12"/>
  <c r="Q73" i="12"/>
  <c r="Q86" i="12"/>
  <c r="Q87" i="12"/>
  <c r="Q85" i="12"/>
  <c r="Q54" i="12"/>
  <c r="Q88" i="12"/>
  <c r="Q74" i="12"/>
  <c r="Q56" i="12"/>
  <c r="Q52" i="12"/>
  <c r="Q83" i="12"/>
  <c r="Q82" i="12"/>
  <c r="Q77" i="12"/>
  <c r="Q65" i="12"/>
  <c r="Q68" i="12"/>
  <c r="Q75" i="12"/>
  <c r="Q50" i="12"/>
  <c r="Q51" i="12"/>
  <c r="Q64" i="12"/>
  <c r="Q72" i="12"/>
  <c r="Q80" i="12"/>
  <c r="Q53" i="12"/>
  <c r="Q78" i="12"/>
  <c r="Q67" i="12"/>
  <c r="AE92" i="13"/>
  <c r="AE88" i="13"/>
  <c r="AE81" i="13"/>
  <c r="AE101" i="13"/>
  <c r="AE80" i="13"/>
  <c r="AE103" i="13"/>
  <c r="AE85" i="13"/>
  <c r="AE98" i="13"/>
  <c r="AE100" i="13"/>
  <c r="AE99" i="13"/>
  <c r="B17" i="12"/>
  <c r="AJ3" i="10" s="1"/>
  <c r="AJ3" i="13" s="1"/>
  <c r="E126" i="12" l="1"/>
  <c r="E124" i="12"/>
  <c r="E123" i="12"/>
  <c r="E125" i="12"/>
  <c r="Q47" i="12"/>
  <c r="AE86" i="13"/>
  <c r="AJ18" i="10"/>
  <c r="AJ18" i="13" s="1"/>
  <c r="AJ20" i="10"/>
  <c r="AJ20" i="13" s="1"/>
  <c r="AE82" i="13"/>
  <c r="AE91" i="13"/>
  <c r="AE95" i="13"/>
  <c r="AE89" i="13"/>
  <c r="AE87" i="13"/>
  <c r="AE83" i="13"/>
  <c r="AJ13" i="10"/>
  <c r="AJ13" i="13" s="1"/>
  <c r="AJ26" i="10" l="1"/>
  <c r="AJ53" i="10"/>
  <c r="AJ51" i="10"/>
  <c r="AJ51" i="13" s="1"/>
  <c r="AJ32" i="10"/>
  <c r="AJ32" i="13" s="1"/>
  <c r="AJ45" i="10"/>
  <c r="AJ16" i="10"/>
  <c r="AJ16" i="13" s="1"/>
  <c r="AJ37" i="10"/>
  <c r="AJ37" i="13" s="1"/>
  <c r="AJ44" i="10"/>
  <c r="AJ22" i="10"/>
  <c r="AJ22" i="13" s="1"/>
  <c r="AJ28" i="10"/>
  <c r="AJ28" i="13" s="1"/>
  <c r="AJ34" i="10"/>
  <c r="AJ40" i="10"/>
  <c r="AJ43" i="10"/>
  <c r="AJ41" i="10"/>
  <c r="AJ47" i="10"/>
  <c r="AJ29" i="10"/>
  <c r="AJ29" i="13" s="1"/>
  <c r="AJ27" i="10"/>
  <c r="AJ27" i="13" s="1"/>
  <c r="AJ33" i="10"/>
  <c r="AJ39" i="10"/>
  <c r="AJ54" i="10"/>
  <c r="AJ52" i="10"/>
  <c r="AJ19" i="10"/>
  <c r="AJ19" i="13" s="1"/>
  <c r="AJ25" i="10"/>
  <c r="AJ31" i="10"/>
  <c r="AJ31" i="13" s="1"/>
  <c r="AJ50" i="10"/>
  <c r="AJ50" i="13" s="1"/>
  <c r="AJ17" i="10"/>
  <c r="AJ17" i="13" s="1"/>
  <c r="AJ23" i="10"/>
  <c r="AJ23" i="13" s="1"/>
  <c r="AJ38" i="10"/>
  <c r="AJ30" i="10"/>
  <c r="AJ36" i="10"/>
  <c r="AJ42" i="10"/>
  <c r="AJ48" i="10"/>
  <c r="AJ15" i="10"/>
  <c r="AJ46" i="10"/>
  <c r="AJ21" i="10"/>
  <c r="AJ21" i="13" s="1"/>
  <c r="AJ35" i="10"/>
  <c r="AJ49" i="10"/>
  <c r="AJ49" i="13" s="1"/>
  <c r="AJ24" i="10"/>
  <c r="AJ24" i="13" s="1"/>
  <c r="AJ14" i="10"/>
  <c r="R82" i="12"/>
  <c r="R84" i="12"/>
  <c r="M47" i="12"/>
  <c r="L47" i="12"/>
  <c r="R54" i="12"/>
  <c r="R50" i="12"/>
  <c r="R88" i="12"/>
  <c r="R86" i="12"/>
  <c r="R51" i="12"/>
  <c r="AJ78" i="13"/>
  <c r="AJ42" i="13" l="1"/>
  <c r="F112" i="12"/>
  <c r="AJ36" i="13"/>
  <c r="F107" i="12"/>
  <c r="AJ30" i="13"/>
  <c r="AJ87" i="13" s="1"/>
  <c r="F104" i="12"/>
  <c r="AJ52" i="13"/>
  <c r="AJ101" i="13" s="1"/>
  <c r="F99" i="12"/>
  <c r="AJ43" i="13"/>
  <c r="F113" i="12"/>
  <c r="AJ45" i="13"/>
  <c r="F115" i="12"/>
  <c r="AJ44" i="13"/>
  <c r="F114" i="12"/>
  <c r="AJ14" i="13"/>
  <c r="AJ79" i="13" s="1"/>
  <c r="F97" i="12"/>
  <c r="AJ47" i="13"/>
  <c r="F117" i="12"/>
  <c r="AJ35" i="13"/>
  <c r="F119" i="12"/>
  <c r="AJ38" i="13"/>
  <c r="AJ90" i="13" s="1"/>
  <c r="F108" i="12"/>
  <c r="AJ54" i="13"/>
  <c r="AJ103" i="13" s="1"/>
  <c r="F101" i="12"/>
  <c r="AJ40" i="13"/>
  <c r="F110" i="12"/>
  <c r="AJ48" i="13"/>
  <c r="F118" i="12"/>
  <c r="AJ41" i="13"/>
  <c r="AJ92" i="13" s="1"/>
  <c r="F111" i="12"/>
  <c r="F125" i="12" s="1"/>
  <c r="AJ39" i="13"/>
  <c r="F109" i="12"/>
  <c r="AJ46" i="13"/>
  <c r="F116" i="12"/>
  <c r="AJ33" i="13"/>
  <c r="F105" i="12"/>
  <c r="AJ53" i="13"/>
  <c r="AJ102" i="13" s="1"/>
  <c r="F100" i="12"/>
  <c r="AJ25" i="13"/>
  <c r="AJ84" i="13" s="1"/>
  <c r="F102" i="12"/>
  <c r="AJ34" i="13"/>
  <c r="F106" i="12"/>
  <c r="AJ15" i="13"/>
  <c r="AJ80" i="13" s="1"/>
  <c r="F98" i="12"/>
  <c r="AJ26" i="13"/>
  <c r="F103" i="12"/>
  <c r="R59" i="12"/>
  <c r="R79" i="12"/>
  <c r="R70" i="12"/>
  <c r="R52" i="12"/>
  <c r="R73" i="12"/>
  <c r="R61" i="12"/>
  <c r="R75" i="12"/>
  <c r="R72" i="12"/>
  <c r="R53" i="12"/>
  <c r="R85" i="12"/>
  <c r="R63" i="12"/>
  <c r="R66" i="12"/>
  <c r="R74" i="12"/>
  <c r="R80" i="12"/>
  <c r="R58" i="12"/>
  <c r="R83" i="12"/>
  <c r="R87" i="12"/>
  <c r="R71" i="12"/>
  <c r="R48" i="12"/>
  <c r="R55" i="12"/>
  <c r="R56" i="12"/>
  <c r="R57" i="12"/>
  <c r="R60" i="12"/>
  <c r="R62" i="12"/>
  <c r="R64" i="12"/>
  <c r="R81" i="12"/>
  <c r="R67" i="12"/>
  <c r="R76" i="12"/>
  <c r="R77" i="12"/>
  <c r="R69" i="12"/>
  <c r="R68" i="12"/>
  <c r="R65" i="12"/>
  <c r="R78" i="12"/>
  <c r="R49" i="12"/>
  <c r="AJ100" i="13"/>
  <c r="AJ99" i="13"/>
  <c r="AJ93" i="13"/>
  <c r="AJ97" i="13"/>
  <c r="AJ94" i="13"/>
  <c r="AJ96" i="13"/>
  <c r="AJ88" i="13"/>
  <c r="AJ98" i="13"/>
  <c r="C18" i="12"/>
  <c r="B18" i="12" s="1"/>
  <c r="AY3" i="10" s="1"/>
  <c r="AY3" i="13" s="1"/>
  <c r="F124" i="12" l="1"/>
  <c r="F123" i="12"/>
  <c r="F126" i="12"/>
  <c r="R47" i="12"/>
  <c r="AY14" i="10" s="1"/>
  <c r="AY47" i="10"/>
  <c r="G117" i="12" s="1"/>
  <c r="AY16" i="10"/>
  <c r="AY32" i="10"/>
  <c r="AY32" i="13" s="1"/>
  <c r="AY54" i="10"/>
  <c r="G101" i="12" s="1"/>
  <c r="AJ91" i="13"/>
  <c r="AJ95" i="13"/>
  <c r="AJ81" i="13"/>
  <c r="AJ85" i="13"/>
  <c r="AJ82" i="13"/>
  <c r="AJ83" i="13"/>
  <c r="AJ89" i="13"/>
  <c r="AJ86" i="13"/>
  <c r="AY78" i="13"/>
  <c r="AY21" i="10" l="1"/>
  <c r="AY44" i="10"/>
  <c r="AY36" i="10"/>
  <c r="G107" i="12" s="1"/>
  <c r="AY29" i="10"/>
  <c r="AY43" i="10"/>
  <c r="G113" i="12" s="1"/>
  <c r="AY35" i="10"/>
  <c r="G119" i="12" s="1"/>
  <c r="AY50" i="10"/>
  <c r="S87" i="12" s="1"/>
  <c r="AY17" i="10"/>
  <c r="AY17" i="13" s="1"/>
  <c r="AY34" i="10"/>
  <c r="G106" i="12" s="1"/>
  <c r="AY26" i="10"/>
  <c r="AY26" i="13" s="1"/>
  <c r="AY14" i="13"/>
  <c r="G97" i="12"/>
  <c r="G103" i="12"/>
  <c r="AY44" i="13"/>
  <c r="G114" i="12"/>
  <c r="AY33" i="10"/>
  <c r="G105" i="12" s="1"/>
  <c r="AY52" i="10"/>
  <c r="G99" i="12" s="1"/>
  <c r="AY51" i="10"/>
  <c r="AY42" i="10"/>
  <c r="G112" i="12" s="1"/>
  <c r="AY25" i="10"/>
  <c r="G102" i="12" s="1"/>
  <c r="AY24" i="10"/>
  <c r="S65" i="12" s="1"/>
  <c r="AY28" i="10"/>
  <c r="AY28" i="13" s="1"/>
  <c r="AY27" i="10"/>
  <c r="AY27" i="13" s="1"/>
  <c r="AY18" i="10"/>
  <c r="AY18" i="13" s="1"/>
  <c r="AY30" i="10"/>
  <c r="AY39" i="10"/>
  <c r="AY20" i="10"/>
  <c r="AY20" i="13" s="1"/>
  <c r="AY19" i="10"/>
  <c r="AY53" i="10"/>
  <c r="S51" i="12" s="1"/>
  <c r="AY37" i="10"/>
  <c r="AY37" i="13" s="1"/>
  <c r="AY31" i="10"/>
  <c r="AY31" i="13" s="1"/>
  <c r="AY46" i="10"/>
  <c r="AY49" i="10"/>
  <c r="AY48" i="10"/>
  <c r="G118" i="12" s="1"/>
  <c r="AY23" i="10"/>
  <c r="AY38" i="10"/>
  <c r="S48" i="12"/>
  <c r="AY22" i="10"/>
  <c r="AY22" i="13" s="1"/>
  <c r="AY45" i="10"/>
  <c r="AY41" i="10"/>
  <c r="AY40" i="10"/>
  <c r="AY15" i="10"/>
  <c r="S49" i="12" s="1"/>
  <c r="S54" i="12"/>
  <c r="S59" i="12"/>
  <c r="S60" i="12"/>
  <c r="S55" i="12"/>
  <c r="S74" i="12"/>
  <c r="S62" i="12"/>
  <c r="AY21" i="13"/>
  <c r="S68" i="12"/>
  <c r="AY29" i="13"/>
  <c r="S50" i="12"/>
  <c r="AY52" i="13"/>
  <c r="AY101" i="13" s="1"/>
  <c r="S88" i="12"/>
  <c r="AY51" i="13"/>
  <c r="AY100" i="13" s="1"/>
  <c r="S72" i="12"/>
  <c r="S53" i="12"/>
  <c r="AY25" i="13"/>
  <c r="AY84" i="13" s="1"/>
  <c r="S73" i="12"/>
  <c r="AY43" i="13"/>
  <c r="AY94" i="13" s="1"/>
  <c r="S57" i="12"/>
  <c r="AY34" i="13"/>
  <c r="S80" i="12"/>
  <c r="AY16" i="13"/>
  <c r="S58" i="12"/>
  <c r="AY36" i="13"/>
  <c r="S52" i="12"/>
  <c r="AY54" i="13"/>
  <c r="AY103" i="13" s="1"/>
  <c r="S77" i="12"/>
  <c r="AY47" i="13"/>
  <c r="AY97" i="13" s="1"/>
  <c r="S83" i="12"/>
  <c r="AY19" i="13"/>
  <c r="S70" i="12"/>
  <c r="AY79" i="13"/>
  <c r="AY35" i="13" l="1"/>
  <c r="S79" i="12"/>
  <c r="AY50" i="13"/>
  <c r="G126" i="12"/>
  <c r="S81" i="12"/>
  <c r="AY42" i="13"/>
  <c r="AY93" i="13" s="1"/>
  <c r="S67" i="12"/>
  <c r="AY24" i="13"/>
  <c r="S84" i="12"/>
  <c r="AY45" i="13"/>
  <c r="AY95" i="13" s="1"/>
  <c r="G115" i="12"/>
  <c r="S85" i="12"/>
  <c r="AY53" i="13"/>
  <c r="AY102" i="13" s="1"/>
  <c r="G100" i="12"/>
  <c r="S56" i="12"/>
  <c r="AY38" i="13"/>
  <c r="AY90" i="13" s="1"/>
  <c r="G108" i="12"/>
  <c r="S63" i="12"/>
  <c r="AY46" i="13"/>
  <c r="AY96" i="13" s="1"/>
  <c r="G116" i="12"/>
  <c r="AY15" i="13"/>
  <c r="AY80" i="13" s="1"/>
  <c r="G98" i="12"/>
  <c r="AY39" i="13"/>
  <c r="G109" i="12"/>
  <c r="AY41" i="13"/>
  <c r="AY92" i="13" s="1"/>
  <c r="G111" i="12"/>
  <c r="AY33" i="13"/>
  <c r="AY88" i="13" s="1"/>
  <c r="AY40" i="13"/>
  <c r="G110" i="12"/>
  <c r="AY30" i="13"/>
  <c r="AY87" i="13" s="1"/>
  <c r="G104" i="12"/>
  <c r="S76" i="12"/>
  <c r="S82" i="12"/>
  <c r="S75" i="12"/>
  <c r="S66" i="12"/>
  <c r="S69" i="12"/>
  <c r="S71" i="12"/>
  <c r="AY23" i="13"/>
  <c r="S64" i="12"/>
  <c r="S61" i="12"/>
  <c r="AY48" i="13"/>
  <c r="AY98" i="13" s="1"/>
  <c r="S78" i="12"/>
  <c r="AY49" i="13"/>
  <c r="AY99" i="13" s="1"/>
  <c r="S86" i="12"/>
  <c r="AY81" i="13"/>
  <c r="AY85" i="13"/>
  <c r="AY86" i="13"/>
  <c r="AY89" i="13"/>
  <c r="AY82" i="13"/>
  <c r="B19" i="12"/>
  <c r="BI3" i="10" s="1"/>
  <c r="BI3" i="13" s="1"/>
  <c r="AY83" i="13" l="1"/>
  <c r="AY91" i="13"/>
  <c r="G123" i="12"/>
  <c r="G124" i="12"/>
  <c r="G125" i="12"/>
  <c r="S47" i="12"/>
  <c r="BI13" i="10"/>
  <c r="BI13" i="13" l="1"/>
  <c r="BI78" i="13" s="1"/>
  <c r="BI15" i="10"/>
  <c r="BI26" i="10"/>
  <c r="BI51" i="10"/>
  <c r="BI51" i="13" s="1"/>
  <c r="BI52" i="10"/>
  <c r="BI32" i="10"/>
  <c r="BI32" i="13" s="1"/>
  <c r="BI24" i="10"/>
  <c r="BI24" i="13" s="1"/>
  <c r="BI42" i="10"/>
  <c r="BI49" i="10"/>
  <c r="BI49" i="13" s="1"/>
  <c r="BI50" i="10"/>
  <c r="BI50" i="13" s="1"/>
  <c r="BI22" i="10"/>
  <c r="BI22" i="13" s="1"/>
  <c r="BI23" i="10"/>
  <c r="BI23" i="13" s="1"/>
  <c r="BI34" i="10"/>
  <c r="BI40" i="10"/>
  <c r="BI48" i="10"/>
  <c r="BI17" i="10"/>
  <c r="BI17" i="13" s="1"/>
  <c r="BI41" i="10"/>
  <c r="BI20" i="10"/>
  <c r="BI20" i="13" s="1"/>
  <c r="BI27" i="10"/>
  <c r="BI27" i="13" s="1"/>
  <c r="BI37" i="10"/>
  <c r="BI37" i="13" s="1"/>
  <c r="BI31" i="10"/>
  <c r="BI31" i="13" s="1"/>
  <c r="BI25" i="10"/>
  <c r="BI33" i="10"/>
  <c r="BI28" i="10"/>
  <c r="BI28" i="13" s="1"/>
  <c r="BI39" i="10"/>
  <c r="BI21" i="10"/>
  <c r="BI21" i="13" s="1"/>
  <c r="BI19" i="10"/>
  <c r="BI19" i="13" s="1"/>
  <c r="BI29" i="10"/>
  <c r="BI29" i="13" s="1"/>
  <c r="BI36" i="10"/>
  <c r="BI47" i="10"/>
  <c r="BI30" i="10"/>
  <c r="BI38" i="10"/>
  <c r="BI35" i="10"/>
  <c r="BI45" i="10"/>
  <c r="BI46" i="10"/>
  <c r="BI14" i="10"/>
  <c r="BI16" i="10"/>
  <c r="BI16" i="13" s="1"/>
  <c r="BI18" i="10"/>
  <c r="BI18" i="13" s="1"/>
  <c r="BI43" i="10"/>
  <c r="BI44" i="10"/>
  <c r="BI53" i="10"/>
  <c r="BI54" i="10"/>
  <c r="N47" i="12"/>
  <c r="BI100" i="13"/>
  <c r="BI36" i="13" l="1"/>
  <c r="H107" i="12"/>
  <c r="BI34" i="13"/>
  <c r="H106" i="12"/>
  <c r="BI52" i="13"/>
  <c r="BI101" i="13" s="1"/>
  <c r="H99" i="12"/>
  <c r="BI42" i="13"/>
  <c r="BI93" i="13" s="1"/>
  <c r="H112" i="12"/>
  <c r="BI30" i="13"/>
  <c r="H104" i="12"/>
  <c r="BI47" i="13"/>
  <c r="BI97" i="13" s="1"/>
  <c r="H117" i="12"/>
  <c r="BI46" i="13"/>
  <c r="BI96" i="13" s="1"/>
  <c r="H116" i="12"/>
  <c r="BI26" i="13"/>
  <c r="H103" i="12"/>
  <c r="BI44" i="13"/>
  <c r="H114" i="12"/>
  <c r="BI43" i="13"/>
  <c r="BI94" i="13" s="1"/>
  <c r="H113" i="12"/>
  <c r="BI33" i="13"/>
  <c r="BI88" i="13" s="1"/>
  <c r="H105" i="12"/>
  <c r="BI25" i="13"/>
  <c r="BI84" i="13" s="1"/>
  <c r="H102" i="12"/>
  <c r="BI45" i="13"/>
  <c r="H115" i="12"/>
  <c r="BI15" i="13"/>
  <c r="BI80" i="13" s="1"/>
  <c r="H98" i="12"/>
  <c r="BI38" i="13"/>
  <c r="BI90" i="13" s="1"/>
  <c r="H108" i="12"/>
  <c r="BI48" i="13"/>
  <c r="BI98" i="13" s="1"/>
  <c r="H118" i="12"/>
  <c r="BI40" i="13"/>
  <c r="H110" i="12"/>
  <c r="BI14" i="13"/>
  <c r="BI79" i="13" s="1"/>
  <c r="H97" i="12"/>
  <c r="BI54" i="13"/>
  <c r="BI103" i="13" s="1"/>
  <c r="H101" i="12"/>
  <c r="BI53" i="13"/>
  <c r="BI102" i="13" s="1"/>
  <c r="H100" i="12"/>
  <c r="BI35" i="13"/>
  <c r="H119" i="12"/>
  <c r="BI39" i="13"/>
  <c r="H109" i="12"/>
  <c r="BI41" i="13"/>
  <c r="BI92" i="13" s="1"/>
  <c r="H111" i="12"/>
  <c r="BI91" i="13"/>
  <c r="BI85" i="13"/>
  <c r="BI95" i="13"/>
  <c r="BI99" i="13"/>
  <c r="BI86" i="13"/>
  <c r="BI81" i="13"/>
  <c r="BI82" i="13"/>
  <c r="BI83" i="13"/>
  <c r="BI89" i="13"/>
  <c r="BI87" i="13"/>
  <c r="BI7" i="10"/>
  <c r="BI7" i="13" s="1"/>
  <c r="BI11" i="10"/>
  <c r="BI11" i="13" s="1"/>
  <c r="BI6" i="10"/>
  <c r="BI6" i="13" s="1"/>
  <c r="BI9" i="10"/>
  <c r="BI9" i="13" s="1"/>
  <c r="BI8" i="10"/>
  <c r="BI8" i="13" s="1"/>
  <c r="BI10" i="10"/>
  <c r="BI10" i="13" s="1"/>
  <c r="H124" i="12" l="1"/>
  <c r="H125" i="12"/>
  <c r="H123" i="12"/>
  <c r="H126" i="12"/>
</calcChain>
</file>

<file path=xl/sharedStrings.xml><?xml version="1.0" encoding="utf-8"?>
<sst xmlns="http://schemas.openxmlformats.org/spreadsheetml/2006/main" count="605" uniqueCount="292">
  <si>
    <t>地区生产总值</t>
    <phoneticPr fontId="4" type="noConversion"/>
  </si>
  <si>
    <t>农业</t>
    <phoneticPr fontId="4" type="noConversion"/>
  </si>
  <si>
    <t>工业</t>
    <phoneticPr fontId="4" type="noConversion"/>
  </si>
  <si>
    <t>建筑业</t>
    <phoneticPr fontId="4" type="noConversion"/>
  </si>
  <si>
    <t>交运仓邮</t>
    <phoneticPr fontId="4" type="noConversion"/>
  </si>
  <si>
    <t>批发零售</t>
    <phoneticPr fontId="4" type="noConversion"/>
  </si>
  <si>
    <t>餐饮住宿</t>
    <phoneticPr fontId="4" type="noConversion"/>
  </si>
  <si>
    <t>金融业</t>
    <phoneticPr fontId="4" type="noConversion"/>
  </si>
  <si>
    <t>房地产</t>
    <phoneticPr fontId="4" type="noConversion"/>
  </si>
  <si>
    <t>其他三产</t>
    <phoneticPr fontId="4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</si>
  <si>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</si>
  <si>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</si>
  <si>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</si>
  <si>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</si>
  <si>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</si>
  <si>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</si>
  <si>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</si>
  <si>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</si>
  <si>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</si>
  <si>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</si>
  <si>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</si>
  <si>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</si>
  <si>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</si>
  <si>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</si>
  <si>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</si>
  <si>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</si>
  <si>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</si>
  <si>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</si>
  <si>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</si>
  <si>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</si>
  <si>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</si>
  <si>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</si>
  <si>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</si>
  <si>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</si>
  <si>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</si>
  <si>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第三产业</t>
    <phoneticPr fontId="4" type="noConversion"/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</si>
  <si>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</si>
  <si>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</si>
  <si>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</si>
  <si>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</si>
  <si>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</si>
  <si>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</si>
  <si>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</si>
  <si>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</si>
  <si>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</si>
  <si>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农、林、牧、渔业</t>
  </si>
  <si>
    <t>汽车制造业</t>
  </si>
  <si>
    <t>废弃资源综合利用业</t>
  </si>
  <si>
    <t>全国</t>
    <phoneticPr fontId="2" type="noConversion"/>
  </si>
  <si>
    <t>增加值
(亿元)</t>
  </si>
  <si>
    <t>增加值构成
(%)</t>
  </si>
  <si>
    <t>总计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</si>
  <si>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</si>
  <si>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</si>
  <si>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</si>
  <si>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</si>
  <si>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</si>
  <si>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</si>
  <si>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</si>
  <si>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</si>
  <si>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</si>
  <si>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</si>
  <si>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</si>
  <si>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</si>
  <si>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</si>
  <si>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农业</t>
  </si>
  <si>
    <t>林业</t>
  </si>
  <si>
    <t>畜牧业</t>
  </si>
  <si>
    <t>渔业</t>
  </si>
  <si>
    <t>农、林、牧、渔专业及辅助性活动</t>
  </si>
  <si>
    <t>采矿业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</si>
  <si>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</si>
  <si>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</si>
  <si>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</si>
  <si>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</si>
  <si>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</si>
  <si>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</si>
  <si>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</si>
  <si>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制造业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</si>
  <si>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</si>
  <si>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</si>
  <si>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</si>
  <si>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</si>
  <si>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</si>
  <si>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</si>
  <si>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</si>
  <si>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</si>
  <si>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</si>
  <si>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</si>
  <si>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</si>
  <si>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</si>
  <si>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</si>
  <si>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</si>
  <si>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</si>
  <si>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</si>
  <si>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</si>
  <si>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</si>
  <si>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</si>
  <si>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</si>
  <si>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</si>
  <si>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</si>
  <si>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</si>
  <si>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</si>
  <si>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</si>
  <si>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</si>
  <si>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</si>
  <si>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</si>
  <si>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金属制品、机械和设备修理业</t>
  </si>
  <si>
    <t>电力、热力生产和供应业</t>
  </si>
  <si>
    <t>燃气生产和供应业</t>
  </si>
  <si>
    <t>水的生产和供应业</t>
  </si>
  <si>
    <t>房屋建筑业</t>
  </si>
  <si>
    <t>土木工程建筑业</t>
  </si>
  <si>
    <t>建筑安装业</t>
  </si>
  <si>
    <t>建筑装饰、装修和其他建筑业</t>
  </si>
  <si>
    <t>批发业</t>
  </si>
  <si>
    <t>零售业</t>
  </si>
  <si>
    <t>铁路运输业</t>
  </si>
  <si>
    <t>道路运输业</t>
  </si>
  <si>
    <t>水上运输业</t>
  </si>
  <si>
    <t>航空运输业</t>
  </si>
  <si>
    <t>管道运输业</t>
  </si>
  <si>
    <t>多式联运和运输代理业</t>
  </si>
  <si>
    <t>装卸搬运和仓储业</t>
  </si>
  <si>
    <t>邮政业</t>
  </si>
  <si>
    <t>住宿业</t>
  </si>
  <si>
    <t>餐饮业</t>
  </si>
  <si>
    <t>电信、广播电视和卫星传输服务</t>
  </si>
  <si>
    <t>互联网和相关服务</t>
  </si>
  <si>
    <t>软件和信息技术服务业</t>
  </si>
  <si>
    <t>货币金融服务</t>
  </si>
  <si>
    <t>资本市场服务</t>
  </si>
  <si>
    <t>保险业</t>
  </si>
  <si>
    <t>其他金融业</t>
  </si>
  <si>
    <t>房地产开发经营</t>
  </si>
  <si>
    <t>物业管理</t>
  </si>
  <si>
    <t>房地产中介服务</t>
  </si>
  <si>
    <t>房地产租赁经营</t>
  </si>
  <si>
    <t>其他房地产业</t>
  </si>
  <si>
    <t>居民自有住房</t>
  </si>
  <si>
    <t>租赁业</t>
  </si>
  <si>
    <t>商务服务业</t>
  </si>
  <si>
    <t>研究和试验发展</t>
  </si>
  <si>
    <t>专业技术服务业</t>
  </si>
  <si>
    <t>科技推广和应用服务业</t>
  </si>
  <si>
    <t>水利管理业</t>
  </si>
  <si>
    <t>生态保护和环境治理业</t>
  </si>
  <si>
    <t>公共设施管理业</t>
  </si>
  <si>
    <t>土地管理业</t>
  </si>
  <si>
    <t>居民服务业</t>
  </si>
  <si>
    <t>机动车、电子产品和日用产品修理业</t>
  </si>
  <si>
    <t>其他服务业</t>
  </si>
  <si>
    <t>卫生</t>
  </si>
  <si>
    <t>社会工作</t>
  </si>
  <si>
    <t>新闻和出版业</t>
  </si>
  <si>
    <t>广播、电视、电影和录音制作业</t>
  </si>
  <si>
    <t>文化艺术业</t>
  </si>
  <si>
    <t>体育</t>
  </si>
  <si>
    <t>娱乐业</t>
  </si>
  <si>
    <t>GDP增速</t>
    <phoneticPr fontId="2" type="noConversion"/>
  </si>
  <si>
    <t>参考依据</t>
    <phoneticPr fontId="2" type="noConversion"/>
  </si>
  <si>
    <t>十四五</t>
    <phoneticPr fontId="2" type="noConversion"/>
  </si>
  <si>
    <t>2035-2050</t>
    <phoneticPr fontId="2" type="noConversion"/>
  </si>
  <si>
    <t>能源基金会《中国经济社会发展的中长期目标、战略与路径》2035-2050%年均增速3.5%左右</t>
    <phoneticPr fontId="2" type="noConversion"/>
  </si>
  <si>
    <t>产业结构</t>
    <phoneticPr fontId="2" type="noConversion"/>
  </si>
  <si>
    <t>第一产业</t>
    <phoneticPr fontId="2" type="noConversion"/>
  </si>
  <si>
    <t>第二产业</t>
    <phoneticPr fontId="2" type="noConversion"/>
  </si>
  <si>
    <t>第三产业</t>
    <phoneticPr fontId="2" type="noConversion"/>
  </si>
  <si>
    <t>工业</t>
    <phoneticPr fontId="2" type="noConversion"/>
  </si>
  <si>
    <t>建筑业</t>
    <phoneticPr fontId="2" type="noConversion"/>
  </si>
  <si>
    <t>数据来源：三经普、四经普</t>
    <phoneticPr fontId="2" type="noConversion"/>
  </si>
  <si>
    <t>1-8 2010-2020年年度分行业增加值(分19个门类)</t>
  </si>
  <si>
    <t>单位:亿元</t>
  </si>
  <si>
    <t>行 业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</si>
  <si>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</si>
  <si>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</si>
  <si>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</si>
  <si>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</si>
  <si>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</si>
  <si>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</si>
  <si>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</si>
  <si>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</si>
  <si>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</si>
  <si>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</si>
  <si>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</si>
  <si>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国内生产总值</t>
  </si>
  <si>
    <t>数据来源：中国国内生产总值历史资料汇编</t>
    <phoneticPr fontId="2" type="noConversion"/>
  </si>
  <si>
    <t>2023政府工作报告</t>
  </si>
  <si>
    <t>建筑十四五规划：建筑增加值占比稳定在6%左右</t>
  </si>
  <si>
    <t>2018年美国建筑业增加值比重为4.1%，欧盟为4.89%。2017年日本5.7%。</t>
  </si>
  <si>
    <t>能源基金会《中国经济社会发展的中长期目标、战略与路径》</t>
    <phoneticPr fontId="2" type="noConversion"/>
  </si>
  <si>
    <t>二十大报告：2035年人均GDP达到中等发达国家水平。GDP总量/人均GDP翻一番多</t>
    <phoneticPr fontId="2" type="noConversion"/>
  </si>
  <si>
    <t>交运仓邮</t>
  </si>
  <si>
    <t>批发零售</t>
  </si>
  <si>
    <t>餐饮住宿</t>
  </si>
  <si>
    <t>房地产</t>
  </si>
  <si>
    <t>工业</t>
  </si>
  <si>
    <t>其他三产</t>
  </si>
  <si>
    <t>地区生产总值</t>
  </si>
  <si>
    <t>十五五</t>
    <phoneticPr fontId="2" type="noConversion"/>
  </si>
  <si>
    <t>十六五</t>
    <phoneticPr fontId="2" type="noConversion"/>
  </si>
  <si>
    <t>不变价GDP年均增速</t>
    <phoneticPr fontId="2" type="noConversion"/>
  </si>
  <si>
    <t>GDP指数（上年=1）</t>
    <phoneticPr fontId="2" type="noConversion"/>
  </si>
  <si>
    <t>GDP指数（2020年=1）</t>
    <phoneticPr fontId="2" type="noConversion"/>
  </si>
  <si>
    <t>GDP（2020年不变价人民币）</t>
    <phoneticPr fontId="2" type="noConversion"/>
  </si>
  <si>
    <t>折算系数（不变价/当年价)</t>
    <phoneticPr fontId="2" type="noConversion"/>
  </si>
  <si>
    <t>交运仓邮</t>
    <phoneticPr fontId="2" type="noConversion"/>
  </si>
  <si>
    <t>信息传输、软件和信息技术服务</t>
    <phoneticPr fontId="2" type="noConversion"/>
  </si>
  <si>
    <t>2035-2060</t>
    <phoneticPr fontId="2" type="noConversion"/>
  </si>
  <si>
    <t>化学原料和化学制品制造业</t>
    <phoneticPr fontId="2" type="noConversion"/>
  </si>
  <si>
    <t>酒、饮料和精制茶制造业</t>
    <phoneticPr fontId="2" type="noConversion"/>
  </si>
  <si>
    <t>烟草制品业</t>
    <phoneticPr fontId="2" type="noConversion"/>
  </si>
  <si>
    <t>皮革、毛皮、羽毛及其制品和制鞋业</t>
    <phoneticPr fontId="2" type="noConversion"/>
  </si>
  <si>
    <t>木材加工和木、竹、藤、棕、草制品业</t>
    <phoneticPr fontId="2" type="noConversion"/>
  </si>
  <si>
    <t>家具制造业</t>
    <phoneticPr fontId="2" type="noConversion"/>
  </si>
  <si>
    <t>印刷和记录媒介复制业</t>
    <phoneticPr fontId="2" type="noConversion"/>
  </si>
  <si>
    <t>文教、工美、体育和娱乐用品制造业</t>
    <phoneticPr fontId="2" type="noConversion"/>
  </si>
  <si>
    <t>计算机、通信和其他电子设备制造业</t>
    <phoneticPr fontId="2" type="noConversion"/>
  </si>
  <si>
    <t>科学研究和技术服务</t>
    <phoneticPr fontId="2" type="noConversion"/>
  </si>
  <si>
    <t>第三产业年均增速</t>
    <phoneticPr fontId="2" type="noConversion"/>
  </si>
  <si>
    <t>2025增加值</t>
    <phoneticPr fontId="2" type="noConversion"/>
  </si>
  <si>
    <t>2030 增加值</t>
    <phoneticPr fontId="2" type="noConversion"/>
  </si>
  <si>
    <t>2035增加值</t>
    <phoneticPr fontId="2" type="noConversion"/>
  </si>
  <si>
    <t>2050增加值</t>
    <phoneticPr fontId="2" type="noConversion"/>
  </si>
  <si>
    <t>2060增加值</t>
    <phoneticPr fontId="2" type="noConversion"/>
  </si>
  <si>
    <t>能源产业</t>
    <phoneticPr fontId="4" type="noConversion"/>
  </si>
  <si>
    <t>煤炭开采和洗选业</t>
    <phoneticPr fontId="4" type="noConversion"/>
  </si>
  <si>
    <t>石油和天然气开采业</t>
    <phoneticPr fontId="4" type="noConversion"/>
  </si>
  <si>
    <t>燃气生产和供应业</t>
    <phoneticPr fontId="4" type="noConversion"/>
  </si>
  <si>
    <t>水的生产和供应业</t>
    <phoneticPr fontId="4" type="noConversion"/>
  </si>
  <si>
    <t>传统高载能产业</t>
    <phoneticPr fontId="4" type="noConversion"/>
  </si>
  <si>
    <t>纺织业</t>
    <phoneticPr fontId="4" type="noConversion"/>
  </si>
  <si>
    <t>纺织服装、服饰业</t>
    <phoneticPr fontId="4" type="noConversion"/>
  </si>
  <si>
    <t>造纸和纸制品业</t>
    <phoneticPr fontId="4" type="noConversion"/>
  </si>
  <si>
    <t>石油、煤炭及其他燃料加工业</t>
    <phoneticPr fontId="4" type="noConversion"/>
  </si>
  <si>
    <t>化学原料和化学制品制造业</t>
    <phoneticPr fontId="4" type="noConversion"/>
  </si>
  <si>
    <t>化学纤维制造业</t>
    <phoneticPr fontId="4" type="noConversion"/>
  </si>
  <si>
    <t>非金属矿物制品业</t>
    <phoneticPr fontId="4" type="noConversion"/>
  </si>
  <si>
    <t>黑色金属冶炼和压延加工业</t>
    <phoneticPr fontId="4" type="noConversion"/>
  </si>
  <si>
    <t>有色金属冶炼和压延加工业</t>
    <phoneticPr fontId="4" type="noConversion"/>
  </si>
  <si>
    <t>轻工业</t>
    <phoneticPr fontId="4" type="noConversion"/>
  </si>
  <si>
    <t>农副食品加工业</t>
    <phoneticPr fontId="4" type="noConversion"/>
  </si>
  <si>
    <t>食品制造业</t>
    <phoneticPr fontId="4" type="noConversion"/>
  </si>
  <si>
    <t>酒、饮料和精制茶制造业</t>
    <phoneticPr fontId="4" type="noConversion"/>
  </si>
  <si>
    <t>烟草制品业</t>
    <phoneticPr fontId="4" type="noConversion"/>
  </si>
  <si>
    <t>皮革、毛皮、羽毛及其制品和制鞋业</t>
    <phoneticPr fontId="4" type="noConversion"/>
  </si>
  <si>
    <t>木材加工和木、竹、藤、棕、草制品业</t>
    <phoneticPr fontId="4" type="noConversion"/>
  </si>
  <si>
    <t>家具制造业</t>
    <phoneticPr fontId="4" type="noConversion"/>
  </si>
  <si>
    <t>印刷和记录媒介复制业</t>
    <phoneticPr fontId="4" type="noConversion"/>
  </si>
  <si>
    <t>文教、工美、体育和娱乐用品制造业</t>
    <phoneticPr fontId="4" type="noConversion"/>
  </si>
  <si>
    <t>装备制造</t>
    <phoneticPr fontId="4" type="noConversion"/>
  </si>
  <si>
    <t>金属制品业</t>
    <phoneticPr fontId="4" type="noConversion"/>
  </si>
  <si>
    <t>通用设备制造业</t>
    <phoneticPr fontId="4" type="noConversion"/>
  </si>
  <si>
    <t>专用设备制造业</t>
    <phoneticPr fontId="4" type="noConversion"/>
  </si>
  <si>
    <t>汽车制造业</t>
    <phoneticPr fontId="4" type="noConversion"/>
  </si>
  <si>
    <t>铁路、船舶、航空航天和其他运输设备制造业</t>
    <phoneticPr fontId="4" type="noConversion"/>
  </si>
  <si>
    <t>电气机械和器材制造业</t>
    <phoneticPr fontId="4" type="noConversion"/>
  </si>
  <si>
    <t>高技术产业</t>
    <phoneticPr fontId="4" type="noConversion"/>
  </si>
  <si>
    <t>计算机、通信和其他电子设备制造业</t>
    <phoneticPr fontId="4" type="noConversion"/>
  </si>
  <si>
    <t>医药制造业</t>
    <phoneticPr fontId="4" type="noConversion"/>
  </si>
  <si>
    <t>其他行业</t>
    <phoneticPr fontId="4" type="noConversion"/>
  </si>
  <si>
    <t>开采专业及辅助性活动</t>
    <phoneticPr fontId="4" type="noConversion"/>
  </si>
  <si>
    <t>其他采矿业</t>
    <phoneticPr fontId="4" type="noConversion"/>
  </si>
  <si>
    <t>橡胶和塑料制品业</t>
    <phoneticPr fontId="4" type="noConversion"/>
  </si>
  <si>
    <t>其他制造业</t>
    <phoneticPr fontId="4" type="noConversion"/>
  </si>
  <si>
    <t>废弃资源综合利用业</t>
    <phoneticPr fontId="4" type="noConversion"/>
  </si>
  <si>
    <t>金属制品、机械和设备修理业</t>
    <phoneticPr fontId="4" type="noConversion"/>
  </si>
  <si>
    <t>电力、热力生产和供应业</t>
    <phoneticPr fontId="4" type="noConversion"/>
  </si>
  <si>
    <t>黑色金属矿采选业</t>
    <phoneticPr fontId="4" type="noConversion"/>
  </si>
  <si>
    <t>有色金属矿采选业</t>
    <phoneticPr fontId="4" type="noConversion"/>
  </si>
  <si>
    <t>非金属矿采选业</t>
    <phoneticPr fontId="4" type="noConversion"/>
  </si>
  <si>
    <t>工业年均增速</t>
    <phoneticPr fontId="2" type="noConversion"/>
  </si>
  <si>
    <t>传统服务业</t>
    <phoneticPr fontId="2" type="noConversion"/>
  </si>
  <si>
    <t>现代服务业</t>
    <phoneticPr fontId="2" type="noConversion"/>
  </si>
  <si>
    <t>2016-2019年均增速</t>
    <phoneticPr fontId="2" type="noConversion"/>
  </si>
  <si>
    <t>2019-2022年均增速</t>
    <phoneticPr fontId="2" type="noConversion"/>
  </si>
  <si>
    <t>十四五增速系数</t>
    <phoneticPr fontId="2" type="noConversion"/>
  </si>
  <si>
    <t>十五五增速系数</t>
    <phoneticPr fontId="2" type="noConversion"/>
  </si>
  <si>
    <t>十六五增速系数</t>
    <phoneticPr fontId="2" type="noConversion"/>
  </si>
  <si>
    <t>2035-2050增速系数</t>
    <phoneticPr fontId="2" type="noConversion"/>
  </si>
  <si>
    <t>2050-2060增速系数</t>
    <phoneticPr fontId="2" type="noConversion"/>
  </si>
  <si>
    <t>十四五年均增速</t>
    <phoneticPr fontId="2" type="noConversion"/>
  </si>
  <si>
    <t>十五五年均增速</t>
    <phoneticPr fontId="2" type="noConversion"/>
  </si>
  <si>
    <t>十六五年均增速</t>
    <phoneticPr fontId="2" type="noConversion"/>
  </si>
  <si>
    <t>2035-2050年均增速</t>
    <phoneticPr fontId="2" type="noConversion"/>
  </si>
  <si>
    <t>2050-2060年均增速</t>
    <phoneticPr fontId="2" type="noConversion"/>
  </si>
  <si>
    <t>汇率 (2012 USD/2020 RMB)</t>
    <phoneticPr fontId="2" type="noConversion"/>
  </si>
  <si>
    <t>工业结构统计</t>
    <phoneticPr fontId="2" type="noConversion"/>
  </si>
  <si>
    <t>传统高载能产业</t>
    <phoneticPr fontId="2" type="noConversion"/>
  </si>
  <si>
    <t>能源产业</t>
    <phoneticPr fontId="2" type="noConversion"/>
  </si>
  <si>
    <t>装备制造</t>
    <phoneticPr fontId="2" type="noConversion"/>
  </si>
  <si>
    <t>高技术产业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</si>
</sst>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00_ "/>
    <numFmt numFmtId="178" formatCode="0.0%"/>
    <numFmt numFmtId="179" formatCode="0.0000_);[Red]\(0.0000\)"/>
    <numFmt numFmtId="180" formatCode="0.000"/>
    <numFmt numFmtId="181" formatCode="0.00_);[Red]\(0.00\)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6" fillId="0" borderId="0"/>
    <xf numFmtId="9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4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6" fontId="5" fillId="0" borderId="7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176" fontId="5" fillId="0" borderId="8" xfId="0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176" fontId="5" fillId="0" borderId="9" xfId="0" applyNumberFormat="1" applyFont="1" applyBorder="1">
      <alignment vertical="center"/>
    </xf>
    <xf numFmtId="176" fontId="5" fillId="0" borderId="1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0" fillId="0" borderId="7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8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1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4" xfId="0" applyBorder="1">
      <alignment vertical="center"/>
    </xf>
    <xf numFmtId="0" fontId="1" fillId="0" borderId="7" xfId="1" applyBorder="1"/>
    <xf numFmtId="0" fontId="1" fillId="0" borderId="9" xfId="1" applyBorder="1"/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7" fillId="0" borderId="12" xfId="5" applyFont="1" applyBorder="1" applyAlignment="1">
      <alignment horizontal="center" vertical="center" wrapText="1"/>
    </xf>
    <xf numFmtId="0" fontId="7" fillId="0" borderId="4" xfId="5" applyFont="1" applyBorder="1" applyAlignment="1">
      <alignment horizontal="center" vertical="center" wrapText="1"/>
    </xf>
    <xf numFmtId="0" fontId="11" fillId="0" borderId="3" xfId="5" applyFont="1" applyBorder="1" applyAlignment="1">
      <alignment horizontal="left" vertical="center" wrapText="1"/>
    </xf>
    <xf numFmtId="0" fontId="11" fillId="0" borderId="8" xfId="5" applyFont="1" applyBorder="1" applyAlignment="1">
      <alignment horizontal="left" vertical="center" wrapText="1"/>
    </xf>
    <xf numFmtId="0" fontId="7" fillId="0" borderId="8" xfId="5" applyFont="1" applyBorder="1" applyAlignment="1">
      <alignment horizontal="left" vertical="center" wrapText="1"/>
    </xf>
    <xf numFmtId="0" fontId="7" fillId="0" borderId="11" xfId="5" applyFont="1" applyBorder="1" applyAlignment="1">
      <alignment horizontal="left" vertical="center" wrapText="1"/>
    </xf>
    <xf numFmtId="0" fontId="7" fillId="0" borderId="0" xfId="5" applyFont="1" applyAlignment="1">
      <alignment horizontal="right" vertical="center" wrapText="1"/>
    </xf>
    <xf numFmtId="0" fontId="7" fillId="0" borderId="9" xfId="5" applyFont="1" applyBorder="1" applyAlignment="1">
      <alignment horizontal="right" vertical="center" wrapText="1"/>
    </xf>
    <xf numFmtId="0" fontId="7" fillId="0" borderId="3" xfId="5" applyFont="1" applyBorder="1" applyAlignment="1">
      <alignment horizontal="left" vertical="center" wrapText="1"/>
    </xf>
    <xf numFmtId="0" fontId="11" fillId="0" borderId="11" xfId="5" applyFont="1" applyBorder="1" applyAlignment="1">
      <alignment horizontal="left" vertical="center" wrapText="1"/>
    </xf>
    <xf numFmtId="0" fontId="7" fillId="0" borderId="10" xfId="5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0" fontId="0" fillId="0" borderId="10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0" borderId="12" xfId="0" applyBorder="1">
      <alignment vertical="center"/>
    </xf>
    <xf numFmtId="176" fontId="13" fillId="0" borderId="5" xfId="0" applyNumberFormat="1" applyFont="1" applyBorder="1">
      <alignment vertical="center"/>
    </xf>
    <xf numFmtId="176" fontId="13" fillId="4" borderId="6" xfId="0" applyNumberFormat="1" applyFont="1" applyFill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4" fillId="0" borderId="0" xfId="0" applyNumberFormat="1" applyFont="1">
      <alignment vertical="center"/>
    </xf>
    <xf numFmtId="176" fontId="13" fillId="4" borderId="8" xfId="0" applyNumberFormat="1" applyFont="1" applyFill="1" applyBorder="1">
      <alignment vertical="center"/>
    </xf>
    <xf numFmtId="176" fontId="14" fillId="0" borderId="7" xfId="0" applyNumberFormat="1" applyFont="1" applyBorder="1">
      <alignment vertical="center"/>
    </xf>
    <xf numFmtId="176" fontId="14" fillId="0" borderId="8" xfId="0" applyNumberFormat="1" applyFont="1" applyBorder="1">
      <alignment vertical="center"/>
    </xf>
    <xf numFmtId="176" fontId="14" fillId="4" borderId="8" xfId="0" applyNumberFormat="1" applyFont="1" applyFill="1" applyBorder="1">
      <alignment vertical="center"/>
    </xf>
    <xf numFmtId="176" fontId="14" fillId="0" borderId="10" xfId="0" applyNumberFormat="1" applyFont="1" applyBorder="1">
      <alignment vertical="center"/>
    </xf>
    <xf numFmtId="176" fontId="14" fillId="4" borderId="11" xfId="0" applyNumberFormat="1" applyFont="1" applyFill="1" applyBorder="1">
      <alignment vertical="center"/>
    </xf>
    <xf numFmtId="176" fontId="14" fillId="0" borderId="9" xfId="0" applyNumberFormat="1" applyFont="1" applyBorder="1">
      <alignment vertical="center"/>
    </xf>
    <xf numFmtId="176" fontId="14" fillId="0" borderId="11" xfId="0" applyNumberFormat="1" applyFont="1" applyBorder="1">
      <alignment vertical="center"/>
    </xf>
    <xf numFmtId="0" fontId="7" fillId="0" borderId="0" xfId="5" applyFont="1" applyAlignment="1"/>
    <xf numFmtId="0" fontId="7" fillId="0" borderId="0" xfId="5" applyFont="1">
      <alignment vertical="center"/>
    </xf>
    <xf numFmtId="0" fontId="7" fillId="0" borderId="10" xfId="5" applyFont="1" applyBorder="1" applyAlignment="1"/>
    <xf numFmtId="0" fontId="7" fillId="0" borderId="10" xfId="5" applyFont="1" applyBorder="1">
      <alignment vertical="center"/>
    </xf>
    <xf numFmtId="0" fontId="7" fillId="0" borderId="6" xfId="5" applyFont="1" applyBorder="1" applyAlignment="1">
      <alignment horizontal="center" vertical="center" wrapText="1"/>
    </xf>
    <xf numFmtId="176" fontId="15" fillId="0" borderId="2" xfId="0" applyNumberFormat="1" applyFont="1" applyBorder="1">
      <alignment vertical="center"/>
    </xf>
    <xf numFmtId="176" fontId="15" fillId="4" borderId="3" xfId="0" applyNumberFormat="1" applyFont="1" applyFill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3" xfId="0" applyNumberFormat="1" applyFont="1" applyBorder="1">
      <alignment vertical="center"/>
    </xf>
    <xf numFmtId="176" fontId="15" fillId="0" borderId="5" xfId="0" applyNumberFormat="1" applyFont="1" applyBorder="1">
      <alignment vertical="center"/>
    </xf>
    <xf numFmtId="176" fontId="15" fillId="4" borderId="6" xfId="0" applyNumberFormat="1" applyFont="1" applyFill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6" fillId="0" borderId="7" xfId="0" applyNumberFormat="1" applyFont="1" applyBorder="1">
      <alignment vertical="center"/>
    </xf>
    <xf numFmtId="176" fontId="16" fillId="0" borderId="0" xfId="0" applyNumberFormat="1" applyFont="1">
      <alignment vertical="center"/>
    </xf>
    <xf numFmtId="176" fontId="16" fillId="0" borderId="9" xfId="0" applyNumberFormat="1" applyFont="1" applyBorder="1">
      <alignment vertical="center"/>
    </xf>
    <xf numFmtId="176" fontId="16" fillId="0" borderId="10" xfId="0" applyNumberFormat="1" applyFont="1" applyBorder="1">
      <alignment vertical="center"/>
    </xf>
    <xf numFmtId="0" fontId="18" fillId="0" borderId="14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176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76" fontId="16" fillId="0" borderId="2" xfId="0" applyNumberFormat="1" applyFont="1" applyBorder="1">
      <alignment vertical="center"/>
    </xf>
    <xf numFmtId="176" fontId="16" fillId="0" borderId="3" xfId="0" applyNumberFormat="1" applyFont="1" applyBorder="1">
      <alignment vertical="center"/>
    </xf>
    <xf numFmtId="176" fontId="16" fillId="0" borderId="1" xfId="0" applyNumberFormat="1" applyFont="1" applyBorder="1">
      <alignment vertical="center"/>
    </xf>
    <xf numFmtId="176" fontId="16" fillId="0" borderId="8" xfId="0" applyNumberFormat="1" applyFont="1" applyBorder="1">
      <alignment vertical="center"/>
    </xf>
    <xf numFmtId="176" fontId="16" fillId="0" borderId="11" xfId="0" applyNumberFormat="1" applyFont="1" applyBorder="1">
      <alignment vertical="center"/>
    </xf>
    <xf numFmtId="176" fontId="0" fillId="0" borderId="0" xfId="3" applyNumberFormat="1" applyFont="1" applyBorder="1">
      <alignment vertical="center"/>
    </xf>
    <xf numFmtId="176" fontId="15" fillId="3" borderId="3" xfId="0" applyNumberFormat="1" applyFont="1" applyFill="1" applyBorder="1">
      <alignment vertical="center"/>
    </xf>
    <xf numFmtId="176" fontId="16" fillId="3" borderId="2" xfId="0" applyNumberFormat="1" applyFont="1" applyFill="1" applyBorder="1">
      <alignment vertical="center"/>
    </xf>
    <xf numFmtId="176" fontId="16" fillId="3" borderId="0" xfId="0" applyNumberFormat="1" applyFont="1" applyFill="1">
      <alignment vertical="center"/>
    </xf>
    <xf numFmtId="176" fontId="16" fillId="3" borderId="10" xfId="0" applyNumberFormat="1" applyFont="1" applyFill="1" applyBorder="1">
      <alignment vertical="center"/>
    </xf>
    <xf numFmtId="176" fontId="16" fillId="3" borderId="3" xfId="0" applyNumberFormat="1" applyFont="1" applyFill="1" applyBorder="1">
      <alignment vertical="center"/>
    </xf>
    <xf numFmtId="176" fontId="16" fillId="3" borderId="8" xfId="0" applyNumberFormat="1" applyFont="1" applyFill="1" applyBorder="1">
      <alignment vertical="center"/>
    </xf>
    <xf numFmtId="176" fontId="16" fillId="3" borderId="11" xfId="0" applyNumberFormat="1" applyFont="1" applyFill="1" applyBorder="1">
      <alignment vertical="center"/>
    </xf>
    <xf numFmtId="176" fontId="14" fillId="0" borderId="0" xfId="3" applyNumberFormat="1" applyFont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76" fontId="17" fillId="0" borderId="4" xfId="0" applyNumberFormat="1" applyFont="1" applyBorder="1">
      <alignment vertical="center"/>
    </xf>
    <xf numFmtId="176" fontId="17" fillId="0" borderId="5" xfId="0" applyNumberFormat="1" applyFont="1" applyBorder="1">
      <alignment vertical="center"/>
    </xf>
    <xf numFmtId="176" fontId="17" fillId="0" borderId="6" xfId="0" applyNumberFormat="1" applyFont="1" applyBorder="1">
      <alignment vertical="center"/>
    </xf>
    <xf numFmtId="0" fontId="1" fillId="0" borderId="0" xfId="1"/>
    <xf numFmtId="179" fontId="0" fillId="0" borderId="0" xfId="0" applyNumberFormat="1">
      <alignment vertical="center"/>
    </xf>
    <xf numFmtId="0" fontId="17" fillId="5" borderId="0" xfId="0" applyFont="1" applyFill="1" applyAlignment="1">
      <alignment horizontal="left" vertical="center"/>
    </xf>
    <xf numFmtId="0" fontId="0" fillId="0" borderId="0" xfId="0" applyAlignment="1"/>
    <xf numFmtId="0" fontId="19" fillId="0" borderId="12" xfId="0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0" fontId="17" fillId="5" borderId="10" xfId="0" applyFont="1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10" fontId="0" fillId="0" borderId="12" xfId="0" applyNumberForma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76" fontId="15" fillId="6" borderId="6" xfId="0" applyNumberFormat="1" applyFont="1" applyFill="1" applyBorder="1">
      <alignment vertical="center"/>
    </xf>
    <xf numFmtId="176" fontId="16" fillId="6" borderId="3" xfId="0" applyNumberFormat="1" applyFont="1" applyFill="1" applyBorder="1">
      <alignment vertical="center"/>
    </xf>
    <xf numFmtId="176" fontId="16" fillId="6" borderId="8" xfId="0" applyNumberFormat="1" applyFont="1" applyFill="1" applyBorder="1">
      <alignment vertical="center"/>
    </xf>
    <xf numFmtId="176" fontId="16" fillId="6" borderId="11" xfId="0" applyNumberFormat="1" applyFont="1" applyFill="1" applyBorder="1">
      <alignment vertical="center"/>
    </xf>
    <xf numFmtId="176" fontId="13" fillId="6" borderId="6" xfId="0" applyNumberFormat="1" applyFont="1" applyFill="1" applyBorder="1">
      <alignment vertical="center"/>
    </xf>
    <xf numFmtId="176" fontId="13" fillId="6" borderId="8" xfId="0" applyNumberFormat="1" applyFont="1" applyFill="1" applyBorder="1">
      <alignment vertical="center"/>
    </xf>
    <xf numFmtId="176" fontId="14" fillId="6" borderId="8" xfId="0" applyNumberFormat="1" applyFont="1" applyFill="1" applyBorder="1">
      <alignment vertical="center"/>
    </xf>
    <xf numFmtId="176" fontId="14" fillId="6" borderId="11" xfId="0" applyNumberFormat="1" applyFont="1" applyFill="1" applyBorder="1">
      <alignment vertical="center"/>
    </xf>
    <xf numFmtId="176" fontId="15" fillId="6" borderId="3" xfId="0" applyNumberFormat="1" applyFont="1" applyFill="1" applyBorder="1">
      <alignment vertical="center"/>
    </xf>
    <xf numFmtId="176" fontId="16" fillId="6" borderId="2" xfId="0" applyNumberFormat="1" applyFont="1" applyFill="1" applyBorder="1">
      <alignment vertical="center"/>
    </xf>
    <xf numFmtId="176" fontId="16" fillId="6" borderId="0" xfId="0" applyNumberFormat="1" applyFont="1" applyFill="1">
      <alignment vertical="center"/>
    </xf>
    <xf numFmtId="176" fontId="16" fillId="6" borderId="10" xfId="0" applyNumberFormat="1" applyFont="1" applyFill="1" applyBorder="1">
      <alignment vertical="center"/>
    </xf>
    <xf numFmtId="0" fontId="1" fillId="0" borderId="0" xfId="1" applyAlignment="1">
      <alignment horizont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6" fontId="0" fillId="0" borderId="7" xfId="3" applyNumberFormat="1" applyFont="1" applyBorder="1">
      <alignment vertical="center"/>
    </xf>
    <xf numFmtId="176" fontId="0" fillId="0" borderId="8" xfId="3" applyNumberFormat="1" applyFont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right" vertical="center"/>
    </xf>
    <xf numFmtId="0" fontId="17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0" fontId="0" fillId="0" borderId="0" xfId="3" applyNumberFormat="1" applyFont="1">
      <alignment vertical="center"/>
    </xf>
    <xf numFmtId="0" fontId="0" fillId="5" borderId="0" xfId="0" applyFill="1">
      <alignment vertical="center"/>
    </xf>
    <xf numFmtId="0" fontId="21" fillId="0" borderId="12" xfId="0" applyFont="1" applyBorder="1" applyAlignment="1"/>
    <xf numFmtId="0" fontId="22" fillId="0" borderId="12" xfId="0" applyFont="1" applyBorder="1" applyAlignment="1"/>
    <xf numFmtId="0" fontId="21" fillId="0" borderId="4" xfId="0" applyFont="1" applyBorder="1" applyAlignment="1">
      <alignment horizontal="left"/>
    </xf>
    <xf numFmtId="0" fontId="21" fillId="0" borderId="4" xfId="0" applyFont="1" applyBorder="1" applyAlignment="1"/>
    <xf numFmtId="178" fontId="0" fillId="0" borderId="12" xfId="3" applyNumberFormat="1" applyFont="1" applyBorder="1">
      <alignment vertical="center"/>
    </xf>
    <xf numFmtId="10" fontId="20" fillId="0" borderId="12" xfId="3" applyNumberFormat="1" applyFont="1" applyBorder="1" applyAlignment="1"/>
    <xf numFmtId="178" fontId="21" fillId="0" borderId="4" xfId="3" applyNumberFormat="1" applyFont="1" applyBorder="1" applyAlignment="1"/>
    <xf numFmtId="0" fontId="0" fillId="3" borderId="12" xfId="0" applyFill="1" applyBorder="1" applyAlignment="1">
      <alignment horizontal="right" vertical="center"/>
    </xf>
    <xf numFmtId="178" fontId="0" fillId="0" borderId="12" xfId="3" applyNumberFormat="1" applyFont="1" applyBorder="1" applyAlignment="1">
      <alignment horizontal="right" vertical="center"/>
    </xf>
    <xf numFmtId="1" fontId="0" fillId="0" borderId="12" xfId="0" applyNumberFormat="1" applyBorder="1" applyAlignment="1">
      <alignment horizontal="right" vertical="center"/>
    </xf>
    <xf numFmtId="1" fontId="0" fillId="0" borderId="12" xfId="0" applyNumberFormat="1" applyBorder="1">
      <alignment vertical="center"/>
    </xf>
    <xf numFmtId="178" fontId="0" fillId="0" borderId="12" xfId="3" applyNumberFormat="1" applyFont="1" applyFill="1" applyBorder="1" applyAlignment="1">
      <alignment horizontal="right" vertical="center"/>
    </xf>
    <xf numFmtId="181" fontId="0" fillId="0" borderId="12" xfId="3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0" fontId="23" fillId="0" borderId="12" xfId="0" applyFont="1" applyBorder="1" applyAlignment="1">
      <alignment horizontal="left" vertical="center"/>
    </xf>
    <xf numFmtId="0" fontId="24" fillId="0" borderId="12" xfId="0" applyFont="1" applyBorder="1" applyAlignment="1">
      <alignment horizontal="right" vertical="center"/>
    </xf>
    <xf numFmtId="181" fontId="20" fillId="0" borderId="12" xfId="3" applyNumberFormat="1" applyFont="1" applyBorder="1" applyAlignment="1"/>
    <xf numFmtId="181" fontId="20" fillId="0" borderId="12" xfId="3" applyNumberFormat="1" applyFont="1" applyBorder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7" xfId="0" applyNumberFormat="1" applyBorder="1" applyAlignment="1">
      <alignment horizontal="right" vertical="center"/>
    </xf>
    <xf numFmtId="0" fontId="17" fillId="5" borderId="0" xfId="0" applyFont="1" applyFill="1">
      <alignment vertical="center"/>
    </xf>
    <xf numFmtId="0" fontId="17" fillId="5" borderId="4" xfId="0" applyFont="1" applyFill="1" applyBorder="1" applyAlignment="1">
      <alignment horizontal="left" vertical="center"/>
    </xf>
    <xf numFmtId="0" fontId="17" fillId="5" borderId="5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17" fillId="7" borderId="4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7" fillId="0" borderId="0" xfId="5" applyFont="1" applyAlignment="1">
      <alignment horizontal="center" vertical="center" wrapText="1"/>
    </xf>
    <xf numFmtId="0" fontId="7" fillId="0" borderId="10" xfId="5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0" borderId="12" xfId="5" applyFont="1" applyBorder="1" applyAlignment="1">
      <alignment horizontal="center" vertical="center" wrapText="1"/>
    </xf>
  </cellXfs>
  <cellStyles count="7">
    <cellStyle name="百分比" xfId="3" builtinId="5"/>
    <cellStyle name="常规" xfId="0" builtinId="0"/>
    <cellStyle name="常规 2" xfId="2" xr:uid="{23E04D12-E93B-449F-8A33-712EB12C0B3E}"/>
    <cellStyle name="常规 3" xfId="4" xr:uid="{A74C0CB4-AB9B-4C57-99C9-5CE363D25C13}"/>
    <cellStyle name="常规 4" xfId="1" xr:uid="{A4299B3C-6071-4C58-BB0F-546F62D18D54}"/>
    <cellStyle name="常规 5" xfId="5" xr:uid="{9731F0F5-FD33-4F6C-A053-556C331FB34B}"/>
    <cellStyle name="超链接 2" xfId="6" xr:uid="{3F561D1F-FF89-4FF3-847A-168C192FF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'增加值 (2001-2060, 2020RMB)'!$A$5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81807.141835478891</c:v>
                </c:pt>
                <c:pt idx="23">
                  <c:v>85873.041078344395</c:v>
                </c:pt>
                <c:pt idx="24">
                  <c:v>90105.170847837435</c:v>
                </c:pt>
                <c:pt idx="25">
                  <c:v>94424.654329831872</c:v>
                </c:pt>
                <c:pt idx="26">
                  <c:v>98736.898383428284</c:v>
                </c:pt>
                <c:pt idx="27">
                  <c:v>102931.31364984121</c:v>
                </c:pt>
                <c:pt idx="28">
                  <c:v>106882.1245940044</c:v>
                </c:pt>
                <c:pt idx="29">
                  <c:v>110450.51330576096</c:v>
                </c:pt>
                <c:pt idx="30">
                  <c:v>113529.6728424731</c:v>
                </c:pt>
                <c:pt idx="31">
                  <c:v>116181.5561526877</c:v>
                </c:pt>
                <c:pt idx="32">
                  <c:v>118526.8204172016</c:v>
                </c:pt>
                <c:pt idx="33">
                  <c:v>120701.65048669931</c:v>
                </c:pt>
                <c:pt idx="34">
                  <c:v>122854.87654608408</c:v>
                </c:pt>
                <c:pt idx="35">
                  <c:v>125116.9428966181</c:v>
                </c:pt>
                <c:pt idx="36">
                  <c:v>127506.4095984563</c:v>
                </c:pt>
                <c:pt idx="37">
                  <c:v>130012.2102490657</c:v>
                </c:pt>
                <c:pt idx="38">
                  <c:v>132622.3022028876</c:v>
                </c:pt>
                <c:pt idx="39">
                  <c:v>135323.53815721089</c:v>
                </c:pt>
                <c:pt idx="40">
                  <c:v>138101.54929673081</c:v>
                </c:pt>
                <c:pt idx="41">
                  <c:v>140940.6422440781</c:v>
                </c:pt>
                <c:pt idx="42">
                  <c:v>143823.71243606039</c:v>
                </c:pt>
                <c:pt idx="43">
                  <c:v>146732.1768747626</c:v>
                </c:pt>
                <c:pt idx="44">
                  <c:v>149645.92947558651</c:v>
                </c:pt>
                <c:pt idx="45">
                  <c:v>152543.3224353003</c:v>
                </c:pt>
                <c:pt idx="46">
                  <c:v>155401.17715509431</c:v>
                </c:pt>
                <c:pt idx="47">
                  <c:v>158194.82825823649</c:v>
                </c:pt>
                <c:pt idx="48">
                  <c:v>160898.20412062801</c:v>
                </c:pt>
                <c:pt idx="49">
                  <c:v>163483.94706726316</c:v>
                </c:pt>
                <c:pt idx="50">
                  <c:v>165923.57596184741</c:v>
                </c:pt>
                <c:pt idx="51">
                  <c:v>168187.69331698131</c:v>
                </c:pt>
                <c:pt idx="52">
                  <c:v>170246.23826888041</c:v>
                </c:pt>
                <c:pt idx="53">
                  <c:v>172068.78578976239</c:v>
                </c:pt>
                <c:pt idx="54">
                  <c:v>173624.89135595711</c:v>
                </c:pt>
                <c:pt idx="55">
                  <c:v>174884.47896216839</c:v>
                </c:pt>
                <c:pt idx="56">
                  <c:v>175818.26889344011</c:v>
                </c:pt>
                <c:pt idx="57">
                  <c:v>176398.2400681375</c:v>
                </c:pt>
                <c:pt idx="58">
                  <c:v>176598.1200907125</c:v>
                </c:pt>
                <c:pt idx="59">
                  <c:v>176393.89445631634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2-48DF-ADE5-1680B1A1B7F5}"/>
            </c:ext>
          </c:extLst>
        </c:ser>
        <c:ser>
          <c:idx val="3"/>
          <c:order val="1"/>
          <c:tx>
            <c:strRef>
              <c:f>'增加值 (2001-2060, 2020RMB)'!$A$6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48503.015355213727</c:v>
                </c:pt>
                <c:pt idx="23">
                  <c:v>50559.100537827333</c:v>
                </c:pt>
                <c:pt idx="24">
                  <c:v>52600.680667394146</c:v>
                </c:pt>
                <c:pt idx="25">
                  <c:v>54608.296651931669</c:v>
                </c:pt>
                <c:pt idx="26">
                  <c:v>56560.723203208538</c:v>
                </c:pt>
                <c:pt idx="27">
                  <c:v>58435.14842817239</c:v>
                </c:pt>
                <c:pt idx="28">
                  <c:v>60207.423092346507</c:v>
                </c:pt>
                <c:pt idx="29">
                  <c:v>61852.382725220763</c:v>
                </c:pt>
                <c:pt idx="30">
                  <c:v>63352.73236831565</c:v>
                </c:pt>
                <c:pt idx="31">
                  <c:v>64726.420879482022</c:v>
                </c:pt>
                <c:pt idx="32">
                  <c:v>66003.682228767997</c:v>
                </c:pt>
                <c:pt idx="33">
                  <c:v>67218.384282203799</c:v>
                </c:pt>
                <c:pt idx="34">
                  <c:v>68407.592967370219</c:v>
                </c:pt>
                <c:pt idx="35">
                  <c:v>69602.321703833921</c:v>
                </c:pt>
                <c:pt idx="36">
                  <c:v>70799.226801718949</c:v>
                </c:pt>
                <c:pt idx="37">
                  <c:v>71985.447134922215</c:v>
                </c:pt>
                <c:pt idx="38">
                  <c:v>73147.305747964027</c:v>
                </c:pt>
                <c:pt idx="39">
                  <c:v>74270.343100787562</c:v>
                </c:pt>
                <c:pt idx="40">
                  <c:v>75339.377364196713</c:v>
                </c:pt>
                <c:pt idx="41">
                  <c:v>76338.593869548655</c:v>
                </c:pt>
                <c:pt idx="42">
                  <c:v>77251.665419157944</c:v>
                </c:pt>
                <c:pt idx="43">
                  <c:v>78061.90460531904</c:v>
                </c:pt>
                <c:pt idx="44">
                  <c:v>78752.448559688884</c:v>
                </c:pt>
                <c:pt idx="45">
                  <c:v>79306.475661390054</c:v>
                </c:pt>
                <c:pt idx="46">
                  <c:v>79707.452680239352</c:v>
                </c:pt>
                <c:pt idx="47">
                  <c:v>79939.409639351696</c:v>
                </c:pt>
                <c:pt idx="48">
                  <c:v>79987.238378333597</c:v>
                </c:pt>
                <c:pt idx="49">
                  <c:v>79837.009425382028</c:v>
                </c:pt>
                <c:pt idx="50">
                  <c:v>79476.300396593258</c:v>
                </c:pt>
                <c:pt idx="51">
                  <c:v>78894.527797572475</c:v>
                </c:pt>
                <c:pt idx="52">
                  <c:v>78083.272879361728</c:v>
                </c:pt>
                <c:pt idx="53">
                  <c:v>77036.59117799536</c:v>
                </c:pt>
                <c:pt idx="54">
                  <c:v>75751.294628032687</c:v>
                </c:pt>
                <c:pt idx="55">
                  <c:v>74227.194767073714</c:v>
                </c:pt>
                <c:pt idx="56">
                  <c:v>72467.29561539492</c:v>
                </c:pt>
                <c:pt idx="57">
                  <c:v>70477.925384154369</c:v>
                </c:pt>
                <c:pt idx="58">
                  <c:v>68268.79727945193</c:v>
                </c:pt>
                <c:pt idx="59">
                  <c:v>65852.991344716065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2-48DF-ADE5-1680B1A1B7F5}"/>
            </c:ext>
          </c:extLst>
        </c:ser>
        <c:ser>
          <c:idx val="4"/>
          <c:order val="2"/>
          <c:tx>
            <c:strRef>
              <c:f>'增加值 (2001-2060, 2020RMB)'!$A$7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112084.10776768099</c:v>
                </c:pt>
                <c:pt idx="23">
                  <c:v>117103.200827843</c:v>
                </c:pt>
                <c:pt idx="24">
                  <c:v>122101.50441579989</c:v>
                </c:pt>
                <c:pt idx="25">
                  <c:v>127032.76943707631</c:v>
                </c:pt>
                <c:pt idx="26">
                  <c:v>131846.31624844519</c:v>
                </c:pt>
                <c:pt idx="27">
                  <c:v>136487.4428848197</c:v>
                </c:pt>
                <c:pt idx="28">
                  <c:v>140898.0029857831</c:v>
                </c:pt>
                <c:pt idx="29">
                  <c:v>145017.16205792045</c:v>
                </c:pt>
                <c:pt idx="30">
                  <c:v>148802.346925903</c:v>
                </c:pt>
                <c:pt idx="31">
                  <c:v>152294.0758404629</c:v>
                </c:pt>
                <c:pt idx="32">
                  <c:v>155562.36389489801</c:v>
                </c:pt>
                <c:pt idx="33">
                  <c:v>158686.43335774669</c:v>
                </c:pt>
                <c:pt idx="34">
                  <c:v>161753.71004618829</c:v>
                </c:pt>
                <c:pt idx="35">
                  <c:v>164837.82799396999</c:v>
                </c:pt>
                <c:pt idx="36">
                  <c:v>167931.00542817899</c:v>
                </c:pt>
                <c:pt idx="37">
                  <c:v>171002.71472185379</c:v>
                </c:pt>
                <c:pt idx="38">
                  <c:v>174020.32435338359</c:v>
                </c:pt>
                <c:pt idx="39">
                  <c:v>176949.1718767448</c:v>
                </c:pt>
                <c:pt idx="40">
                  <c:v>179752.70186935729</c:v>
                </c:pt>
                <c:pt idx="41">
                  <c:v>182392.67436644359</c:v>
                </c:pt>
                <c:pt idx="42">
                  <c:v>184829.44836501879</c:v>
                </c:pt>
                <c:pt idx="43">
                  <c:v>187022.34366161571</c:v>
                </c:pt>
                <c:pt idx="44">
                  <c:v>188930.0825572701</c:v>
                </c:pt>
                <c:pt idx="45">
                  <c:v>190511.3108186388</c:v>
                </c:pt>
                <c:pt idx="46">
                  <c:v>191725.19474262619</c:v>
                </c:pt>
                <c:pt idx="47">
                  <c:v>192532.08827445519</c:v>
                </c:pt>
                <c:pt idx="48">
                  <c:v>192894.26094327911</c:v>
                </c:pt>
                <c:pt idx="49">
                  <c:v>192776.67400138066</c:v>
                </c:pt>
                <c:pt idx="50">
                  <c:v>192147.78870826471</c:v>
                </c:pt>
                <c:pt idx="51">
                  <c:v>190980.3873427097</c:v>
                </c:pt>
                <c:pt idx="52">
                  <c:v>189252.3844316621</c:v>
                </c:pt>
                <c:pt idx="53">
                  <c:v>186947.60305033161</c:v>
                </c:pt>
                <c:pt idx="54">
                  <c:v>184056.48907796611</c:v>
                </c:pt>
                <c:pt idx="55">
                  <c:v>180576.73519192991</c:v>
                </c:pt>
                <c:pt idx="56">
                  <c:v>176513.7863370112</c:v>
                </c:pt>
                <c:pt idx="57">
                  <c:v>171881.19957582781</c:v>
                </c:pt>
                <c:pt idx="58">
                  <c:v>166700.8337226639</c:v>
                </c:pt>
                <c:pt idx="59">
                  <c:v>161002.84803984195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2-48DF-ADE5-1680B1A1B7F5}"/>
            </c:ext>
          </c:extLst>
        </c:ser>
        <c:ser>
          <c:idx val="5"/>
          <c:order val="3"/>
          <c:tx>
            <c:strRef>
              <c:f>'增加值 (2001-2060, 2020RMB)'!$A$8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17540.01664672156</c:v>
                </c:pt>
                <c:pt idx="23">
                  <c:v>18390.438651230099</c:v>
                </c:pt>
                <c:pt idx="24">
                  <c:v>19241.078714633055</c:v>
                </c:pt>
                <c:pt idx="25">
                  <c:v>20084.394925590921</c:v>
                </c:pt>
                <c:pt idx="26">
                  <c:v>20912.06228524998</c:v>
                </c:pt>
                <c:pt idx="27">
                  <c:v>21715.034177300509</c:v>
                </c:pt>
                <c:pt idx="28">
                  <c:v>22483.63259750072</c:v>
                </c:pt>
                <c:pt idx="29">
                  <c:v>23207.668847782006</c:v>
                </c:pt>
                <c:pt idx="30">
                  <c:v>23879.825129653229</c:v>
                </c:pt>
                <c:pt idx="31">
                  <c:v>24506.191467515819</c:v>
                </c:pt>
                <c:pt idx="32">
                  <c:v>25097.74907785068</c:v>
                </c:pt>
                <c:pt idx="33">
                  <c:v>25667.123940963811</c:v>
                </c:pt>
                <c:pt idx="34">
                  <c:v>26228.43272075371</c:v>
                </c:pt>
                <c:pt idx="35">
                  <c:v>26793.68744794411</c:v>
                </c:pt>
                <c:pt idx="36">
                  <c:v>27361.655960216609</c:v>
                </c:pt>
                <c:pt idx="37">
                  <c:v>27927.357573026329</c:v>
                </c:pt>
                <c:pt idx="38">
                  <c:v>28485.426283401848</c:v>
                </c:pt>
                <c:pt idx="39">
                  <c:v>29030.120792628961</c:v>
                </c:pt>
                <c:pt idx="40">
                  <c:v>29555.345325564689</c:v>
                </c:pt>
                <c:pt idx="41">
                  <c:v>30054.682277072101</c:v>
                </c:pt>
                <c:pt idx="42">
                  <c:v>30521.437570896462</c:v>
                </c:pt>
                <c:pt idx="43">
                  <c:v>30948.69940438011</c:v>
                </c:pt>
                <c:pt idx="44">
                  <c:v>31329.410769819351</c:v>
                </c:pt>
                <c:pt idx="45">
                  <c:v>31656.455788671999</c:v>
                </c:pt>
                <c:pt idx="46">
                  <c:v>31922.759470173889</c:v>
                </c:pt>
                <c:pt idx="47">
                  <c:v>32121.400017122061</c:v>
                </c:pt>
                <c:pt idx="48">
                  <c:v>32245.73225906548</c:v>
                </c:pt>
                <c:pt idx="49">
                  <c:v>32289.520212253399</c:v>
                </c:pt>
                <c:pt idx="50">
                  <c:v>32247.07616686781</c:v>
                </c:pt>
                <c:pt idx="51">
                  <c:v>32113.403110657149</c:v>
                </c:pt>
                <c:pt idx="52">
                  <c:v>31884.33674383767</c:v>
                </c:pt>
                <c:pt idx="53">
                  <c:v>31556.682856232579</c:v>
                </c:pt>
                <c:pt idx="54">
                  <c:v>31128.3454592948</c:v>
                </c:pt>
                <c:pt idx="55">
                  <c:v>30598.440828356939</c:v>
                </c:pt>
                <c:pt idx="56">
                  <c:v>29967.392547593099</c:v>
                </c:pt>
                <c:pt idx="57">
                  <c:v>29237.002790693448</c:v>
                </c:pt>
                <c:pt idx="58">
                  <c:v>28410.49543587791</c:v>
                </c:pt>
                <c:pt idx="59">
                  <c:v>27492.527216567025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42-48DF-ADE5-1680B1A1B7F5}"/>
            </c:ext>
          </c:extLst>
        </c:ser>
        <c:ser>
          <c:idx val="6"/>
          <c:order val="4"/>
          <c:tx>
            <c:strRef>
              <c:f>'增加值 (2001-2060, 2020RMB)'!$A$9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95168.114376113517</c:v>
                </c:pt>
                <c:pt idx="23">
                  <c:v>100177.17703334409</c:v>
                </c:pt>
                <c:pt idx="24">
                  <c:v>105499.81743345509</c:v>
                </c:pt>
                <c:pt idx="25">
                  <c:v>111064.6908227651</c:v>
                </c:pt>
                <c:pt idx="26">
                  <c:v>116782.4256965422</c:v>
                </c:pt>
                <c:pt idx="27">
                  <c:v>122543.96789372699</c:v>
                </c:pt>
                <c:pt idx="28">
                  <c:v>128219.8140600636</c:v>
                </c:pt>
                <c:pt idx="29">
                  <c:v>133660.4428577816</c:v>
                </c:pt>
                <c:pt idx="30">
                  <c:v>138731.72800529079</c:v>
                </c:pt>
                <c:pt idx="31">
                  <c:v>143427.9103873616</c:v>
                </c:pt>
                <c:pt idx="32">
                  <c:v>147788.67581253091</c:v>
                </c:pt>
                <c:pt idx="33">
                  <c:v>151866.81737280919</c:v>
                </c:pt>
                <c:pt idx="34">
                  <c:v>155726.8534152217</c:v>
                </c:pt>
                <c:pt idx="35">
                  <c:v>159426.34395992191</c:v>
                </c:pt>
                <c:pt idx="36">
                  <c:v>162959.42228412969</c:v>
                </c:pt>
                <c:pt idx="37">
                  <c:v>166303.33924518459</c:v>
                </c:pt>
                <c:pt idx="38">
                  <c:v>169435.2855684846</c:v>
                </c:pt>
                <c:pt idx="39">
                  <c:v>172332.59861354801</c:v>
                </c:pt>
                <c:pt idx="40">
                  <c:v>174972.98288638101</c:v>
                </c:pt>
                <c:pt idx="41">
                  <c:v>177334.7421322513</c:v>
                </c:pt>
                <c:pt idx="42">
                  <c:v>179397.0204375569</c:v>
                </c:pt>
                <c:pt idx="43">
                  <c:v>181140.04937923251</c:v>
                </c:pt>
                <c:pt idx="44">
                  <c:v>182545.39789607559</c:v>
                </c:pt>
                <c:pt idx="45">
                  <c:v>183596.22123038719</c:v>
                </c:pt>
                <c:pt idx="46">
                  <c:v>184277.505012115</c:v>
                </c:pt>
                <c:pt idx="47">
                  <c:v>184576.3003431815</c:v>
                </c:pt>
                <c:pt idx="48">
                  <c:v>184481.94559793751</c:v>
                </c:pt>
                <c:pt idx="49">
                  <c:v>183986.27059701772</c:v>
                </c:pt>
                <c:pt idx="50">
                  <c:v>183083.7788451098</c:v>
                </c:pt>
                <c:pt idx="51">
                  <c:v>181771.803655233</c:v>
                </c:pt>
                <c:pt idx="52">
                  <c:v>180050.63421787519</c:v>
                </c:pt>
                <c:pt idx="53">
                  <c:v>177923.60801483801</c:v>
                </c:pt>
                <c:pt idx="54">
                  <c:v>175397.16642411411</c:v>
                </c:pt>
                <c:pt idx="55">
                  <c:v>172480.87090954481</c:v>
                </c:pt>
                <c:pt idx="56">
                  <c:v>169187.37783009111</c:v>
                </c:pt>
                <c:pt idx="57">
                  <c:v>165532.37062757349</c:v>
                </c:pt>
                <c:pt idx="58">
                  <c:v>161534.44894476471</c:v>
                </c:pt>
                <c:pt idx="59">
                  <c:v>157214.97507064807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42-48DF-ADE5-1680B1A1B7F5}"/>
            </c:ext>
          </c:extLst>
        </c:ser>
        <c:ser>
          <c:idx val="7"/>
          <c:order val="5"/>
          <c:tx>
            <c:strRef>
              <c:f>'增加值 (2001-2060, 2020RMB)'!$A$10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72919.080434416785</c:v>
                </c:pt>
                <c:pt idx="23">
                  <c:v>76843.649232344003</c:v>
                </c:pt>
                <c:pt idx="24">
                  <c:v>80767.160069239122</c:v>
                </c:pt>
                <c:pt idx="25">
                  <c:v>84647.701879922883</c:v>
                </c:pt>
                <c:pt idx="26">
                  <c:v>88438.741273105348</c:v>
                </c:pt>
                <c:pt idx="27">
                  <c:v>92089.570836288956</c:v>
                </c:pt>
                <c:pt idx="28">
                  <c:v>95545.965760798194</c:v>
                </c:pt>
                <c:pt idx="29">
                  <c:v>98751.05932930579</c:v>
                </c:pt>
                <c:pt idx="30">
                  <c:v>101667.1483709998</c:v>
                </c:pt>
                <c:pt idx="31">
                  <c:v>104343.36900573601</c:v>
                </c:pt>
                <c:pt idx="32">
                  <c:v>106860.8778524177</c:v>
                </c:pt>
                <c:pt idx="33">
                  <c:v>109311.6945030996</c:v>
                </c:pt>
                <c:pt idx="34">
                  <c:v>111797.69734948852</c:v>
                </c:pt>
                <c:pt idx="35">
                  <c:v>114407.6609854148</c:v>
                </c:pt>
                <c:pt idx="36">
                  <c:v>117145.1707446503</c:v>
                </c:pt>
                <c:pt idx="37">
                  <c:v>119990.0026631053</c:v>
                </c:pt>
                <c:pt idx="38">
                  <c:v>122919.6972366196</c:v>
                </c:pt>
                <c:pt idx="39">
                  <c:v>125909.3557626105</c:v>
                </c:pt>
                <c:pt idx="40">
                  <c:v>128931.4830126078</c:v>
                </c:pt>
                <c:pt idx="41">
                  <c:v>131955.8857242901</c:v>
                </c:pt>
                <c:pt idx="42">
                  <c:v>134949.63719228719</c:v>
                </c:pt>
                <c:pt idx="43">
                  <c:v>137877.11864905449</c:v>
                </c:pt>
                <c:pt idx="44">
                  <c:v>140700.14806690099</c:v>
                </c:pt>
                <c:pt idx="45">
                  <c:v>143378.20638426169</c:v>
                </c:pt>
                <c:pt idx="46">
                  <c:v>145868.76987321029</c:v>
                </c:pt>
                <c:pt idx="47">
                  <c:v>148127.75534400609</c:v>
                </c:pt>
                <c:pt idx="48">
                  <c:v>150110.08207223081</c:v>
                </c:pt>
                <c:pt idx="49">
                  <c:v>151770.35071433356</c:v>
                </c:pt>
                <c:pt idx="50">
                  <c:v>153063.6350717294</c:v>
                </c:pt>
                <c:pt idx="51">
                  <c:v>153946.37744965561</c:v>
                </c:pt>
                <c:pt idx="52">
                  <c:v>154377.37267477359</c:v>
                </c:pt>
                <c:pt idx="53">
                  <c:v>154318.81979248681</c:v>
                </c:pt>
                <c:pt idx="54">
                  <c:v>153737.41433740311</c:v>
                </c:pt>
                <c:pt idx="55">
                  <c:v>152605.44819858501</c:v>
                </c:pt>
                <c:pt idx="56">
                  <c:v>150901.87887894319</c:v>
                </c:pt>
                <c:pt idx="57">
                  <c:v>148613.3258040573</c:v>
                </c:pt>
                <c:pt idx="58">
                  <c:v>145734.94870856919</c:v>
                </c:pt>
                <c:pt idx="59">
                  <c:v>142271.16243467634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42-48DF-ADE5-1680B1A1B7F5}"/>
            </c:ext>
          </c:extLst>
        </c:ser>
        <c:ser>
          <c:idx val="8"/>
          <c:order val="6"/>
          <c:tx>
            <c:strRef>
              <c:f>'增加值 (2001-2060, 2020RMB)'!$A$11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285929.3271325744</c:v>
                </c:pt>
                <c:pt idx="23">
                  <c:v>312217.97353085497</c:v>
                </c:pt>
                <c:pt idx="24">
                  <c:v>340631.12548217806</c:v>
                </c:pt>
                <c:pt idx="25">
                  <c:v>371135.42443493637</c:v>
                </c:pt>
                <c:pt idx="26">
                  <c:v>403640.61767319503</c:v>
                </c:pt>
                <c:pt idx="27">
                  <c:v>437988.46728068829</c:v>
                </c:pt>
                <c:pt idx="28">
                  <c:v>473941.88663942798</c:v>
                </c:pt>
                <c:pt idx="29">
                  <c:v>511175.03993892809</c:v>
                </c:pt>
                <c:pt idx="30">
                  <c:v>549356.11230317387</c:v>
                </c:pt>
                <c:pt idx="31">
                  <c:v>588466.60803382762</c:v>
                </c:pt>
                <c:pt idx="32">
                  <c:v>628620.828550832</c:v>
                </c:pt>
                <c:pt idx="33">
                  <c:v>669993.32065959275</c:v>
                </c:pt>
                <c:pt idx="34">
                  <c:v>712824.8040648906</c:v>
                </c:pt>
                <c:pt idx="35">
                  <c:v>757357.88788441033</c:v>
                </c:pt>
                <c:pt idx="36">
                  <c:v>803597.87526238069</c:v>
                </c:pt>
                <c:pt idx="37">
                  <c:v>851469.9522132962</c:v>
                </c:pt>
                <c:pt idx="38">
                  <c:v>900881.21190486592</c:v>
                </c:pt>
                <c:pt idx="39">
                  <c:v>951719.97502658423</c:v>
                </c:pt>
                <c:pt idx="40">
                  <c:v>1003855.294141511</c:v>
                </c:pt>
                <c:pt idx="41">
                  <c:v>1057136.6690137209</c:v>
                </c:pt>
                <c:pt idx="42">
                  <c:v>1111393.998731416</c:v>
                </c:pt>
                <c:pt idx="43">
                  <c:v>1166437.7945370581</c:v>
                </c:pt>
                <c:pt idx="44">
                  <c:v>1222059.674586555</c:v>
                </c:pt>
                <c:pt idx="45">
                  <c:v>1278033.1583621721</c:v>
                </c:pt>
                <c:pt idx="46">
                  <c:v>1334114.774152596</c:v>
                </c:pt>
                <c:pt idx="47">
                  <c:v>1390045.4879068341</c:v>
                </c:pt>
                <c:pt idx="48">
                  <c:v>1445552.4559124371</c:v>
                </c:pt>
                <c:pt idx="49">
                  <c:v>1500351.0972189831</c:v>
                </c:pt>
                <c:pt idx="50">
                  <c:v>1554147.474631968</c:v>
                </c:pt>
                <c:pt idx="51">
                  <c:v>1606640.965580109</c:v>
                </c:pt>
                <c:pt idx="52">
                  <c:v>1657527.1963806041</c:v>
                </c:pt>
                <c:pt idx="53">
                  <c:v>1706501.20559208</c:v>
                </c:pt>
                <c:pt idx="54">
                  <c:v>1753260.7944785359</c:v>
                </c:pt>
                <c:pt idx="55">
                  <c:v>1797510.015354044</c:v>
                </c:pt>
                <c:pt idx="56">
                  <c:v>1838962.7419952729</c:v>
                </c:pt>
                <c:pt idx="57">
                  <c:v>1877346.260658785</c:v>
                </c:pt>
                <c:pt idx="58">
                  <c:v>1912404.81577937</c:v>
                </c:pt>
                <c:pt idx="59">
                  <c:v>1943903.0413949902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42-48DF-ADE5-1680B1A1B7F5}"/>
            </c:ext>
          </c:extLst>
        </c:ser>
        <c:ser>
          <c:idx val="0"/>
          <c:order val="7"/>
          <c:tx>
            <c:strRef>
              <c:f>'增加值 (2001-2060, 2020RMB)'!$A$3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89111.560119597198</c:v>
                </c:pt>
                <c:pt idx="23">
                  <c:v>92551.324691647664</c:v>
                </c:pt>
                <c:pt idx="24">
                  <c:v>96730.551057237186</c:v>
                </c:pt>
                <c:pt idx="25">
                  <c:v>101462.9136022615</c:v>
                </c:pt>
                <c:pt idx="26">
                  <c:v>106523.1144965868</c:v>
                </c:pt>
                <c:pt idx="27">
                  <c:v>111635.7913534852</c:v>
                </c:pt>
                <c:pt idx="28">
                  <c:v>116470.607899928</c:v>
                </c:pt>
                <c:pt idx="29">
                  <c:v>120645.94530321592</c:v>
                </c:pt>
                <c:pt idx="30">
                  <c:v>123851.0709125006</c:v>
                </c:pt>
                <c:pt idx="31">
                  <c:v>126209.5796672408</c:v>
                </c:pt>
                <c:pt idx="32">
                  <c:v>127991.814514005</c:v>
                </c:pt>
                <c:pt idx="33">
                  <c:v>129497.4438849256</c:v>
                </c:pt>
                <c:pt idx="34">
                  <c:v>131045.20164915625</c:v>
                </c:pt>
                <c:pt idx="35">
                  <c:v>132907.12596351121</c:v>
                </c:pt>
                <c:pt idx="36">
                  <c:v>135116.02418193841</c:v>
                </c:pt>
                <c:pt idx="37">
                  <c:v>137643.4701399325</c:v>
                </c:pt>
                <c:pt idx="38">
                  <c:v>140460.18974650069</c:v>
                </c:pt>
                <c:pt idx="39">
                  <c:v>143535.22280358191</c:v>
                </c:pt>
                <c:pt idx="40">
                  <c:v>146835.153454691</c:v>
                </c:pt>
                <c:pt idx="41">
                  <c:v>150323.41350132329</c:v>
                </c:pt>
                <c:pt idx="42">
                  <c:v>153959.6686977841</c:v>
                </c:pt>
                <c:pt idx="43">
                  <c:v>157699.30350689549</c:v>
                </c:pt>
                <c:pt idx="44">
                  <c:v>161493.02456152011</c:v>
                </c:pt>
                <c:pt idx="45">
                  <c:v>165286.60703834571</c:v>
                </c:pt>
                <c:pt idx="46">
                  <c:v>169020.81104583619</c:v>
                </c:pt>
                <c:pt idx="47">
                  <c:v>172631.4966335457</c:v>
                </c:pt>
                <c:pt idx="48">
                  <c:v>176049.96578237979</c:v>
                </c:pt>
                <c:pt idx="49">
                  <c:v>179203.55736219214</c:v>
                </c:pt>
                <c:pt idx="50">
                  <c:v>182016.51619867451</c:v>
                </c:pt>
                <c:pt idx="51">
                  <c:v>184411.14980257041</c:v>
                </c:pt>
                <c:pt idx="52">
                  <c:v>186309.2758318843</c:v>
                </c:pt>
                <c:pt idx="53">
                  <c:v>187633.9500126169</c:v>
                </c:pt>
                <c:pt idx="54">
                  <c:v>188311.44829975901</c:v>
                </c:pt>
                <c:pt idx="55">
                  <c:v>188273.45906093559</c:v>
                </c:pt>
                <c:pt idx="56">
                  <c:v>187459.42186218401</c:v>
                </c:pt>
                <c:pt idx="57">
                  <c:v>185818.9301946132</c:v>
                </c:pt>
                <c:pt idx="58">
                  <c:v>183314.0976541616</c:v>
                </c:pt>
                <c:pt idx="59">
                  <c:v>179921.77234544282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2-48DF-ADE5-1680B1A1B7F5}"/>
            </c:ext>
          </c:extLst>
        </c:ser>
        <c:ser>
          <c:idx val="1"/>
          <c:order val="8"/>
          <c:tx>
            <c:strRef>
              <c:f>'增加值 (2001-2060, 2020RMB)'!$A$4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388611.81259451428</c:v>
                </c:pt>
                <c:pt idx="23">
                  <c:v>402616.51840908767</c:v>
                </c:pt>
                <c:pt idx="24">
                  <c:v>417398.95319218811</c:v>
                </c:pt>
                <c:pt idx="25">
                  <c:v>432743.74337009311</c:v>
                </c:pt>
                <c:pt idx="26">
                  <c:v>448409.44034544798</c:v>
                </c:pt>
                <c:pt idx="27">
                  <c:v>464125.56627013063</c:v>
                </c:pt>
                <c:pt idx="28">
                  <c:v>479591.60408792872</c:v>
                </c:pt>
                <c:pt idx="29">
                  <c:v>494478.45187656058</c:v>
                </c:pt>
                <c:pt idx="30">
                  <c:v>508505.37735929393</c:v>
                </c:pt>
                <c:pt idx="31">
                  <c:v>521674.0624588629</c:v>
                </c:pt>
                <c:pt idx="32">
                  <c:v>534070.29793654929</c:v>
                </c:pt>
                <c:pt idx="33">
                  <c:v>545791.14016780478</c:v>
                </c:pt>
                <c:pt idx="34">
                  <c:v>556942.10700891458</c:v>
                </c:pt>
                <c:pt idx="35">
                  <c:v>567610.38498564973</c:v>
                </c:pt>
                <c:pt idx="36">
                  <c:v>577789.78753205342</c:v>
                </c:pt>
                <c:pt idx="37">
                  <c:v>587454.19191303034</c:v>
                </c:pt>
                <c:pt idx="38">
                  <c:v>596582.22889453033</c:v>
                </c:pt>
                <c:pt idx="39">
                  <c:v>605157.36754465138</c:v>
                </c:pt>
                <c:pt idx="40">
                  <c:v>613167.93820965174</c:v>
                </c:pt>
                <c:pt idx="41">
                  <c:v>620607.09946950467</c:v>
                </c:pt>
                <c:pt idx="42">
                  <c:v>627472.75569731998</c:v>
                </c:pt>
                <c:pt idx="43">
                  <c:v>633767.43239769747</c:v>
                </c:pt>
                <c:pt idx="44">
                  <c:v>639498.11680702714</c:v>
                </c:pt>
                <c:pt idx="45">
                  <c:v>644676.07133699872</c:v>
                </c:pt>
                <c:pt idx="46">
                  <c:v>649316.62736858602</c:v>
                </c:pt>
                <c:pt idx="47">
                  <c:v>653438.96669721475</c:v>
                </c:pt>
                <c:pt idx="48">
                  <c:v>657065.89763052308</c:v>
                </c:pt>
                <c:pt idx="49">
                  <c:v>660223.63238702435</c:v>
                </c:pt>
                <c:pt idx="50">
                  <c:v>662941.57207409921</c:v>
                </c:pt>
                <c:pt idx="51">
                  <c:v>665252.10517204867</c:v>
                </c:pt>
                <c:pt idx="52">
                  <c:v>667190.42515042285</c:v>
                </c:pt>
                <c:pt idx="53">
                  <c:v>668794.3726251059</c:v>
                </c:pt>
                <c:pt idx="54">
                  <c:v>670104.30736105843</c:v>
                </c:pt>
                <c:pt idx="55">
                  <c:v>671163.01546858554</c:v>
                </c:pt>
                <c:pt idx="56">
                  <c:v>672015.65736594412</c:v>
                </c:pt>
                <c:pt idx="57">
                  <c:v>672709.76252883859</c:v>
                </c:pt>
                <c:pt idx="58">
                  <c:v>673295.27776718955</c:v>
                </c:pt>
                <c:pt idx="59">
                  <c:v>673824.67682312836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2-48DF-ADE5-1680B1A1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03087"/>
        <c:axId val="1519799247"/>
      </c:areaChart>
      <c:catAx>
        <c:axId val="151980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799247"/>
        <c:crosses val="autoZero"/>
        <c:auto val="1"/>
        <c:lblAlgn val="ctr"/>
        <c:lblOffset val="100"/>
        <c:noMultiLvlLbl val="0"/>
      </c:catAx>
      <c:valAx>
        <c:axId val="15197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80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320367747967152E-2"/>
          <c:y val="0.12157578586608031"/>
          <c:w val="0.8671018605246088"/>
          <c:h val="0.48076602749149344"/>
        </c:manualLayout>
      </c:layout>
      <c:areaChart>
        <c:grouping val="stacked"/>
        <c:varyColors val="0"/>
        <c:ser>
          <c:idx val="0"/>
          <c:order val="0"/>
          <c:tx>
            <c:strRef>
              <c:f>'增加值 (2001-2060, 2020RMB)'!$A$14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18184.610571809899</c:v>
                </c:pt>
                <c:pt idx="16">
                  <c:v>18449.30048851814</c:v>
                </c:pt>
                <c:pt idx="17">
                  <c:v>18773.814142046449</c:v>
                </c:pt>
                <c:pt idx="18">
                  <c:v>19134.821448357401</c:v>
                </c:pt>
                <c:pt idx="19">
                  <c:v>19507.345873573089</c:v>
                </c:pt>
                <c:pt idx="20">
                  <c:v>19864.443581813379</c:v>
                </c:pt>
                <c:pt idx="21">
                  <c:v>20177.23513970133</c:v>
                </c:pt>
                <c:pt idx="22">
                  <c:v>20415.335237549414</c:v>
                </c:pt>
                <c:pt idx="23">
                  <c:v>20555.4937480347</c:v>
                </c:pt>
                <c:pt idx="24">
                  <c:v>20606.30671834054</c:v>
                </c:pt>
                <c:pt idx="25">
                  <c:v>20585.5234871268</c:v>
                </c:pt>
                <c:pt idx="26">
                  <c:v>20511.708665564161</c:v>
                </c:pt>
                <c:pt idx="27">
                  <c:v>20403.684105846201</c:v>
                </c:pt>
                <c:pt idx="28">
                  <c:v>20277.111939268361</c:v>
                </c:pt>
                <c:pt idx="29">
                  <c:v>20135.35849225647</c:v>
                </c:pt>
                <c:pt idx="30">
                  <c:v>19978.766292233391</c:v>
                </c:pt>
                <c:pt idx="31">
                  <c:v>19807.710169048209</c:v>
                </c:pt>
                <c:pt idx="32">
                  <c:v>19622.59576719152</c:v>
                </c:pt>
                <c:pt idx="33">
                  <c:v>19423.857951254009</c:v>
                </c:pt>
                <c:pt idx="34">
                  <c:v>19211.95911335338</c:v>
                </c:pt>
                <c:pt idx="35">
                  <c:v>18987.38739169301</c:v>
                </c:pt>
                <c:pt idx="36">
                  <c:v>18750.654809794582</c:v>
                </c:pt>
                <c:pt idx="37">
                  <c:v>18502.295346256738</c:v>
                </c:pt>
                <c:pt idx="38">
                  <c:v>18242.862945137189</c:v>
                </c:pt>
                <c:pt idx="39">
                  <c:v>17972.929477233742</c:v>
                </c:pt>
                <c:pt idx="40">
                  <c:v>17693.082662650431</c:v>
                </c:pt>
                <c:pt idx="41">
                  <c:v>17403.923965076519</c:v>
                </c:pt>
                <c:pt idx="42">
                  <c:v>17106.066468185512</c:v>
                </c:pt>
                <c:pt idx="43">
                  <c:v>16800.132744470269</c:v>
                </c:pt>
                <c:pt idx="44">
                  <c:v>16486.752726682069</c:v>
                </c:pt>
                <c:pt idx="45">
                  <c:v>16166.561591827351</c:v>
                </c:pt>
                <c:pt idx="46">
                  <c:v>15840.19766740707</c:v>
                </c:pt>
                <c:pt idx="47">
                  <c:v>15508.300369257749</c:v>
                </c:pt>
                <c:pt idx="48">
                  <c:v>15171.50817997756</c:v>
                </c:pt>
                <c:pt idx="49">
                  <c:v>14830.45667649608</c:v>
                </c:pt>
                <c:pt idx="50">
                  <c:v>14485.77661487865</c:v>
                </c:pt>
                <c:pt idx="51">
                  <c:v>14138.09207994966</c:v>
                </c:pt>
                <c:pt idx="52">
                  <c:v>13788.018706776629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4-4A07-92CC-FB0C2DCF4F71}"/>
            </c:ext>
          </c:extLst>
        </c:ser>
        <c:ser>
          <c:idx val="1"/>
          <c:order val="1"/>
          <c:tx>
            <c:strRef>
              <c:f>'增加值 (2001-2060, 2020RMB)'!$A$15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12293.53014996716</c:v>
                </c:pt>
                <c:pt idx="16">
                  <c:v>12328.258185465391</c:v>
                </c:pt>
                <c:pt idx="17">
                  <c:v>12394.815435829098</c:v>
                </c:pt>
                <c:pt idx="18">
                  <c:v>12479.704638918331</c:v>
                </c:pt>
                <c:pt idx="19">
                  <c:v>12569.18490422286</c:v>
                </c:pt>
                <c:pt idx="20">
                  <c:v>12649.14454857101</c:v>
                </c:pt>
                <c:pt idx="21">
                  <c:v>12705.129451463201</c:v>
                </c:pt>
                <c:pt idx="22">
                  <c:v>12722.533356153768</c:v>
                </c:pt>
                <c:pt idx="23">
                  <c:v>12691.13456062666</c:v>
                </c:pt>
                <c:pt idx="24">
                  <c:v>12617.923513286611</c:v>
                </c:pt>
                <c:pt idx="25">
                  <c:v>12514.320773168951</c:v>
                </c:pt>
                <c:pt idx="26">
                  <c:v>12391.67417275446</c:v>
                </c:pt>
                <c:pt idx="27">
                  <c:v>12261.041384728915</c:v>
                </c:pt>
                <c:pt idx="28">
                  <c:v>12131.225251484449</c:v>
                </c:pt>
                <c:pt idx="29">
                  <c:v>12003.3591342986</c:v>
                </c:pt>
                <c:pt idx="30">
                  <c:v>11876.72098254292</c:v>
                </c:pt>
                <c:pt idx="31">
                  <c:v>11750.618401757991</c:v>
                </c:pt>
                <c:pt idx="32">
                  <c:v>11624.38814032968</c:v>
                </c:pt>
                <c:pt idx="33">
                  <c:v>11497.3959630233</c:v>
                </c:pt>
                <c:pt idx="34">
                  <c:v>11369.0368820822</c:v>
                </c:pt>
                <c:pt idx="35">
                  <c:v>11238.7357165426</c:v>
                </c:pt>
                <c:pt idx="36">
                  <c:v>11105.94794984126</c:v>
                </c:pt>
                <c:pt idx="37">
                  <c:v>10970.16085476974</c:v>
                </c:pt>
                <c:pt idx="38">
                  <c:v>10830.894853429039</c:v>
                </c:pt>
                <c:pt idx="39">
                  <c:v>10687.705078131879</c:v>
                </c:pt>
                <c:pt idx="40">
                  <c:v>10540.183097269721</c:v>
                </c:pt>
                <c:pt idx="41">
                  <c:v>10387.958768085749</c:v>
                </c:pt>
                <c:pt idx="42">
                  <c:v>10230.702176164574</c:v>
                </c:pt>
                <c:pt idx="43">
                  <c:v>10068.12561935387</c:v>
                </c:pt>
                <c:pt idx="44">
                  <c:v>9899.9855918702833</c:v>
                </c:pt>
                <c:pt idx="45">
                  <c:v>9726.0847226095993</c:v>
                </c:pt>
                <c:pt idx="46">
                  <c:v>9546.2736202807446</c:v>
                </c:pt>
                <c:pt idx="47">
                  <c:v>9360.4525770160872</c:v>
                </c:pt>
                <c:pt idx="48">
                  <c:v>9168.5730816740179</c:v>
                </c:pt>
                <c:pt idx="49">
                  <c:v>8970.6390942407561</c:v>
                </c:pt>
                <c:pt idx="50">
                  <c:v>8766.7080336415347</c:v>
                </c:pt>
                <c:pt idx="51">
                  <c:v>8556.8914329672843</c:v>
                </c:pt>
                <c:pt idx="52">
                  <c:v>8341.3552186731085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4-4A07-92CC-FB0C2DCF4F71}"/>
            </c:ext>
          </c:extLst>
        </c:ser>
        <c:ser>
          <c:idx val="2"/>
          <c:order val="2"/>
          <c:tx>
            <c:strRef>
              <c:f>'增加值 (2001-2060, 2020RMB)'!$A$16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4555.8710176758441</c:v>
                </c:pt>
                <c:pt idx="16">
                  <c:v>4552.9743786243762</c:v>
                </c:pt>
                <c:pt idx="17">
                  <c:v>4556.3033750132063</c:v>
                </c:pt>
                <c:pt idx="18">
                  <c:v>4562.554940416203</c:v>
                </c:pt>
                <c:pt idx="19">
                  <c:v>4568.4201052031704</c:v>
                </c:pt>
                <c:pt idx="20">
                  <c:v>4570.5747990678674</c:v>
                </c:pt>
                <c:pt idx="21">
                  <c:v>4565.6947571333394</c:v>
                </c:pt>
                <c:pt idx="22">
                  <c:v>4550.4945380300978</c:v>
                </c:pt>
                <c:pt idx="23">
                  <c:v>4522.7311794047318</c:v>
                </c:pt>
                <c:pt idx="24">
                  <c:v>4484.0421577273719</c:v>
                </c:pt>
                <c:pt idx="25">
                  <c:v>4437.0261620389119</c:v>
                </c:pt>
                <c:pt idx="26">
                  <c:v>4384.2401839520526</c:v>
                </c:pt>
                <c:pt idx="27">
                  <c:v>4328.1608228532004</c:v>
                </c:pt>
                <c:pt idx="28">
                  <c:v>4270.7723664681598</c:v>
                </c:pt>
                <c:pt idx="29">
                  <c:v>4212.4350742442502</c:v>
                </c:pt>
                <c:pt idx="30">
                  <c:v>4153.1171473673621</c:v>
                </c:pt>
                <c:pt idx="31">
                  <c:v>4092.7923503332968</c:v>
                </c:pt>
                <c:pt idx="32">
                  <c:v>4031.44010890652</c:v>
                </c:pt>
                <c:pt idx="33">
                  <c:v>3969.0455991618642</c:v>
                </c:pt>
                <c:pt idx="34">
                  <c:v>3905.599825618448</c:v>
                </c:pt>
                <c:pt idx="35">
                  <c:v>3841.0996865021789</c:v>
                </c:pt>
                <c:pt idx="36">
                  <c:v>3775.5480242140611</c:v>
                </c:pt>
                <c:pt idx="37">
                  <c:v>3708.953659138836</c:v>
                </c:pt>
                <c:pt idx="38">
                  <c:v>3641.3314050015661</c:v>
                </c:pt>
                <c:pt idx="39">
                  <c:v>3572.70206407051</c:v>
                </c:pt>
                <c:pt idx="40">
                  <c:v>3503.092400613466</c:v>
                </c:pt>
                <c:pt idx="41">
                  <c:v>3432.5350911416399</c:v>
                </c:pt>
                <c:pt idx="42">
                  <c:v>3361.0686501211321</c:v>
                </c:pt>
                <c:pt idx="43">
                  <c:v>3288.7373299958031</c:v>
                </c:pt>
                <c:pt idx="44">
                  <c:v>3215.5909945482249</c:v>
                </c:pt>
                <c:pt idx="45">
                  <c:v>3141.6849648249458</c:v>
                </c:pt>
                <c:pt idx="46">
                  <c:v>3067.0798370692069</c:v>
                </c:pt>
                <c:pt idx="47">
                  <c:v>2991.841272336118</c:v>
                </c:pt>
                <c:pt idx="48">
                  <c:v>2916.0397577114891</c:v>
                </c:pt>
                <c:pt idx="49">
                  <c:v>2839.7503393134421</c:v>
                </c:pt>
                <c:pt idx="50">
                  <c:v>2763.0523275242722</c:v>
                </c:pt>
                <c:pt idx="51">
                  <c:v>2686.0289751755981</c:v>
                </c:pt>
                <c:pt idx="52">
                  <c:v>2608.767129690546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4-4A07-92CC-FB0C2DCF4F71}"/>
            </c:ext>
          </c:extLst>
        </c:ser>
        <c:ser>
          <c:idx val="3"/>
          <c:order val="3"/>
          <c:tx>
            <c:strRef>
              <c:f>'增加值 (2001-2060, 2020RMB)'!$A$17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2121.8041985476989</c:v>
                </c:pt>
                <c:pt idx="16">
                  <c:v>2101.3955013383888</c:v>
                </c:pt>
                <c:pt idx="17">
                  <c:v>2084.17758840646</c:v>
                </c:pt>
                <c:pt idx="18">
                  <c:v>2068.798417266848</c:v>
                </c:pt>
                <c:pt idx="19">
                  <c:v>2053.9518588723731</c:v>
                </c:pt>
                <c:pt idx="20">
                  <c:v>2038.3702739524581</c:v>
                </c:pt>
                <c:pt idx="21">
                  <c:v>2020.825098535028</c:v>
                </c:pt>
                <c:pt idx="22">
                  <c:v>2000.1350053262622</c:v>
                </c:pt>
                <c:pt idx="23">
                  <c:v>1975.5144688345031</c:v>
                </c:pt>
                <c:pt idx="24">
                  <c:v>1947.556074430657</c:v>
                </c:pt>
                <c:pt idx="25">
                  <c:v>1917.1689913475709</c:v>
                </c:pt>
                <c:pt idx="26">
                  <c:v>1885.225509960597</c:v>
                </c:pt>
                <c:pt idx="27">
                  <c:v>1852.5524961157505</c:v>
                </c:pt>
                <c:pt idx="28">
                  <c:v>1819.800517420656</c:v>
                </c:pt>
                <c:pt idx="29">
                  <c:v>1787.0821847347879</c:v>
                </c:pt>
                <c:pt idx="30">
                  <c:v>1754.381772131537</c:v>
                </c:pt>
                <c:pt idx="31">
                  <c:v>1721.685756120102</c:v>
                </c:pt>
                <c:pt idx="32">
                  <c:v>1688.9827919044619</c:v>
                </c:pt>
                <c:pt idx="33">
                  <c:v>1656.2636888096511</c:v>
                </c:pt>
                <c:pt idx="34">
                  <c:v>1623.521384302521</c:v>
                </c:pt>
                <c:pt idx="35">
                  <c:v>1590.750916059038</c:v>
                </c:pt>
                <c:pt idx="36">
                  <c:v>1557.9493915569869</c:v>
                </c:pt>
                <c:pt idx="37">
                  <c:v>1525.115954702314</c:v>
                </c:pt>
                <c:pt idx="38">
                  <c:v>1492.251749029037</c:v>
                </c:pt>
                <c:pt idx="39">
                  <c:v>1459.3598770471449</c:v>
                </c:pt>
                <c:pt idx="40">
                  <c:v>1426.445355350239</c:v>
                </c:pt>
                <c:pt idx="41">
                  <c:v>1393.515065134806</c:v>
                </c:pt>
                <c:pt idx="42">
                  <c:v>1360.5776978261458</c:v>
                </c:pt>
                <c:pt idx="43">
                  <c:v>1327.643695552028</c:v>
                </c:pt>
                <c:pt idx="44">
                  <c:v>1294.7251862538669</c:v>
                </c:pt>
                <c:pt idx="45">
                  <c:v>1261.8359132768221</c:v>
                </c:pt>
                <c:pt idx="46">
                  <c:v>1228.991159334129</c:v>
                </c:pt>
                <c:pt idx="47">
                  <c:v>1196.207664797254</c:v>
                </c:pt>
                <c:pt idx="48">
                  <c:v>1163.50354032161</c:v>
                </c:pt>
                <c:pt idx="49">
                  <c:v>1130.8981738773</c:v>
                </c:pt>
                <c:pt idx="50">
                  <c:v>1098.412132315364</c:v>
                </c:pt>
                <c:pt idx="51">
                  <c:v>1066.0670576615339</c:v>
                </c:pt>
                <c:pt idx="52">
                  <c:v>1033.8855583914033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4-4A07-92CC-FB0C2DCF4F71}"/>
            </c:ext>
          </c:extLst>
        </c:ser>
        <c:ser>
          <c:idx val="4"/>
          <c:order val="4"/>
          <c:tx>
            <c:strRef>
              <c:f>'增加值 (2001-2060, 2020RMB)'!$A$18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1517.498797603236</c:v>
                </c:pt>
                <c:pt idx="16">
                  <c:v>1506.1723574595451</c:v>
                </c:pt>
                <c:pt idx="17">
                  <c:v>1497.3169529261447</c:v>
                </c:pt>
                <c:pt idx="18">
                  <c:v>1489.855782768592</c:v>
                </c:pt>
                <c:pt idx="19">
                  <c:v>1482.7393344514369</c:v>
                </c:pt>
                <c:pt idx="20">
                  <c:v>1474.939286265077</c:v>
                </c:pt>
                <c:pt idx="21">
                  <c:v>1465.4496576504739</c:v>
                </c:pt>
                <c:pt idx="22">
                  <c:v>1453.2949277284724</c:v>
                </c:pt>
                <c:pt idx="23">
                  <c:v>1437.819670545503</c:v>
                </c:pt>
                <c:pt idx="24">
                  <c:v>1419.504571383977</c:v>
                </c:pt>
                <c:pt idx="25">
                  <c:v>1399.0970186905929</c:v>
                </c:pt>
                <c:pt idx="26">
                  <c:v>1377.318805706534</c:v>
                </c:pt>
                <c:pt idx="27">
                  <c:v>1354.8576983842481</c:v>
                </c:pt>
                <c:pt idx="28">
                  <c:v>1332.2570266643991</c:v>
                </c:pt>
                <c:pt idx="29">
                  <c:v>1309.611677838185</c:v>
                </c:pt>
                <c:pt idx="30">
                  <c:v>1286.909230932288</c:v>
                </c:pt>
                <c:pt idx="31">
                  <c:v>1264.1389845584149</c:v>
                </c:pt>
                <c:pt idx="32">
                  <c:v>1241.291950041526</c:v>
                </c:pt>
                <c:pt idx="33">
                  <c:v>1218.360843666565</c:v>
                </c:pt>
                <c:pt idx="34">
                  <c:v>1195.3400775313789</c:v>
                </c:pt>
                <c:pt idx="35">
                  <c:v>1172.225748510225</c:v>
                </c:pt>
                <c:pt idx="36">
                  <c:v>1149.0156248512089</c:v>
                </c:pt>
                <c:pt idx="37">
                  <c:v>1125.709129952495</c:v>
                </c:pt>
                <c:pt idx="38">
                  <c:v>1102.3073228862261</c:v>
                </c:pt>
                <c:pt idx="39">
                  <c:v>1078.8128752662481</c:v>
                </c:pt>
                <c:pt idx="40">
                  <c:v>1055.2300440858251</c:v>
                </c:pt>
                <c:pt idx="41">
                  <c:v>1031.5646401848601</c:v>
                </c:pt>
                <c:pt idx="42">
                  <c:v>1007.823992042671</c:v>
                </c:pt>
                <c:pt idx="43">
                  <c:v>984.01690463206285</c:v>
                </c:pt>
                <c:pt idx="44">
                  <c:v>960.15361311344293</c:v>
                </c:pt>
                <c:pt idx="45">
                  <c:v>936.24573119360139</c:v>
                </c:pt>
                <c:pt idx="46">
                  <c:v>912.30619402274726</c:v>
                </c:pt>
                <c:pt idx="47">
                  <c:v>888.34919555488443</c:v>
                </c:pt>
                <c:pt idx="48">
                  <c:v>864.39012035059</c:v>
                </c:pt>
                <c:pt idx="49">
                  <c:v>840.4454698572705</c:v>
                </c:pt>
                <c:pt idx="50">
                  <c:v>816.53278325957206</c:v>
                </c:pt>
                <c:pt idx="51">
                  <c:v>792.67055305155054</c:v>
                </c:pt>
                <c:pt idx="52">
                  <c:v>768.87813554167815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54-4A07-92CC-FB0C2DCF4F71}"/>
            </c:ext>
          </c:extLst>
        </c:ser>
        <c:ser>
          <c:idx val="5"/>
          <c:order val="5"/>
          <c:tx>
            <c:strRef>
              <c:f>'增加值 (2001-2060, 2020RMB)'!$A$19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1220.6730223883801</c:v>
                </c:pt>
                <c:pt idx="16">
                  <c:v>1295.6052577683549</c:v>
                </c:pt>
                <c:pt idx="17">
                  <c:v>1368.6472204396794</c:v>
                </c:pt>
                <c:pt idx="18">
                  <c:v>1439.2523644372859</c:v>
                </c:pt>
                <c:pt idx="19">
                  <c:v>1506.919831980968</c:v>
                </c:pt>
                <c:pt idx="20">
                  <c:v>1571.202862339303</c:v>
                </c:pt>
                <c:pt idx="21">
                  <c:v>1631.715511775644</c:v>
                </c:pt>
                <c:pt idx="22">
                  <c:v>1688.1375929347344</c:v>
                </c:pt>
                <c:pt idx="23">
                  <c:v>1740.296706364014</c:v>
                </c:pt>
                <c:pt idx="24">
                  <c:v>1788.423654045371</c:v>
                </c:pt>
                <c:pt idx="25">
                  <c:v>1832.940817818745</c:v>
                </c:pt>
                <c:pt idx="26">
                  <c:v>1874.3758953961569</c:v>
                </c:pt>
                <c:pt idx="27">
                  <c:v>1913.35003803739</c:v>
                </c:pt>
                <c:pt idx="28">
                  <c:v>1950.417203731771</c:v>
                </c:pt>
                <c:pt idx="29">
                  <c:v>1985.583423528298</c:v>
                </c:pt>
                <c:pt idx="30">
                  <c:v>2018.7151696679671</c:v>
                </c:pt>
                <c:pt idx="31">
                  <c:v>2049.6844288372099</c:v>
                </c:pt>
                <c:pt idx="32">
                  <c:v>2078.3695124747892</c:v>
                </c:pt>
                <c:pt idx="33">
                  <c:v>2104.6558414852939</c:v>
                </c:pt>
                <c:pt idx="34">
                  <c:v>2128.4366983988461</c:v>
                </c:pt>
                <c:pt idx="35">
                  <c:v>2149.6139401724349</c:v>
                </c:pt>
                <c:pt idx="36">
                  <c:v>2168.0986650616519</c:v>
                </c:pt>
                <c:pt idx="37">
                  <c:v>2183.8118273018072</c:v>
                </c:pt>
                <c:pt idx="38">
                  <c:v>2196.684793721985</c:v>
                </c:pt>
                <c:pt idx="39">
                  <c:v>2206.6598368715181</c:v>
                </c:pt>
                <c:pt idx="40">
                  <c:v>2213.6905597612072</c:v>
                </c:pt>
                <c:pt idx="41">
                  <c:v>2217.7422479063289</c:v>
                </c:pt>
                <c:pt idx="42">
                  <c:v>2218.7921449986366</c:v>
                </c:pt>
                <c:pt idx="43">
                  <c:v>2216.8296492232889</c:v>
                </c:pt>
                <c:pt idx="44">
                  <c:v>2211.856427965919</c:v>
                </c:pt>
                <c:pt idx="45">
                  <c:v>2203.8864494166301</c:v>
                </c:pt>
                <c:pt idx="46">
                  <c:v>2192.9459303622239</c:v>
                </c:pt>
                <c:pt idx="47">
                  <c:v>2179.0732002562768</c:v>
                </c:pt>
                <c:pt idx="48">
                  <c:v>2162.318482458782</c:v>
                </c:pt>
                <c:pt idx="49">
                  <c:v>2142.743594333273</c:v>
                </c:pt>
                <c:pt idx="50">
                  <c:v>2120.4215686697639</c:v>
                </c:pt>
                <c:pt idx="51">
                  <c:v>2095.4361996565308</c:v>
                </c:pt>
                <c:pt idx="52">
                  <c:v>2067.8815173439084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4-4A07-92CC-FB0C2DCF4F71}"/>
            </c:ext>
          </c:extLst>
        </c:ser>
        <c:ser>
          <c:idx val="6"/>
          <c:order val="6"/>
          <c:tx>
            <c:strRef>
              <c:f>'增加值 (2001-2060, 2020RMB)'!$A$20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9.5177244304521853</c:v>
                </c:pt>
                <c:pt idx="16">
                  <c:v>9.7667730150912018</c:v>
                </c:pt>
                <c:pt idx="17">
                  <c:v>10.004643737418911</c:v>
                </c:pt>
                <c:pt idx="18">
                  <c:v>10.228193743879491</c:v>
                </c:pt>
                <c:pt idx="19">
                  <c:v>10.43415458859625</c:v>
                </c:pt>
                <c:pt idx="20">
                  <c:v>10.61917577812455</c:v>
                </c:pt>
                <c:pt idx="21">
                  <c:v>10.77987670268887</c:v>
                </c:pt>
                <c:pt idx="22">
                  <c:v>10.912906574444921</c:v>
                </c:pt>
                <c:pt idx="23">
                  <c:v>11.01615914840011</c:v>
                </c:pt>
                <c:pt idx="24">
                  <c:v>11.09234871729395</c:v>
                </c:pt>
                <c:pt idx="25">
                  <c:v>11.145666542245269</c:v>
                </c:pt>
                <c:pt idx="26">
                  <c:v>11.180557649110529</c:v>
                </c:pt>
                <c:pt idx="27">
                  <c:v>11.201635665186433</c:v>
                </c:pt>
                <c:pt idx="28">
                  <c:v>11.212795798457529</c:v>
                </c:pt>
                <c:pt idx="29">
                  <c:v>11.21470530619241</c:v>
                </c:pt>
                <c:pt idx="30">
                  <c:v>11.20723700756999</c:v>
                </c:pt>
                <c:pt idx="31">
                  <c:v>11.190287363210389</c:v>
                </c:pt>
                <c:pt idx="32">
                  <c:v>11.16377742488304</c:v>
                </c:pt>
                <c:pt idx="33">
                  <c:v>11.127653690060001</c:v>
                </c:pt>
                <c:pt idx="34">
                  <c:v>11.08188885300345</c:v>
                </c:pt>
                <c:pt idx="35">
                  <c:v>11.026482444529259</c:v>
                </c:pt>
                <c:pt idx="36">
                  <c:v>10.96146135312808</c:v>
                </c:pt>
                <c:pt idx="37">
                  <c:v>10.886880220747781</c:v>
                </c:pt>
                <c:pt idx="38">
                  <c:v>10.80282170724692</c:v>
                </c:pt>
                <c:pt idx="39">
                  <c:v>10.70939661831216</c:v>
                </c:pt>
                <c:pt idx="40">
                  <c:v>10.60674389248987</c:v>
                </c:pt>
                <c:pt idx="41">
                  <c:v>10.495030443907391</c:v>
                </c:pt>
                <c:pt idx="42">
                  <c:v>10.374450858246805</c:v>
                </c:pt>
                <c:pt idx="43">
                  <c:v>10.24522694057443</c:v>
                </c:pt>
                <c:pt idx="44">
                  <c:v>10.10760711471581</c:v>
                </c:pt>
                <c:pt idx="45">
                  <c:v>9.9618656749878784</c:v>
                </c:pt>
                <c:pt idx="46">
                  <c:v>9.8083018922479912</c:v>
                </c:pt>
                <c:pt idx="47">
                  <c:v>9.6472389773821785</c:v>
                </c:pt>
                <c:pt idx="48">
                  <c:v>9.4790229065210898</c:v>
                </c:pt>
                <c:pt idx="49">
                  <c:v>9.3040211134296111</c:v>
                </c:pt>
                <c:pt idx="50">
                  <c:v>9.1226210556533243</c:v>
                </c:pt>
                <c:pt idx="51">
                  <c:v>8.9352286621083454</c:v>
                </c:pt>
                <c:pt idx="52">
                  <c:v>8.7422666708598928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54-4A07-92CC-FB0C2DCF4F71}"/>
            </c:ext>
          </c:extLst>
        </c:ser>
        <c:ser>
          <c:idx val="7"/>
          <c:order val="7"/>
          <c:tx>
            <c:strRef>
              <c:f>'增加值 (2001-2060, 2020RMB)'!$A$21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12102.24716885043</c:v>
                </c:pt>
                <c:pt idx="16">
                  <c:v>12223.77381076753</c:v>
                </c:pt>
                <c:pt idx="17">
                  <c:v>12341.796712521056</c:v>
                </c:pt>
                <c:pt idx="18">
                  <c:v>12451.679351564761</c:v>
                </c:pt>
                <c:pt idx="19">
                  <c:v>12548.637788824341</c:v>
                </c:pt>
                <c:pt idx="20">
                  <c:v>12627.780198199451</c:v>
                </c:pt>
                <c:pt idx="21">
                  <c:v>12684.16486112496</c:v>
                </c:pt>
                <c:pt idx="22">
                  <c:v>12712.876725246702</c:v>
                </c:pt>
                <c:pt idx="23">
                  <c:v>12710.58361822852</c:v>
                </c:pt>
                <c:pt idx="24">
                  <c:v>12679.99949377381</c:v>
                </c:pt>
                <c:pt idx="25">
                  <c:v>12625.46561194186</c:v>
                </c:pt>
                <c:pt idx="26">
                  <c:v>12551.404574245051</c:v>
                </c:pt>
                <c:pt idx="27">
                  <c:v>12462.246781893375</c:v>
                </c:pt>
                <c:pt idx="28">
                  <c:v>12361.73908404955</c:v>
                </c:pt>
                <c:pt idx="29">
                  <c:v>12251.04783308771</c:v>
                </c:pt>
                <c:pt idx="30">
                  <c:v>12130.71344431947</c:v>
                </c:pt>
                <c:pt idx="31">
                  <c:v>12001.28933763737</c:v>
                </c:pt>
                <c:pt idx="32">
                  <c:v>11863.338744963859</c:v>
                </c:pt>
                <c:pt idx="33">
                  <c:v>11717.431623640119</c:v>
                </c:pt>
                <c:pt idx="34">
                  <c:v>11564.14169274308</c:v>
                </c:pt>
                <c:pt idx="35">
                  <c:v>11404.043607110139</c:v>
                </c:pt>
                <c:pt idx="36">
                  <c:v>11237.71028164483</c:v>
                </c:pt>
                <c:pt idx="37">
                  <c:v>11065.710376301109</c:v>
                </c:pt>
                <c:pt idx="38">
                  <c:v>10888.605950020639</c:v>
                </c:pt>
                <c:pt idx="39">
                  <c:v>10706.950289848681</c:v>
                </c:pt>
                <c:pt idx="40">
                  <c:v>10521.285919496981</c:v>
                </c:pt>
                <c:pt idx="41">
                  <c:v>10332.142789773459</c:v>
                </c:pt>
                <c:pt idx="42">
                  <c:v>10140.036651567907</c:v>
                </c:pt>
                <c:pt idx="43">
                  <c:v>9945.4676104839564</c:v>
                </c:pt>
                <c:pt idx="44">
                  <c:v>9748.9188607442866</c:v>
                </c:pt>
                <c:pt idx="45">
                  <c:v>9550.8555946756533</c:v>
                </c:pt>
                <c:pt idx="46">
                  <c:v>9351.7240829031052</c:v>
                </c:pt>
                <c:pt idx="47">
                  <c:v>9151.9509193522372</c:v>
                </c:pt>
                <c:pt idx="48">
                  <c:v>8951.9424242693221</c:v>
                </c:pt>
                <c:pt idx="49">
                  <c:v>8752.0841977220298</c:v>
                </c:pt>
                <c:pt idx="50">
                  <c:v>8552.74081543186</c:v>
                </c:pt>
                <c:pt idx="51">
                  <c:v>8354.2556583076421</c:v>
                </c:pt>
                <c:pt idx="52">
                  <c:v>8156.9508666910315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54-4A07-92CC-FB0C2DCF4F71}"/>
            </c:ext>
          </c:extLst>
        </c:ser>
        <c:ser>
          <c:idx val="8"/>
          <c:order val="8"/>
          <c:tx>
            <c:strRef>
              <c:f>'增加值 (2001-2060, 2020RMB)'!$A$22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6790.6707984691939</c:v>
                </c:pt>
                <c:pt idx="16">
                  <c:v>6948.5035438506866</c:v>
                </c:pt>
                <c:pt idx="17">
                  <c:v>7099.2571345209262</c:v>
                </c:pt>
                <c:pt idx="18">
                  <c:v>7240.6469784253586</c:v>
                </c:pt>
                <c:pt idx="19">
                  <c:v>7370.2889045366428</c:v>
                </c:pt>
                <c:pt idx="20">
                  <c:v>7485.7298180197577</c:v>
                </c:pt>
                <c:pt idx="21">
                  <c:v>7584.4852203338896</c:v>
                </c:pt>
                <c:pt idx="22">
                  <c:v>7664.0834126362952</c:v>
                </c:pt>
                <c:pt idx="23">
                  <c:v>7722.9596739942226</c:v>
                </c:pt>
                <c:pt idx="24">
                  <c:v>7763.0758328452694</c:v>
                </c:pt>
                <c:pt idx="25">
                  <c:v>7787.4441472442459</c:v>
                </c:pt>
                <c:pt idx="26">
                  <c:v>7799.2286712226432</c:v>
                </c:pt>
                <c:pt idx="27">
                  <c:v>7801.6864788675657</c:v>
                </c:pt>
                <c:pt idx="28">
                  <c:v>7797.5542286462423</c:v>
                </c:pt>
                <c:pt idx="29">
                  <c:v>7787.3183978504521</c:v>
                </c:pt>
                <c:pt idx="30">
                  <c:v>7770.9126568702404</c:v>
                </c:pt>
                <c:pt idx="31">
                  <c:v>7748.2859573436872</c:v>
                </c:pt>
                <c:pt idx="32">
                  <c:v>7719.4030945433951</c:v>
                </c:pt>
                <c:pt idx="33">
                  <c:v>7684.245209537853</c:v>
                </c:pt>
                <c:pt idx="34">
                  <c:v>7642.8102260617179</c:v>
                </c:pt>
                <c:pt idx="35">
                  <c:v>7595.1132173042333</c:v>
                </c:pt>
                <c:pt idx="36">
                  <c:v>7541.1866981539488</c:v>
                </c:pt>
                <c:pt idx="37">
                  <c:v>7481.0808388175255</c:v>
                </c:pt>
                <c:pt idx="38">
                  <c:v>7414.8635961610134</c:v>
                </c:pt>
                <c:pt idx="39">
                  <c:v>7342.6207596002841</c:v>
                </c:pt>
                <c:pt idx="40">
                  <c:v>7264.455908892347</c:v>
                </c:pt>
                <c:pt idx="41">
                  <c:v>7180.4902817456214</c:v>
                </c:pt>
                <c:pt idx="42">
                  <c:v>7090.8625497731555</c:v>
                </c:pt>
                <c:pt idx="43">
                  <c:v>6995.7285019524124</c:v>
                </c:pt>
                <c:pt idx="44">
                  <c:v>6895.2606354237996</c:v>
                </c:pt>
                <c:pt idx="45">
                  <c:v>6789.6476541523416</c:v>
                </c:pt>
                <c:pt idx="46">
                  <c:v>6679.0938766861909</c:v>
                </c:pt>
                <c:pt idx="47">
                  <c:v>6563.8185549655745</c:v>
                </c:pt>
                <c:pt idx="48">
                  <c:v>6444.0551068597824</c:v>
                </c:pt>
                <c:pt idx="49">
                  <c:v>6320.0502658297937</c:v>
                </c:pt>
                <c:pt idx="50">
                  <c:v>6192.0631518230357</c:v>
                </c:pt>
                <c:pt idx="51">
                  <c:v>6060.3642681975143</c:v>
                </c:pt>
                <c:pt idx="52">
                  <c:v>5925.234430136129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54-4A07-92CC-FB0C2DCF4F71}"/>
            </c:ext>
          </c:extLst>
        </c:ser>
        <c:ser>
          <c:idx val="9"/>
          <c:order val="9"/>
          <c:tx>
            <c:strRef>
              <c:f>'增加值 (2001-2060, 2020RMB)'!$A$23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7483.6637052869846</c:v>
                </c:pt>
                <c:pt idx="16">
                  <c:v>7688.3887252694194</c:v>
                </c:pt>
                <c:pt idx="17">
                  <c:v>7883.9562197631958</c:v>
                </c:pt>
                <c:pt idx="18">
                  <c:v>8067.9077612547726</c:v>
                </c:pt>
                <c:pt idx="19">
                  <c:v>8237.6918698552527</c:v>
                </c:pt>
                <c:pt idx="20">
                  <c:v>8390.6983662881703</c:v>
                </c:pt>
                <c:pt idx="21">
                  <c:v>8524.298924733941</c:v>
                </c:pt>
                <c:pt idx="22">
                  <c:v>8635.8934873394919</c:v>
                </c:pt>
                <c:pt idx="23">
                  <c:v>8723.852696087577</c:v>
                </c:pt>
                <c:pt idx="24">
                  <c:v>8790.2979117893246</c:v>
                </c:pt>
                <c:pt idx="25">
                  <c:v>8838.5132633981575</c:v>
                </c:pt>
                <c:pt idx="26">
                  <c:v>8871.9957692946391</c:v>
                </c:pt>
                <c:pt idx="27">
                  <c:v>8894.3875429306863</c:v>
                </c:pt>
                <c:pt idx="28">
                  <c:v>8908.7695209744179</c:v>
                </c:pt>
                <c:pt idx="29">
                  <c:v>8915.6604739096056</c:v>
                </c:pt>
                <c:pt idx="30">
                  <c:v>8914.9481251481102</c:v>
                </c:pt>
                <c:pt idx="31">
                  <c:v>8906.5395145999519</c:v>
                </c:pt>
                <c:pt idx="32">
                  <c:v>8890.3618038374861</c:v>
                </c:pt>
                <c:pt idx="33">
                  <c:v>8866.3630028305852</c:v>
                </c:pt>
                <c:pt idx="34">
                  <c:v>8834.5126112796897</c:v>
                </c:pt>
                <c:pt idx="35">
                  <c:v>8794.8021679544672</c:v>
                </c:pt>
                <c:pt idx="36">
                  <c:v>8747.2457018952991</c:v>
                </c:pt>
                <c:pt idx="37">
                  <c:v>8691.8800798579759</c:v>
                </c:pt>
                <c:pt idx="38">
                  <c:v>8628.765244970893</c:v>
                </c:pt>
                <c:pt idx="39">
                  <c:v>8557.9843422309877</c:v>
                </c:pt>
                <c:pt idx="40">
                  <c:v>8479.6437271807608</c:v>
                </c:pt>
                <c:pt idx="41">
                  <c:v>8393.8728548828876</c:v>
                </c:pt>
                <c:pt idx="42">
                  <c:v>8300.8240471342015</c:v>
                </c:pt>
                <c:pt idx="43">
                  <c:v>8200.6721367294031</c:v>
                </c:pt>
                <c:pt idx="44">
                  <c:v>8093.6139884928489</c:v>
                </c:pt>
                <c:pt idx="45">
                  <c:v>7979.8678977317659</c:v>
                </c:pt>
                <c:pt idx="46">
                  <c:v>7859.6728677223564</c:v>
                </c:pt>
                <c:pt idx="47">
                  <c:v>7733.2877688080234</c:v>
                </c:pt>
                <c:pt idx="48">
                  <c:v>7600.990382660525</c:v>
                </c:pt>
                <c:pt idx="49">
                  <c:v>7463.0763362168464</c:v>
                </c:pt>
                <c:pt idx="50">
                  <c:v>7319.8579307503778</c:v>
                </c:pt>
                <c:pt idx="51">
                  <c:v>7171.6628724496413</c:v>
                </c:pt>
                <c:pt idx="52">
                  <c:v>7018.8329117573767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54-4A07-92CC-FB0C2DCF4F71}"/>
            </c:ext>
          </c:extLst>
        </c:ser>
        <c:ser>
          <c:idx val="10"/>
          <c:order val="10"/>
          <c:tx>
            <c:strRef>
              <c:f>'增加值 (2001-2060, 2020RMB)'!$A$24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9191.6066129831506</c:v>
                </c:pt>
                <c:pt idx="16">
                  <c:v>9359.640178156953</c:v>
                </c:pt>
                <c:pt idx="17">
                  <c:v>9520.4745433777352</c:v>
                </c:pt>
                <c:pt idx="18">
                  <c:v>9670.8572573595848</c:v>
                </c:pt>
                <c:pt idx="19">
                  <c:v>9807.3912025479895</c:v>
                </c:pt>
                <c:pt idx="20">
                  <c:v>9926.574099003843</c:v>
                </c:pt>
                <c:pt idx="21">
                  <c:v>10024.849409416889</c:v>
                </c:pt>
                <c:pt idx="22">
                  <c:v>10098.668587856844</c:v>
                </c:pt>
                <c:pt idx="23">
                  <c:v>10145.760940784559</c:v>
                </c:pt>
                <c:pt idx="24">
                  <c:v>10168.82459018293</c:v>
                </c:pt>
                <c:pt idx="25">
                  <c:v>10171.971381345629</c:v>
                </c:pt>
                <c:pt idx="26">
                  <c:v>10159.45388049722</c:v>
                </c:pt>
                <c:pt idx="27">
                  <c:v>10135.590913829652</c:v>
                </c:pt>
                <c:pt idx="28">
                  <c:v>10103.980807165261</c:v>
                </c:pt>
                <c:pt idx="29">
                  <c:v>10065.294162901169</c:v>
                </c:pt>
                <c:pt idx="30">
                  <c:v>10019.484499132021</c:v>
                </c:pt>
                <c:pt idx="31">
                  <c:v>9966.5226147403246</c:v>
                </c:pt>
                <c:pt idx="32">
                  <c:v>9906.3971436601296</c:v>
                </c:pt>
                <c:pt idx="33">
                  <c:v>9839.1150433621915</c:v>
                </c:pt>
                <c:pt idx="34">
                  <c:v>9764.7020122686008</c:v>
                </c:pt>
                <c:pt idx="35">
                  <c:v>9683.2028310846708</c:v>
                </c:pt>
                <c:pt idx="36">
                  <c:v>9594.6816233724749</c:v>
                </c:pt>
                <c:pt idx="37">
                  <c:v>9499.2220310798839</c:v>
                </c:pt>
                <c:pt idx="38">
                  <c:v>9396.9273011834666</c:v>
                </c:pt>
                <c:pt idx="39">
                  <c:v>9287.9202800977801</c:v>
                </c:pt>
                <c:pt idx="40">
                  <c:v>9172.3433130494395</c:v>
                </c:pt>
                <c:pt idx="41">
                  <c:v>9050.3580462040245</c:v>
                </c:pt>
                <c:pt idx="42">
                  <c:v>8922.1451299684195</c:v>
                </c:pt>
                <c:pt idx="43">
                  <c:v>8787.9038225619352</c:v>
                </c:pt>
                <c:pt idx="44">
                  <c:v>8647.8514936554275</c:v>
                </c:pt>
                <c:pt idx="45">
                  <c:v>8502.2230286089489</c:v>
                </c:pt>
                <c:pt idx="46">
                  <c:v>8351.2701345932073</c:v>
                </c:pt>
                <c:pt idx="47">
                  <c:v>8195.2605506480359</c:v>
                </c:pt>
                <c:pt idx="48">
                  <c:v>8034.4771645068586</c:v>
                </c:pt>
                <c:pt idx="49">
                  <c:v>7869.217039792391</c:v>
                </c:pt>
                <c:pt idx="50">
                  <c:v>7699.7903579554122</c:v>
                </c:pt>
                <c:pt idx="51">
                  <c:v>7526.5192800809245</c:v>
                </c:pt>
                <c:pt idx="52">
                  <c:v>7349.7367344125441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4-4A07-92CC-FB0C2DCF4F71}"/>
            </c:ext>
          </c:extLst>
        </c:ser>
        <c:ser>
          <c:idx val="11"/>
          <c:order val="11"/>
          <c:tx>
            <c:strRef>
              <c:f>'增加值 (2001-2060, 2020RMB)'!$A$25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8038.9557424914483</c:v>
                </c:pt>
                <c:pt idx="16">
                  <c:v>7976.5016557871177</c:v>
                </c:pt>
                <c:pt idx="17">
                  <c:v>7926.7691374140704</c:v>
                </c:pt>
                <c:pt idx="18">
                  <c:v>7884.2677887186228</c:v>
                </c:pt>
                <c:pt idx="19">
                  <c:v>7843.6536571655606</c:v>
                </c:pt>
                <c:pt idx="20">
                  <c:v>7799.6984931656616</c:v>
                </c:pt>
                <c:pt idx="21">
                  <c:v>7747.2944661080228</c:v>
                </c:pt>
                <c:pt idx="22">
                  <c:v>7681.4928894996883</c:v>
                </c:pt>
                <c:pt idx="23">
                  <c:v>7598.9422240720269</c:v>
                </c:pt>
                <c:pt idx="24">
                  <c:v>7501.9432267446846</c:v>
                </c:pt>
                <c:pt idx="25">
                  <c:v>7394.1259884734754</c:v>
                </c:pt>
                <c:pt idx="26">
                  <c:v>7278.9993923362044</c:v>
                </c:pt>
                <c:pt idx="27">
                  <c:v>7159.9106916108158</c:v>
                </c:pt>
                <c:pt idx="28">
                  <c:v>7039.520261486774</c:v>
                </c:pt>
                <c:pt idx="29">
                  <c:v>6918.3579061781511</c:v>
                </c:pt>
                <c:pt idx="30">
                  <c:v>6796.4416018663551</c:v>
                </c:pt>
                <c:pt idx="31">
                  <c:v>6673.7948587185947</c:v>
                </c:pt>
                <c:pt idx="32">
                  <c:v>6550.446643655423</c:v>
                </c:pt>
                <c:pt idx="33">
                  <c:v>6426.4312893071528</c:v>
                </c:pt>
                <c:pt idx="34">
                  <c:v>6301.78838855301</c:v>
                </c:pt>
                <c:pt idx="35">
                  <c:v>6176.5626741211136</c:v>
                </c:pt>
                <c:pt idx="36">
                  <c:v>6050.8038828157687</c:v>
                </c:pt>
                <c:pt idx="37">
                  <c:v>5924.566604033882</c:v>
                </c:pt>
                <c:pt idx="38">
                  <c:v>5797.9101123321798</c:v>
                </c:pt>
                <c:pt idx="39">
                  <c:v>5670.8981839119033</c:v>
                </c:pt>
                <c:pt idx="40">
                  <c:v>5543.5988969970394</c:v>
                </c:pt>
                <c:pt idx="41">
                  <c:v>5416.0844161955383</c:v>
                </c:pt>
                <c:pt idx="42">
                  <c:v>5288.4307610491551</c:v>
                </c:pt>
                <c:pt idx="43">
                  <c:v>5160.7175590970492</c:v>
                </c:pt>
                <c:pt idx="44">
                  <c:v>5033.0277838984666</c:v>
                </c:pt>
                <c:pt idx="45">
                  <c:v>4905.4474785821467</c:v>
                </c:pt>
                <c:pt idx="46">
                  <c:v>4778.0654656113948</c:v>
                </c:pt>
                <c:pt idx="47">
                  <c:v>4650.9730435748324</c:v>
                </c:pt>
                <c:pt idx="48">
                  <c:v>4524.2636719317234</c:v>
                </c:pt>
                <c:pt idx="49">
                  <c:v>4398.0326447566522</c:v>
                </c:pt>
                <c:pt idx="50">
                  <c:v>4272.3767546405388</c:v>
                </c:pt>
                <c:pt idx="51">
                  <c:v>4147.3939480117142</c:v>
                </c:pt>
                <c:pt idx="52">
                  <c:v>4023.1829732417982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54-4A07-92CC-FB0C2DCF4F71}"/>
            </c:ext>
          </c:extLst>
        </c:ser>
        <c:ser>
          <c:idx val="12"/>
          <c:order val="12"/>
          <c:tx>
            <c:strRef>
              <c:f>'增加值 (2001-2060, 2020RMB)'!$A$26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5106.4069660561627</c:v>
                </c:pt>
                <c:pt idx="16">
                  <c:v>5079.5148989097461</c:v>
                </c:pt>
                <c:pt idx="17">
                  <c:v>5060.0185548939216</c:v>
                </c:pt>
                <c:pt idx="18">
                  <c:v>5044.4649467772306</c:v>
                </c:pt>
                <c:pt idx="19">
                  <c:v>5029.4594150621797</c:v>
                </c:pt>
                <c:pt idx="20">
                  <c:v>5011.6505345525366</c:v>
                </c:pt>
                <c:pt idx="21">
                  <c:v>4987.7375803124833</c:v>
                </c:pt>
                <c:pt idx="22">
                  <c:v>4954.4999502738756</c:v>
                </c:pt>
                <c:pt idx="23">
                  <c:v>4909.7389864256029</c:v>
                </c:pt>
                <c:pt idx="24">
                  <c:v>4854.9378312392873</c:v>
                </c:pt>
                <c:pt idx="25">
                  <c:v>4792.4637601988043</c:v>
                </c:pt>
                <c:pt idx="26">
                  <c:v>4724.6223693300699</c:v>
                </c:pt>
                <c:pt idx="27">
                  <c:v>4653.6280644611879</c:v>
                </c:pt>
                <c:pt idx="28">
                  <c:v>4581.2549076816267</c:v>
                </c:pt>
                <c:pt idx="29">
                  <c:v>4507.8787553352286</c:v>
                </c:pt>
                <c:pt idx="30">
                  <c:v>4433.5381802292941</c:v>
                </c:pt>
                <c:pt idx="31">
                  <c:v>4358.2748015491934</c:v>
                </c:pt>
                <c:pt idx="32">
                  <c:v>4282.1332125610097</c:v>
                </c:pt>
                <c:pt idx="33">
                  <c:v>4205.1608978080012</c:v>
                </c:pt>
                <c:pt idx="34">
                  <c:v>4127.4081397707641</c:v>
                </c:pt>
                <c:pt idx="35">
                  <c:v>4048.9279150171619</c:v>
                </c:pt>
                <c:pt idx="36">
                  <c:v>3969.7757799265842</c:v>
                </c:pt>
                <c:pt idx="37">
                  <c:v>3890.0097461328919</c:v>
                </c:pt>
                <c:pt idx="38">
                  <c:v>3809.6901458918401</c:v>
                </c:pt>
                <c:pt idx="39">
                  <c:v>3728.8794876407069</c:v>
                </c:pt>
                <c:pt idx="40">
                  <c:v>3647.6423020807752</c:v>
                </c:pt>
                <c:pt idx="41">
                  <c:v>3566.0449791754581</c:v>
                </c:pt>
                <c:pt idx="42">
                  <c:v>3484.1555965198536</c:v>
                </c:pt>
                <c:pt idx="43">
                  <c:v>3402.0437395982881</c:v>
                </c:pt>
                <c:pt idx="44">
                  <c:v>3319.7803145068078</c:v>
                </c:pt>
                <c:pt idx="45">
                  <c:v>3237.4373537757529</c:v>
                </c:pt>
                <c:pt idx="46">
                  <c:v>3155.087815983376</c:v>
                </c:pt>
                <c:pt idx="47">
                  <c:v>3072.8053799046229</c:v>
                </c:pt>
                <c:pt idx="48">
                  <c:v>2990.6642339887781</c:v>
                </c:pt>
                <c:pt idx="49">
                  <c:v>2908.7388620057909</c:v>
                </c:pt>
                <c:pt idx="50">
                  <c:v>2827.1038257425421</c:v>
                </c:pt>
                <c:pt idx="51">
                  <c:v>2745.8335456673431</c:v>
                </c:pt>
                <c:pt idx="52">
                  <c:v>2665.0020805126082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54-4A07-92CC-FB0C2DCF4F71}"/>
            </c:ext>
          </c:extLst>
        </c:ser>
        <c:ser>
          <c:idx val="13"/>
          <c:order val="13"/>
          <c:tx>
            <c:strRef>
              <c:f>'增加值 (2001-2060, 2020RMB)'!$A$27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3327.747243294622</c:v>
                </c:pt>
                <c:pt idx="16">
                  <c:v>3306.075530343322</c:v>
                </c:pt>
                <c:pt idx="17">
                  <c:v>3288.3290058768653</c:v>
                </c:pt>
                <c:pt idx="18">
                  <c:v>3272.5496936877589</c:v>
                </c:pt>
                <c:pt idx="19">
                  <c:v>3256.8231215807282</c:v>
                </c:pt>
                <c:pt idx="20">
                  <c:v>3239.2724130946481</c:v>
                </c:pt>
                <c:pt idx="21">
                  <c:v>3218.063360690001</c:v>
                </c:pt>
                <c:pt idx="22">
                  <c:v>3191.4200475379284</c:v>
                </c:pt>
                <c:pt idx="23">
                  <c:v>3158.1649621037141</c:v>
                </c:pt>
                <c:pt idx="24">
                  <c:v>3119.2441782936462</c:v>
                </c:pt>
                <c:pt idx="25">
                  <c:v>3076.1015908090671</c:v>
                </c:pt>
                <c:pt idx="26">
                  <c:v>3030.1332932078808</c:v>
                </c:pt>
                <c:pt idx="27">
                  <c:v>2982.6724910819357</c:v>
                </c:pt>
                <c:pt idx="28">
                  <c:v>2934.776156572555</c:v>
                </c:pt>
                <c:pt idx="29">
                  <c:v>2886.6351943632658</c:v>
                </c:pt>
                <c:pt idx="30">
                  <c:v>2838.232973167912</c:v>
                </c:pt>
                <c:pt idx="31">
                  <c:v>2789.5561657462631</c:v>
                </c:pt>
                <c:pt idx="32">
                  <c:v>2740.5947438804251</c:v>
                </c:pt>
                <c:pt idx="33">
                  <c:v>2691.3419692798361</c:v>
                </c:pt>
                <c:pt idx="34">
                  <c:v>2641.7943795717829</c:v>
                </c:pt>
                <c:pt idx="35">
                  <c:v>2591.9517685678752</c:v>
                </c:pt>
                <c:pt idx="36">
                  <c:v>2541.8171600347919</c:v>
                </c:pt>
                <c:pt idx="37">
                  <c:v>2491.3967742411519</c:v>
                </c:pt>
                <c:pt idx="38">
                  <c:v>2440.699986600961</c:v>
                </c:pt>
                <c:pt idx="39">
                  <c:v>2389.7392777887139</c:v>
                </c:pt>
                <c:pt idx="40">
                  <c:v>2338.5301747611938</c:v>
                </c:pt>
                <c:pt idx="41">
                  <c:v>2287.0911821870768</c:v>
                </c:pt>
                <c:pt idx="42">
                  <c:v>2235.4437038569495</c:v>
                </c:pt>
                <c:pt idx="43">
                  <c:v>2183.611953723575</c:v>
                </c:pt>
                <c:pt idx="44">
                  <c:v>2131.6228563045911</c:v>
                </c:pt>
                <c:pt idx="45">
                  <c:v>2079.505936267346</c:v>
                </c:pt>
                <c:pt idx="46">
                  <c:v>2027.293197107492</c:v>
                </c:pt>
                <c:pt idx="47">
                  <c:v>1975.01898892895</c:v>
                </c:pt>
                <c:pt idx="48">
                  <c:v>1922.719865432284</c:v>
                </c:pt>
                <c:pt idx="49">
                  <c:v>1870.434430320644</c:v>
                </c:pt>
                <c:pt idx="50">
                  <c:v>1818.2031734364909</c:v>
                </c:pt>
                <c:pt idx="51">
                  <c:v>1766.0682970474261</c:v>
                </c:pt>
                <c:pt idx="52">
                  <c:v>1714.0735328046619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54-4A07-92CC-FB0C2DCF4F71}"/>
            </c:ext>
          </c:extLst>
        </c:ser>
        <c:ser>
          <c:idx val="14"/>
          <c:order val="14"/>
          <c:tx>
            <c:strRef>
              <c:f>'增加值 (2001-2060, 2020RMB)'!$A$28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3090.3396817543749</c:v>
                </c:pt>
                <c:pt idx="16">
                  <c:v>3112.7171574657568</c:v>
                </c:pt>
                <c:pt idx="17">
                  <c:v>3134.9506671401878</c:v>
                </c:pt>
                <c:pt idx="18">
                  <c:v>3155.7233849224549</c:v>
                </c:pt>
                <c:pt idx="19">
                  <c:v>3173.685342892893</c:v>
                </c:pt>
                <c:pt idx="20">
                  <c:v>3187.4624727736391</c:v>
                </c:pt>
                <c:pt idx="21">
                  <c:v>3195.6714741286041</c:v>
                </c:pt>
                <c:pt idx="22">
                  <c:v>3196.94053563846</c:v>
                </c:pt>
                <c:pt idx="23">
                  <c:v>3190.3749770807981</c:v>
                </c:pt>
                <c:pt idx="24">
                  <c:v>3176.890065891268</c:v>
                </c:pt>
                <c:pt idx="25">
                  <c:v>3157.870159286319</c:v>
                </c:pt>
                <c:pt idx="26">
                  <c:v>3134.7024318482331</c:v>
                </c:pt>
                <c:pt idx="27">
                  <c:v>3108.7563350830037</c:v>
                </c:pt>
                <c:pt idx="28">
                  <c:v>3081.1500480662398</c:v>
                </c:pt>
                <c:pt idx="29">
                  <c:v>3052.1010289170949</c:v>
                </c:pt>
                <c:pt idx="30">
                  <c:v>3021.607796263133</c:v>
                </c:pt>
                <c:pt idx="31">
                  <c:v>2989.672716570954</c:v>
                </c:pt>
                <c:pt idx="32">
                  <c:v>2956.3020942415319</c:v>
                </c:pt>
                <c:pt idx="33">
                  <c:v>2921.506248670677</c:v>
                </c:pt>
                <c:pt idx="34">
                  <c:v>2885.2995772180338</c:v>
                </c:pt>
                <c:pt idx="35">
                  <c:v>2847.7006030754842</c:v>
                </c:pt>
                <c:pt idx="36">
                  <c:v>2808.7320070842379</c:v>
                </c:pt>
                <c:pt idx="37">
                  <c:v>2768.4206426187102</c:v>
                </c:pt>
                <c:pt idx="38">
                  <c:v>2726.797532735141</c:v>
                </c:pt>
                <c:pt idx="39">
                  <c:v>2683.8978488733228</c:v>
                </c:pt>
                <c:pt idx="40">
                  <c:v>2639.7608705003981</c:v>
                </c:pt>
                <c:pt idx="41">
                  <c:v>2594.4299251965499</c:v>
                </c:pt>
                <c:pt idx="42">
                  <c:v>2547.9523088024712</c:v>
                </c:pt>
                <c:pt idx="43">
                  <c:v>2500.3791853774801</c:v>
                </c:pt>
                <c:pt idx="44">
                  <c:v>2451.7654668540981</c:v>
                </c:pt>
                <c:pt idx="45">
                  <c:v>2402.1696724189078</c:v>
                </c:pt>
                <c:pt idx="46">
                  <c:v>2351.6537677994061</c:v>
                </c:pt>
                <c:pt idx="47">
                  <c:v>2300.2829847914791</c:v>
                </c:pt>
                <c:pt idx="48">
                  <c:v>2248.1256215201952</c:v>
                </c:pt>
                <c:pt idx="49">
                  <c:v>2195.2528240870079</c:v>
                </c:pt>
                <c:pt idx="50">
                  <c:v>2141.7383504171012</c:v>
                </c:pt>
                <c:pt idx="51">
                  <c:v>2087.658317280489</c:v>
                </c:pt>
                <c:pt idx="52">
                  <c:v>2033.0909316172163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54-4A07-92CC-FB0C2DCF4F71}"/>
            </c:ext>
          </c:extLst>
        </c:ser>
        <c:ser>
          <c:idx val="15"/>
          <c:order val="15"/>
          <c:tx>
            <c:strRef>
              <c:f>'增加值 (2001-2060, 2020RMB)'!$A$29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1812.3438943073929</c:v>
                </c:pt>
                <c:pt idx="16">
                  <c:v>1823.4025501270271</c:v>
                </c:pt>
                <c:pt idx="17">
                  <c:v>1834.5372885830832</c:v>
                </c:pt>
                <c:pt idx="18">
                  <c:v>1844.9572462320771</c:v>
                </c:pt>
                <c:pt idx="19">
                  <c:v>1853.8542505517551</c:v>
                </c:pt>
                <c:pt idx="20">
                  <c:v>1860.4076871438031</c:v>
                </c:pt>
                <c:pt idx="21">
                  <c:v>1863.792937419495</c:v>
                </c:pt>
                <c:pt idx="22">
                  <c:v>1863.1933970966927</c:v>
                </c:pt>
                <c:pt idx="23">
                  <c:v>1858.0756131560131</c:v>
                </c:pt>
                <c:pt idx="24">
                  <c:v>1848.9757279681271</c:v>
                </c:pt>
                <c:pt idx="25">
                  <c:v>1836.7046177301499</c:v>
                </c:pt>
                <c:pt idx="26">
                  <c:v>1822.0723086012631</c:v>
                </c:pt>
                <c:pt idx="27">
                  <c:v>1805.8762287031284</c:v>
                </c:pt>
                <c:pt idx="28">
                  <c:v>1788.766041175606</c:v>
                </c:pt>
                <c:pt idx="29">
                  <c:v>1770.8680404723209</c:v>
                </c:pt>
                <c:pt idx="30">
                  <c:v>1752.1814224566519</c:v>
                </c:pt>
                <c:pt idx="31">
                  <c:v>1732.707555784913</c:v>
                </c:pt>
                <c:pt idx="32">
                  <c:v>1712.450030402109</c:v>
                </c:pt>
                <c:pt idx="33">
                  <c:v>1691.414698848557</c:v>
                </c:pt>
                <c:pt idx="34">
                  <c:v>1669.609709785884</c:v>
                </c:pt>
                <c:pt idx="35">
                  <c:v>1647.045533177002</c:v>
                </c:pt>
                <c:pt idx="36">
                  <c:v>1623.7349765864931</c:v>
                </c:pt>
                <c:pt idx="37">
                  <c:v>1599.6931921057219</c:v>
                </c:pt>
                <c:pt idx="38">
                  <c:v>1574.937673450984</c:v>
                </c:pt>
                <c:pt idx="39">
                  <c:v>1549.488242832638</c:v>
                </c:pt>
                <c:pt idx="40">
                  <c:v>1523.3670272488939</c:v>
                </c:pt>
                <c:pt idx="41">
                  <c:v>1496.598423919057</c:v>
                </c:pt>
                <c:pt idx="42">
                  <c:v>1469.2090546375553</c:v>
                </c:pt>
                <c:pt idx="43">
                  <c:v>1441.227708901562</c:v>
                </c:pt>
                <c:pt idx="44">
                  <c:v>1412.6852757410061</c:v>
                </c:pt>
                <c:pt idx="45">
                  <c:v>1383.614664259818</c:v>
                </c:pt>
                <c:pt idx="46">
                  <c:v>1354.0507129806949</c:v>
                </c:pt>
                <c:pt idx="47">
                  <c:v>1324.030088171937</c:v>
                </c:pt>
                <c:pt idx="48">
                  <c:v>1293.5911714232029</c:v>
                </c:pt>
                <c:pt idx="49">
                  <c:v>1262.773936826597</c:v>
                </c:pt>
                <c:pt idx="50">
                  <c:v>1231.6198182094911</c:v>
                </c:pt>
                <c:pt idx="51">
                  <c:v>1200.1715669550481</c:v>
                </c:pt>
                <c:pt idx="52">
                  <c:v>1168.4731010344371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54-4A07-92CC-FB0C2DCF4F71}"/>
            </c:ext>
          </c:extLst>
        </c:ser>
        <c:ser>
          <c:idx val="16"/>
          <c:order val="16"/>
          <c:tx>
            <c:strRef>
              <c:f>'增加值 (2001-2060, 2020RMB)'!$A$30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4105.0235933320291</c:v>
                </c:pt>
                <c:pt idx="16">
                  <c:v>4122.9583349077566</c:v>
                </c:pt>
                <c:pt idx="17">
                  <c:v>4145.1781604857952</c:v>
                </c:pt>
                <c:pt idx="18">
                  <c:v>4168.9514073451237</c:v>
                </c:pt>
                <c:pt idx="19">
                  <c:v>4191.4882281878045</c:v>
                </c:pt>
                <c:pt idx="20">
                  <c:v>4209.9395893093988</c:v>
                </c:pt>
                <c:pt idx="21">
                  <c:v>4221.415322330894</c:v>
                </c:pt>
                <c:pt idx="22">
                  <c:v>4223.0217180521358</c:v>
                </c:pt>
                <c:pt idx="23">
                  <c:v>4212.7099999479096</c:v>
                </c:pt>
                <c:pt idx="24">
                  <c:v>4191.690391733131</c:v>
                </c:pt>
                <c:pt idx="25">
                  <c:v>4162.0201276024391</c:v>
                </c:pt>
                <c:pt idx="26">
                  <c:v>4125.7647532938718</c:v>
                </c:pt>
                <c:pt idx="27">
                  <c:v>4084.9619296999763</c:v>
                </c:pt>
                <c:pt idx="28">
                  <c:v>4041.2891286749732</c:v>
                </c:pt>
                <c:pt idx="29">
                  <c:v>3995.1565042037191</c:v>
                </c:pt>
                <c:pt idx="30">
                  <c:v>3946.6659937692129</c:v>
                </c:pt>
                <c:pt idx="31">
                  <c:v>3895.9232306390968</c:v>
                </c:pt>
                <c:pt idx="32">
                  <c:v>3843.0371693982752</c:v>
                </c:pt>
                <c:pt idx="33">
                  <c:v>3788.1197059471542</c:v>
                </c:pt>
                <c:pt idx="34">
                  <c:v>3731.2852937633979</c:v>
                </c:pt>
                <c:pt idx="35">
                  <c:v>3672.6505582073219</c:v>
                </c:pt>
                <c:pt idx="36">
                  <c:v>3612.3339106221051</c:v>
                </c:pt>
                <c:pt idx="37">
                  <c:v>3550.4551639420829</c:v>
                </c:pt>
                <c:pt idx="38">
                  <c:v>3487.1351514746721</c:v>
                </c:pt>
                <c:pt idx="39">
                  <c:v>3422.4953504655318</c:v>
                </c:pt>
                <c:pt idx="40">
                  <c:v>3356.6575119921658</c:v>
                </c:pt>
                <c:pt idx="41">
                  <c:v>3289.7432986597951</c:v>
                </c:pt>
                <c:pt idx="42">
                  <c:v>3221.8739314946838</c:v>
                </c:pt>
                <c:pt idx="43">
                  <c:v>3153.1698473459269</c:v>
                </c:pt>
                <c:pt idx="44">
                  <c:v>3083.7503680167251</c:v>
                </c:pt>
                <c:pt idx="45">
                  <c:v>3013.7333822520118</c:v>
                </c:pt>
                <c:pt idx="46">
                  <c:v>2943.2350416114318</c:v>
                </c:pt>
                <c:pt idx="47">
                  <c:v>2872.3694711548701</c:v>
                </c:pt>
                <c:pt idx="48">
                  <c:v>2801.2484957651959</c:v>
                </c:pt>
                <c:pt idx="49">
                  <c:v>2729.9813828271949</c:v>
                </c:pt>
                <c:pt idx="50">
                  <c:v>2658.6746018764138</c:v>
                </c:pt>
                <c:pt idx="51">
                  <c:v>2587.4316017256169</c:v>
                </c:pt>
                <c:pt idx="52">
                  <c:v>2516.3526054714862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54-4A07-92CC-FB0C2DCF4F71}"/>
            </c:ext>
          </c:extLst>
        </c:ser>
        <c:ser>
          <c:idx val="17"/>
          <c:order val="17"/>
          <c:tx>
            <c:strRef>
              <c:f>'增加值 (2001-2060, 2020RMB)'!$A$31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1984.347618336177</c:v>
                </c:pt>
                <c:pt idx="16">
                  <c:v>2019.897745451452</c:v>
                </c:pt>
                <c:pt idx="17">
                  <c:v>2053.9350998983955</c:v>
                </c:pt>
                <c:pt idx="18">
                  <c:v>2085.7542679607691</c:v>
                </c:pt>
                <c:pt idx="19">
                  <c:v>2114.6185965654581</c:v>
                </c:pt>
                <c:pt idx="20">
                  <c:v>2139.7686752770492</c:v>
                </c:pt>
                <c:pt idx="21">
                  <c:v>2160.4333149574359</c:v>
                </c:pt>
                <c:pt idx="22">
                  <c:v>2175.8430133360353</c:v>
                </c:pt>
                <c:pt idx="23">
                  <c:v>2185.5050092531269</c:v>
                </c:pt>
                <c:pt idx="24">
                  <c:v>2190.002304548048</c:v>
                </c:pt>
                <c:pt idx="25">
                  <c:v>2190.2229735350238</c:v>
                </c:pt>
                <c:pt idx="26">
                  <c:v>2187.0844664977858</c:v>
                </c:pt>
                <c:pt idx="27">
                  <c:v>2181.5176210319082</c:v>
                </c:pt>
                <c:pt idx="28">
                  <c:v>2174.2974929727588</c:v>
                </c:pt>
                <c:pt idx="29">
                  <c:v>2165.5689253407459</c:v>
                </c:pt>
                <c:pt idx="30">
                  <c:v>2155.32243885762</c:v>
                </c:pt>
                <c:pt idx="31">
                  <c:v>2143.5522340546572</c:v>
                </c:pt>
                <c:pt idx="32">
                  <c:v>2130.2563081666581</c:v>
                </c:pt>
                <c:pt idx="33">
                  <c:v>2115.436558055329</c:v>
                </c:pt>
                <c:pt idx="34">
                  <c:v>2099.0988680405021</c:v>
                </c:pt>
                <c:pt idx="35">
                  <c:v>2081.253181576998</c:v>
                </c:pt>
                <c:pt idx="36">
                  <c:v>2061.913555785949</c:v>
                </c:pt>
                <c:pt idx="37">
                  <c:v>2041.098197931879</c:v>
                </c:pt>
                <c:pt idx="38">
                  <c:v>2018.82948303068</c:v>
                </c:pt>
                <c:pt idx="39">
                  <c:v>1995.1339518783891</c:v>
                </c:pt>
                <c:pt idx="40">
                  <c:v>1970.042288906028</c:v>
                </c:pt>
                <c:pt idx="41">
                  <c:v>1943.5892793908299</c:v>
                </c:pt>
                <c:pt idx="42">
                  <c:v>1915.8137456883092</c:v>
                </c:pt>
                <c:pt idx="43">
                  <c:v>1886.7584622920999</c:v>
                </c:pt>
                <c:pt idx="44">
                  <c:v>1856.470049677723</c:v>
                </c:pt>
                <c:pt idx="45">
                  <c:v>1824.998847041795</c:v>
                </c:pt>
                <c:pt idx="46">
                  <c:v>1792.3987642081329</c:v>
                </c:pt>
                <c:pt idx="47">
                  <c:v>1758.727113135104</c:v>
                </c:pt>
                <c:pt idx="48">
                  <c:v>1724.044419623355</c:v>
                </c:pt>
                <c:pt idx="49">
                  <c:v>1688.4142159876949</c:v>
                </c:pt>
                <c:pt idx="50">
                  <c:v>1651.9028156199679</c:v>
                </c:pt>
                <c:pt idx="51">
                  <c:v>1614.5790705294289</c:v>
                </c:pt>
                <c:pt idx="52">
                  <c:v>1576.5141131017122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54-4A07-92CC-FB0C2DCF4F71}"/>
            </c:ext>
          </c:extLst>
        </c:ser>
        <c:ser>
          <c:idx val="18"/>
          <c:order val="18"/>
          <c:tx>
            <c:strRef>
              <c:f>'增加值 (2001-2060, 2020RMB)'!$A$32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2363.4193744292638</c:v>
                </c:pt>
                <c:pt idx="16">
                  <c:v>2391.7159523911441</c:v>
                </c:pt>
                <c:pt idx="17">
                  <c:v>2419.0924503587726</c:v>
                </c:pt>
                <c:pt idx="18">
                  <c:v>2444.6289570148369</c:v>
                </c:pt>
                <c:pt idx="19">
                  <c:v>2467.3719311555969</c:v>
                </c:pt>
                <c:pt idx="20">
                  <c:v>2486.342956067368</c:v>
                </c:pt>
                <c:pt idx="21">
                  <c:v>2500.5512184799741</c:v>
                </c:pt>
                <c:pt idx="22">
                  <c:v>2509.0097360210475</c:v>
                </c:pt>
                <c:pt idx="23">
                  <c:v>2511.079565496369</c:v>
                </c:pt>
                <c:pt idx="24">
                  <c:v>2507.461127212981</c:v>
                </c:pt>
                <c:pt idx="25">
                  <c:v>2499.215617356323</c:v>
                </c:pt>
                <c:pt idx="26">
                  <c:v>2487.4204448462938</c:v>
                </c:pt>
                <c:pt idx="27">
                  <c:v>2473.1519711962324</c:v>
                </c:pt>
                <c:pt idx="28">
                  <c:v>2457.296956646921</c:v>
                </c:pt>
                <c:pt idx="29">
                  <c:v>2440.0264740249149</c:v>
                </c:pt>
                <c:pt idx="30">
                  <c:v>2421.3370221337459</c:v>
                </c:pt>
                <c:pt idx="31">
                  <c:v>2401.228594747618</c:v>
                </c:pt>
                <c:pt idx="32">
                  <c:v>2379.704775733298</c:v>
                </c:pt>
                <c:pt idx="33">
                  <c:v>2356.772821532601</c:v>
                </c:pt>
                <c:pt idx="34">
                  <c:v>2332.4437300073591</c:v>
                </c:pt>
                <c:pt idx="35">
                  <c:v>2306.7322946978829</c:v>
                </c:pt>
                <c:pt idx="36">
                  <c:v>2279.6571436052909</c:v>
                </c:pt>
                <c:pt idx="37">
                  <c:v>2251.2407616776859</c:v>
                </c:pt>
                <c:pt idx="38">
                  <c:v>2221.5094962600642</c:v>
                </c:pt>
                <c:pt idx="39">
                  <c:v>2190.4935448576898</c:v>
                </c:pt>
                <c:pt idx="40">
                  <c:v>2158.226924662114</c:v>
                </c:pt>
                <c:pt idx="41">
                  <c:v>2124.7474233977869</c:v>
                </c:pt>
                <c:pt idx="42">
                  <c:v>2090.0965311644181</c:v>
                </c:pt>
                <c:pt idx="43">
                  <c:v>2054.3193530754561</c:v>
                </c:pt>
                <c:pt idx="44">
                  <c:v>2017.4645026251869</c:v>
                </c:pt>
                <c:pt idx="45">
                  <c:v>1979.583975855264</c:v>
                </c:pt>
                <c:pt idx="46">
                  <c:v>1940.733006534497</c:v>
                </c:pt>
                <c:pt idx="47">
                  <c:v>1900.9699027128779</c:v>
                </c:pt>
                <c:pt idx="48">
                  <c:v>1860.3558651600069</c:v>
                </c:pt>
                <c:pt idx="49">
                  <c:v>1818.9547883485491</c:v>
                </c:pt>
                <c:pt idx="50">
                  <c:v>1776.8330447933581</c:v>
                </c:pt>
                <c:pt idx="51">
                  <c:v>1734.0592537047651</c:v>
                </c:pt>
                <c:pt idx="52">
                  <c:v>1690.7040350590557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154-4A07-92CC-FB0C2DCF4F71}"/>
            </c:ext>
          </c:extLst>
        </c:ser>
        <c:ser>
          <c:idx val="19"/>
          <c:order val="19"/>
          <c:tx>
            <c:strRef>
              <c:f>'增加值 (2001-2060, 2020RMB)'!$A$33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6212.6356384524033</c:v>
                </c:pt>
                <c:pt idx="16">
                  <c:v>6212.5178315713874</c:v>
                </c:pt>
                <c:pt idx="17">
                  <c:v>6219.8923618994813</c:v>
                </c:pt>
                <c:pt idx="18">
                  <c:v>6230.6123497241188</c:v>
                </c:pt>
                <c:pt idx="19">
                  <c:v>6240.5148538431677</c:v>
                </c:pt>
                <c:pt idx="20">
                  <c:v>6245.4124346104009</c:v>
                </c:pt>
                <c:pt idx="21">
                  <c:v>6241.1126876466888</c:v>
                </c:pt>
                <c:pt idx="22">
                  <c:v>6223.465815366103</c:v>
                </c:pt>
                <c:pt idx="23">
                  <c:v>6189.5847025714238</c:v>
                </c:pt>
                <c:pt idx="24">
                  <c:v>6141.3034866110256</c:v>
                </c:pt>
                <c:pt idx="25">
                  <c:v>6081.6403449566742</c:v>
                </c:pt>
                <c:pt idx="26">
                  <c:v>6013.5830002074226</c:v>
                </c:pt>
                <c:pt idx="27">
                  <c:v>5940.042686397408</c:v>
                </c:pt>
                <c:pt idx="28">
                  <c:v>5863.3878852541266</c:v>
                </c:pt>
                <c:pt idx="29">
                  <c:v>5784.169233505957</c:v>
                </c:pt>
                <c:pt idx="30">
                  <c:v>5702.4962907518657</c:v>
                </c:pt>
                <c:pt idx="31">
                  <c:v>5618.4825302961808</c:v>
                </c:pt>
                <c:pt idx="32">
                  <c:v>5532.2450589646778</c:v>
                </c:pt>
                <c:pt idx="33">
                  <c:v>5443.9043254072712</c:v>
                </c:pt>
                <c:pt idx="34">
                  <c:v>5353.5838179423226</c:v>
                </c:pt>
                <c:pt idx="35">
                  <c:v>5261.4097530506142</c:v>
                </c:pt>
                <c:pt idx="36">
                  <c:v>5167.5107556748217</c:v>
                </c:pt>
                <c:pt idx="37">
                  <c:v>5072.0175325224855</c:v>
                </c:pt>
                <c:pt idx="38">
                  <c:v>4975.0625396065343</c:v>
                </c:pt>
                <c:pt idx="39">
                  <c:v>4876.7796452877556</c:v>
                </c:pt>
                <c:pt idx="40">
                  <c:v>4777.3037901067792</c:v>
                </c:pt>
                <c:pt idx="41">
                  <c:v>4676.7706447104774</c:v>
                </c:pt>
                <c:pt idx="42">
                  <c:v>4575.3162671875571</c:v>
                </c:pt>
                <c:pt idx="43">
                  <c:v>4473.0767611317351</c:v>
                </c:pt>
                <c:pt idx="44">
                  <c:v>4370.187935747048</c:v>
                </c:pt>
                <c:pt idx="45">
                  <c:v>4266.7849692992977</c:v>
                </c:pt>
                <c:pt idx="46">
                  <c:v>4163.0020772003409</c:v>
                </c:pt>
                <c:pt idx="47">
                  <c:v>4058.9721859873098</c:v>
                </c:pt>
                <c:pt idx="48">
                  <c:v>3954.8266144281861</c:v>
                </c:pt>
                <c:pt idx="49">
                  <c:v>3850.6947629472579</c:v>
                </c:pt>
                <c:pt idx="50">
                  <c:v>3746.7038125203658</c:v>
                </c:pt>
                <c:pt idx="51">
                  <c:v>3642.978434139759</c:v>
                </c:pt>
                <c:pt idx="52">
                  <c:v>3539.6405098929217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54-4A07-92CC-FB0C2DCF4F71}"/>
            </c:ext>
          </c:extLst>
        </c:ser>
        <c:ser>
          <c:idx val="20"/>
          <c:order val="20"/>
          <c:tx>
            <c:strRef>
              <c:f>'增加值 (2001-2060, 2020RMB)'!$A$34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24509.03024066459</c:v>
                </c:pt>
                <c:pt idx="16">
                  <c:v>25001.58966458288</c:v>
                </c:pt>
                <c:pt idx="17">
                  <c:v>25512.924013843909</c:v>
                </c:pt>
                <c:pt idx="18">
                  <c:v>26026.115085443751</c:v>
                </c:pt>
                <c:pt idx="19">
                  <c:v>26522.8588930019</c:v>
                </c:pt>
                <c:pt idx="20">
                  <c:v>26983.518773909389</c:v>
                </c:pt>
                <c:pt idx="21">
                  <c:v>27387.315911044348</c:v>
                </c:pt>
                <c:pt idx="22">
                  <c:v>27712.670663823072</c:v>
                </c:pt>
                <c:pt idx="23">
                  <c:v>27943.235883573008</c:v>
                </c:pt>
                <c:pt idx="24">
                  <c:v>28085.349143571479</c:v>
                </c:pt>
                <c:pt idx="25">
                  <c:v>28151.995475308431</c:v>
                </c:pt>
                <c:pt idx="26">
                  <c:v>28156.986967644141</c:v>
                </c:pt>
                <c:pt idx="27">
                  <c:v>28114.620589197049</c:v>
                </c:pt>
                <c:pt idx="28">
                  <c:v>28037.1179690467</c:v>
                </c:pt>
                <c:pt idx="29">
                  <c:v>27927.635836360128</c:v>
                </c:pt>
                <c:pt idx="30">
                  <c:v>27787.139200358921</c:v>
                </c:pt>
                <c:pt idx="31">
                  <c:v>27616.685778867712</c:v>
                </c:pt>
                <c:pt idx="32">
                  <c:v>27417.41695064196</c:v>
                </c:pt>
                <c:pt idx="33">
                  <c:v>27190.548527257739</c:v>
                </c:pt>
                <c:pt idx="34">
                  <c:v>26937.361431257559</c:v>
                </c:pt>
                <c:pt idx="35">
                  <c:v>26659.192363286878</c:v>
                </c:pt>
                <c:pt idx="36">
                  <c:v>26357.424536275321</c:v>
                </c:pt>
                <c:pt idx="37">
                  <c:v>26033.478549438729</c:v>
                </c:pt>
                <c:pt idx="38">
                  <c:v>25688.803469110098</c:v>
                </c:pt>
                <c:pt idx="39">
                  <c:v>25324.86817725829</c:v>
                </c:pt>
                <c:pt idx="40">
                  <c:v>24943.153042134629</c:v>
                </c:pt>
                <c:pt idx="41">
                  <c:v>24545.141958898032</c:v>
                </c:pt>
                <c:pt idx="42">
                  <c:v>24132.314801411834</c:v>
                </c:pt>
                <c:pt idx="43">
                  <c:v>23706.140319762631</c:v>
                </c:pt>
                <c:pt idx="44">
                  <c:v>23268.069511516529</c:v>
                </c:pt>
                <c:pt idx="45">
                  <c:v>22819.52948836303</c:v>
                </c:pt>
                <c:pt idx="46">
                  <c:v>22361.917853681309</c:v>
                </c:pt>
                <c:pt idx="47">
                  <c:v>21896.597600739111</c:v>
                </c:pt>
                <c:pt idx="48">
                  <c:v>21424.8925357634</c:v>
                </c:pt>
                <c:pt idx="49">
                  <c:v>20948.083225028891</c:v>
                </c:pt>
                <c:pt idx="50">
                  <c:v>20467.403460436431</c:v>
                </c:pt>
                <c:pt idx="51">
                  <c:v>19984.037233811909</c:v>
                </c:pt>
                <c:pt idx="52">
                  <c:v>19499.116206365758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154-4A07-92CC-FB0C2DCF4F71}"/>
            </c:ext>
          </c:extLst>
        </c:ser>
        <c:ser>
          <c:idx val="21"/>
          <c:order val="21"/>
          <c:tx>
            <c:strRef>
              <c:f>'增加值 (2001-2060, 2020RMB)'!$A$35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12312.13228229486</c:v>
                </c:pt>
                <c:pt idx="16">
                  <c:v>13115.93318867129</c:v>
                </c:pt>
                <c:pt idx="17">
                  <c:v>13936.845220084406</c:v>
                </c:pt>
                <c:pt idx="18">
                  <c:v>14772.681639739631</c:v>
                </c:pt>
                <c:pt idx="19">
                  <c:v>15621.18599036952</c:v>
                </c:pt>
                <c:pt idx="20">
                  <c:v>16480.05637898263</c:v>
                </c:pt>
                <c:pt idx="21">
                  <c:v>17346.97012067429</c:v>
                </c:pt>
                <c:pt idx="22">
                  <c:v>18219.608368507401</c:v>
                </c:pt>
                <c:pt idx="23">
                  <c:v>19095.58095017296</c:v>
                </c:pt>
                <c:pt idx="24">
                  <c:v>19972.115130407339</c:v>
                </c:pt>
                <c:pt idx="25">
                  <c:v>20846.312737625809</c:v>
                </c:pt>
                <c:pt idx="26">
                  <c:v>21715.26304324418</c:v>
                </c:pt>
                <c:pt idx="27">
                  <c:v>22576.065330070585</c:v>
                </c:pt>
                <c:pt idx="28">
                  <c:v>23425.917497464121</c:v>
                </c:pt>
                <c:pt idx="29">
                  <c:v>24262.35567860365</c:v>
                </c:pt>
                <c:pt idx="30">
                  <c:v>25083.10817617326</c:v>
                </c:pt>
                <c:pt idx="31">
                  <c:v>25886.050779505709</c:v>
                </c:pt>
                <c:pt idx="32">
                  <c:v>26669.221539692069</c:v>
                </c:pt>
                <c:pt idx="33">
                  <c:v>27430.833437058849</c:v>
                </c:pt>
                <c:pt idx="34">
                  <c:v>28169.284881571621</c:v>
                </c:pt>
                <c:pt idx="35">
                  <c:v>28883.16802470545</c:v>
                </c:pt>
                <c:pt idx="36">
                  <c:v>29571.27489733402</c:v>
                </c:pt>
                <c:pt idx="37">
                  <c:v>30232.601421628329</c:v>
                </c:pt>
                <c:pt idx="38">
                  <c:v>30866.349375337741</c:v>
                </c:pt>
                <c:pt idx="39">
                  <c:v>31471.92641375228</c:v>
                </c:pt>
                <c:pt idx="40">
                  <c:v>32048.94427787128</c:v>
                </c:pt>
                <c:pt idx="41">
                  <c:v>32597.215336661789</c:v>
                </c:pt>
                <c:pt idx="42">
                  <c:v>33116.747626740878</c:v>
                </c:pt>
                <c:pt idx="43">
                  <c:v>33607.738564399202</c:v>
                </c:pt>
                <c:pt idx="44">
                  <c:v>34070.567512737471</c:v>
                </c:pt>
                <c:pt idx="45">
                  <c:v>34505.787391013007</c:v>
                </c:pt>
                <c:pt idx="46">
                  <c:v>34914.115514358236</c:v>
                </c:pt>
                <c:pt idx="47">
                  <c:v>35296.423850150757</c:v>
                </c:pt>
                <c:pt idx="48">
                  <c:v>35653.728872836233</c:v>
                </c:pt>
                <c:pt idx="49">
                  <c:v>35987.181192300093</c:v>
                </c:pt>
                <c:pt idx="50">
                  <c:v>36298.055122339611</c:v>
                </c:pt>
                <c:pt idx="51">
                  <c:v>36587.738345794118</c:v>
                </c:pt>
                <c:pt idx="52">
                  <c:v>36857.72182182251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54-4A07-92CC-FB0C2DCF4F71}"/>
            </c:ext>
          </c:extLst>
        </c:ser>
        <c:ser>
          <c:idx val="22"/>
          <c:order val="22"/>
          <c:tx>
            <c:strRef>
              <c:f>'增加值 (2001-2060, 2020RMB)'!$A$36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1905.242239858628</c:v>
                </c:pt>
                <c:pt idx="16">
                  <c:v>1955.9873515630741</c:v>
                </c:pt>
                <c:pt idx="17">
                  <c:v>2008.2377859063772</c:v>
                </c:pt>
                <c:pt idx="18">
                  <c:v>2060.6369898954081</c:v>
                </c:pt>
                <c:pt idx="19">
                  <c:v>2111.6849618916699</c:v>
                </c:pt>
                <c:pt idx="20">
                  <c:v>2159.7428996230601</c:v>
                </c:pt>
                <c:pt idx="21">
                  <c:v>2203.0496664001262</c:v>
                </c:pt>
                <c:pt idx="22">
                  <c:v>2239.7515225233237</c:v>
                </c:pt>
                <c:pt idx="23">
                  <c:v>2268.4047365982451</c:v>
                </c:pt>
                <c:pt idx="24">
                  <c:v>2289.4413215138561</c:v>
                </c:pt>
                <c:pt idx="25">
                  <c:v>2303.86851260717</c:v>
                </c:pt>
                <c:pt idx="26">
                  <c:v>2312.788909365061</c:v>
                </c:pt>
                <c:pt idx="27">
                  <c:v>2317.3699531363941</c:v>
                </c:pt>
                <c:pt idx="28">
                  <c:v>2318.6242420184599</c:v>
                </c:pt>
                <c:pt idx="29">
                  <c:v>2316.8079970422918</c:v>
                </c:pt>
                <c:pt idx="30">
                  <c:v>2311.9958684136668</c:v>
                </c:pt>
                <c:pt idx="31">
                  <c:v>2304.273739345057</c:v>
                </c:pt>
                <c:pt idx="32">
                  <c:v>2293.737748352492</c:v>
                </c:pt>
                <c:pt idx="33">
                  <c:v>2280.493275832067</c:v>
                </c:pt>
                <c:pt idx="34">
                  <c:v>2264.6539068732141</c:v>
                </c:pt>
                <c:pt idx="35">
                  <c:v>2246.340381799354</c:v>
                </c:pt>
                <c:pt idx="36">
                  <c:v>2225.679545335609</c:v>
                </c:pt>
                <c:pt idx="37">
                  <c:v>2202.8033046065389</c:v>
                </c:pt>
                <c:pt idx="38">
                  <c:v>2177.8476053831359</c:v>
                </c:pt>
                <c:pt idx="39">
                  <c:v>2150.9514351469211</c:v>
                </c:pt>
                <c:pt idx="40">
                  <c:v>2122.2558606381149</c:v>
                </c:pt>
                <c:pt idx="41">
                  <c:v>2091.9031066222828</c:v>
                </c:pt>
                <c:pt idx="42">
                  <c:v>2060.0356816625153</c:v>
                </c:pt>
                <c:pt idx="43">
                  <c:v>2026.795555737091</c:v>
                </c:pt>
                <c:pt idx="44">
                  <c:v>1992.323393610219</c:v>
                </c:pt>
                <c:pt idx="45">
                  <c:v>1956.7578469578939</c:v>
                </c:pt>
                <c:pt idx="46">
                  <c:v>1920.2349073832081</c:v>
                </c:pt>
                <c:pt idx="47">
                  <c:v>1882.88732163483</c:v>
                </c:pt>
                <c:pt idx="48">
                  <c:v>1844.844069576063</c:v>
                </c:pt>
                <c:pt idx="49">
                  <c:v>1806.229904746202</c:v>
                </c:pt>
                <c:pt idx="50">
                  <c:v>1767.164956714731</c:v>
                </c:pt>
                <c:pt idx="51">
                  <c:v>1727.7643938554311</c:v>
                </c:pt>
                <c:pt idx="52">
                  <c:v>1688.1381446628977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54-4A07-92CC-FB0C2DCF4F71}"/>
            </c:ext>
          </c:extLst>
        </c:ser>
        <c:ser>
          <c:idx val="23"/>
          <c:order val="23"/>
          <c:tx>
            <c:strRef>
              <c:f>'增加值 (2001-2060, 2020RMB)'!$A$37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7774.7022558818962</c:v>
                </c:pt>
                <c:pt idx="16">
                  <c:v>7845.7192955027294</c:v>
                </c:pt>
                <c:pt idx="17">
                  <c:v>7915.2702069792804</c:v>
                </c:pt>
                <c:pt idx="18">
                  <c:v>7980.1654034098019</c:v>
                </c:pt>
                <c:pt idx="19">
                  <c:v>8037.11899609383</c:v>
                </c:pt>
                <c:pt idx="20">
                  <c:v>8082.7742766350902</c:v>
                </c:pt>
                <c:pt idx="21">
                  <c:v>8113.7428356129558</c:v>
                </c:pt>
                <c:pt idx="22">
                  <c:v>8126.6574039699954</c:v>
                </c:pt>
                <c:pt idx="23">
                  <c:v>8119.3281246126371</c:v>
                </c:pt>
                <c:pt idx="24">
                  <c:v>8094.0600732664407</c:v>
                </c:pt>
                <c:pt idx="25">
                  <c:v>8054.3411104773559</c:v>
                </c:pt>
                <c:pt idx="26">
                  <c:v>8003.6843698294842</c:v>
                </c:pt>
                <c:pt idx="27">
                  <c:v>7945.5744986237414</c:v>
                </c:pt>
                <c:pt idx="28">
                  <c:v>7882.8671325472214</c:v>
                </c:pt>
                <c:pt idx="29">
                  <c:v>7816.1168626251238</c:v>
                </c:pt>
                <c:pt idx="30">
                  <c:v>7745.3181440158151</c:v>
                </c:pt>
                <c:pt idx="31">
                  <c:v>7670.4757786075543</c:v>
                </c:pt>
                <c:pt idx="32">
                  <c:v>7591.605174113558</c:v>
                </c:pt>
                <c:pt idx="33">
                  <c:v>7508.7325670045302</c:v>
                </c:pt>
                <c:pt idx="34">
                  <c:v>7421.8952063946581</c:v>
                </c:pt>
                <c:pt idx="35">
                  <c:v>7331.1414961318824</c:v>
                </c:pt>
                <c:pt idx="36">
                  <c:v>7236.5310925077374</c:v>
                </c:pt>
                <c:pt idx="37">
                  <c:v>7138.1349551952007</c:v>
                </c:pt>
                <c:pt idx="38">
                  <c:v>7036.0353492477052</c:v>
                </c:pt>
                <c:pt idx="39">
                  <c:v>6930.3257962436928</c:v>
                </c:pt>
                <c:pt idx="40">
                  <c:v>6821.1109729422869</c:v>
                </c:pt>
                <c:pt idx="41">
                  <c:v>6708.5065561232941</c:v>
                </c:pt>
                <c:pt idx="42">
                  <c:v>6592.6390126175629</c:v>
                </c:pt>
                <c:pt idx="43">
                  <c:v>6473.6453338907086</c:v>
                </c:pt>
                <c:pt idx="44">
                  <c:v>6351.672714920961</c:v>
                </c:pt>
                <c:pt idx="45">
                  <c:v>6226.8781775082716</c:v>
                </c:pt>
                <c:pt idx="46">
                  <c:v>6099.4281385642198</c:v>
                </c:pt>
                <c:pt idx="47">
                  <c:v>5969.4979243559874</c:v>
                </c:pt>
                <c:pt idx="48">
                  <c:v>5837.2712321106483</c:v>
                </c:pt>
                <c:pt idx="49">
                  <c:v>5702.9395408235487</c:v>
                </c:pt>
                <c:pt idx="50">
                  <c:v>5566.7014735513631</c:v>
                </c:pt>
                <c:pt idx="51">
                  <c:v>5428.7621139045896</c:v>
                </c:pt>
                <c:pt idx="52">
                  <c:v>5289.3322798785048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154-4A07-92CC-FB0C2DCF4F71}"/>
            </c:ext>
          </c:extLst>
        </c:ser>
        <c:ser>
          <c:idx val="24"/>
          <c:order val="24"/>
          <c:tx>
            <c:strRef>
              <c:f>'增加值 (2001-2060, 2020RMB)'!$A$38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16360.941639490149</c:v>
                </c:pt>
                <c:pt idx="16">
                  <c:v>16620.93017308964</c:v>
                </c:pt>
                <c:pt idx="17">
                  <c:v>16893.907398668689</c:v>
                </c:pt>
                <c:pt idx="18">
                  <c:v>17168.757882385591</c:v>
                </c:pt>
                <c:pt idx="19">
                  <c:v>17433.631141008958</c:v>
                </c:pt>
                <c:pt idx="20">
                  <c:v>17675.97047222051</c:v>
                </c:pt>
                <c:pt idx="21">
                  <c:v>17882.628191013158</c:v>
                </c:pt>
                <c:pt idx="22">
                  <c:v>18040.074188310075</c:v>
                </c:pt>
                <c:pt idx="23">
                  <c:v>18138.24414201641</c:v>
                </c:pt>
                <c:pt idx="24">
                  <c:v>18181.616961637581</c:v>
                </c:pt>
                <c:pt idx="25">
                  <c:v>18178.80446710781</c:v>
                </c:pt>
                <c:pt idx="26">
                  <c:v>18138.81463197734</c:v>
                </c:pt>
                <c:pt idx="27">
                  <c:v>18070.845521903088</c:v>
                </c:pt>
                <c:pt idx="28">
                  <c:v>17982.684977220841</c:v>
                </c:pt>
                <c:pt idx="29">
                  <c:v>17876.3460633336</c:v>
                </c:pt>
                <c:pt idx="30">
                  <c:v>17752.440913176692</c:v>
                </c:pt>
                <c:pt idx="31">
                  <c:v>17611.626011180371</c:v>
                </c:pt>
                <c:pt idx="32">
                  <c:v>17454.597581109501</c:v>
                </c:pt>
                <c:pt idx="33">
                  <c:v>17282.086916295269</c:v>
                </c:pt>
                <c:pt idx="34">
                  <c:v>17094.855689534761</c:v>
                </c:pt>
                <c:pt idx="35">
                  <c:v>16893.691278200091</c:v>
                </c:pt>
                <c:pt idx="36">
                  <c:v>16679.402138099202</c:v>
                </c:pt>
                <c:pt idx="37">
                  <c:v>16452.813257407641</c:v>
                </c:pt>
                <c:pt idx="38">
                  <c:v>16214.761719581589</c:v>
                </c:pt>
                <c:pt idx="39">
                  <c:v>15966.092401610549</c:v>
                </c:pt>
                <c:pt idx="40">
                  <c:v>15707.653831308309</c:v>
                </c:pt>
                <c:pt idx="41">
                  <c:v>15440.29422461335</c:v>
                </c:pt>
                <c:pt idx="42">
                  <c:v>15164.857721108638</c:v>
                </c:pt>
                <c:pt idx="43">
                  <c:v>14882.18083321003</c:v>
                </c:pt>
                <c:pt idx="44">
                  <c:v>14593.089121741859</c:v>
                </c:pt>
                <c:pt idx="45">
                  <c:v>14298.394107948279</c:v>
                </c:pt>
                <c:pt idx="46">
                  <c:v>13998.890429401919</c:v>
                </c:pt>
                <c:pt idx="47">
                  <c:v>13695.35324479169</c:v>
                </c:pt>
                <c:pt idx="48">
                  <c:v>13388.535890217951</c:v>
                </c:pt>
                <c:pt idx="49">
                  <c:v>13079.167787411639</c:v>
                </c:pt>
                <c:pt idx="50">
                  <c:v>12767.952602236661</c:v>
                </c:pt>
                <c:pt idx="51">
                  <c:v>12455.566649943559</c:v>
                </c:pt>
                <c:pt idx="52">
                  <c:v>12142.657541923541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154-4A07-92CC-FB0C2DCF4F71}"/>
            </c:ext>
          </c:extLst>
        </c:ser>
        <c:ser>
          <c:idx val="25"/>
          <c:order val="25"/>
          <c:tx>
            <c:strRef>
              <c:f>'增加值 (2001-2060, 2020RMB)'!$A$39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21812.147137662982</c:v>
                </c:pt>
                <c:pt idx="16">
                  <c:v>22152.82412593564</c:v>
                </c:pt>
                <c:pt idx="17">
                  <c:v>22510.882203076446</c:v>
                </c:pt>
                <c:pt idx="18">
                  <c:v>22871.515755041572</c:v>
                </c:pt>
                <c:pt idx="19">
                  <c:v>23218.95538839736</c:v>
                </c:pt>
                <c:pt idx="20">
                  <c:v>23536.50566306544</c:v>
                </c:pt>
                <c:pt idx="21">
                  <c:v>23806.697596556369</c:v>
                </c:pt>
                <c:pt idx="22">
                  <c:v>24011.564991957363</c:v>
                </c:pt>
                <c:pt idx="23">
                  <c:v>24137.75957123292</c:v>
                </c:pt>
                <c:pt idx="24">
                  <c:v>24191.27089177477</c:v>
                </c:pt>
                <c:pt idx="25">
                  <c:v>24183.572850596989</c:v>
                </c:pt>
                <c:pt idx="26">
                  <c:v>24126.65461112971</c:v>
                </c:pt>
                <c:pt idx="27">
                  <c:v>24032.74782832963</c:v>
                </c:pt>
                <c:pt idx="28">
                  <c:v>23912.202314542948</c:v>
                </c:pt>
                <c:pt idx="29">
                  <c:v>23767.69257492193</c:v>
                </c:pt>
                <c:pt idx="30">
                  <c:v>23600.03078978345</c:v>
                </c:pt>
                <c:pt idx="31">
                  <c:v>23410.08692331125</c:v>
                </c:pt>
                <c:pt idx="32">
                  <c:v>23198.782692588069</c:v>
                </c:pt>
                <c:pt idx="33">
                  <c:v>22967.085463608521</c:v>
                </c:pt>
                <c:pt idx="34">
                  <c:v>22716.00212246463</c:v>
                </c:pt>
                <c:pt idx="35">
                  <c:v>22446.572967654251</c:v>
                </c:pt>
                <c:pt idx="36">
                  <c:v>22159.86566688749</c:v>
                </c:pt>
                <c:pt idx="37">
                  <c:v>21856.96931890009</c:v>
                </c:pt>
                <c:pt idx="38">
                  <c:v>21538.988657681512</c:v>
                </c:pt>
                <c:pt idx="39">
                  <c:v>21207.038433237489</c:v>
                </c:pt>
                <c:pt idx="40">
                  <c:v>20862.237999580851</c:v>
                </c:pt>
                <c:pt idx="41">
                  <c:v>20505.706137130939</c:v>
                </c:pt>
                <c:pt idx="42">
                  <c:v>20138.556133144215</c:v>
                </c:pt>
                <c:pt idx="43">
                  <c:v>19761.891140237611</c:v>
                </c:pt>
                <c:pt idx="44">
                  <c:v>19376.799829547621</c:v>
                </c:pt>
                <c:pt idx="45">
                  <c:v>18984.352351620139</c:v>
                </c:pt>
                <c:pt idx="46">
                  <c:v>18585.596614787271</c:v>
                </c:pt>
                <c:pt idx="47">
                  <c:v>18181.554887583261</c:v>
                </c:pt>
                <c:pt idx="48">
                  <c:v>17773.220728708449</c:v>
                </c:pt>
                <c:pt idx="49">
                  <c:v>17361.556245188211</c:v>
                </c:pt>
                <c:pt idx="50">
                  <c:v>16947.489676707901</c:v>
                </c:pt>
                <c:pt idx="51">
                  <c:v>16531.913301654931</c:v>
                </c:pt>
                <c:pt idx="52">
                  <c:v>16115.681658163769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154-4A07-92CC-FB0C2DCF4F71}"/>
            </c:ext>
          </c:extLst>
        </c:ser>
        <c:ser>
          <c:idx val="26"/>
          <c:order val="26"/>
          <c:tx>
            <c:strRef>
              <c:f>'增加值 (2001-2060, 2020RMB)'!$A$40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13456.975655392651</c:v>
                </c:pt>
                <c:pt idx="16">
                  <c:v>13728.454242096061</c:v>
                </c:pt>
                <c:pt idx="17">
                  <c:v>14010.238829113156</c:v>
                </c:pt>
                <c:pt idx="18">
                  <c:v>14293.037272400241</c:v>
                </c:pt>
                <c:pt idx="19">
                  <c:v>14566.79365564092</c:v>
                </c:pt>
                <c:pt idx="20">
                  <c:v>14820.71752659117</c:v>
                </c:pt>
                <c:pt idx="21">
                  <c:v>15043.388668277321</c:v>
                </c:pt>
                <c:pt idx="22">
                  <c:v>15222.944791175669</c:v>
                </c:pt>
                <c:pt idx="23">
                  <c:v>15350.396926266811</c:v>
                </c:pt>
                <c:pt idx="24">
                  <c:v>15429.220552864979</c:v>
                </c:pt>
                <c:pt idx="25">
                  <c:v>15466.545700477771</c:v>
                </c:pt>
                <c:pt idx="26">
                  <c:v>15469.958939782289</c:v>
                </c:pt>
                <c:pt idx="27">
                  <c:v>15447.315173439043</c:v>
                </c:pt>
                <c:pt idx="28">
                  <c:v>15405.330252231521</c:v>
                </c:pt>
                <c:pt idx="29">
                  <c:v>15345.73863203522</c:v>
                </c:pt>
                <c:pt idx="30">
                  <c:v>15269.070448256331</c:v>
                </c:pt>
                <c:pt idx="31">
                  <c:v>15175.90703031167</c:v>
                </c:pt>
                <c:pt idx="32">
                  <c:v>15066.875911733699</c:v>
                </c:pt>
                <c:pt idx="33">
                  <c:v>14942.645739958671</c:v>
                </c:pt>
                <c:pt idx="34">
                  <c:v>14803.921133756879</c:v>
                </c:pt>
                <c:pt idx="35">
                  <c:v>14651.4375340719</c:v>
                </c:pt>
                <c:pt idx="36">
                  <c:v>14485.956091449711</c:v>
                </c:pt>
                <c:pt idx="37">
                  <c:v>14308.258630319269</c:v>
                </c:pt>
                <c:pt idx="38">
                  <c:v>14119.142727193321</c:v>
                </c:pt>
                <c:pt idx="39">
                  <c:v>13919.416936457499</c:v>
                </c:pt>
                <c:pt idx="40">
                  <c:v>13709.896193861779</c:v>
                </c:pt>
                <c:pt idx="41">
                  <c:v>13491.39742418342</c:v>
                </c:pt>
                <c:pt idx="42">
                  <c:v>13264.735375843686</c:v>
                </c:pt>
                <c:pt idx="43">
                  <c:v>13030.718701586609</c:v>
                </c:pt>
                <c:pt idx="44">
                  <c:v>12790.14630070937</c:v>
                </c:pt>
                <c:pt idx="45">
                  <c:v>12543.80393481361</c:v>
                </c:pt>
                <c:pt idx="46">
                  <c:v>12292.461125661161</c:v>
                </c:pt>
                <c:pt idx="47">
                  <c:v>12036.86834049648</c:v>
                </c:pt>
                <c:pt idx="48">
                  <c:v>11777.7544671708</c:v>
                </c:pt>
                <c:pt idx="49">
                  <c:v>11515.824578586031</c:v>
                </c:pt>
                <c:pt idx="50">
                  <c:v>11251.75798339193</c:v>
                </c:pt>
                <c:pt idx="51">
                  <c:v>10986.206557524711</c:v>
                </c:pt>
                <c:pt idx="52">
                  <c:v>10719.793349079322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154-4A07-92CC-FB0C2DCF4F71}"/>
            </c:ext>
          </c:extLst>
        </c:ser>
        <c:ser>
          <c:idx val="27"/>
          <c:order val="27"/>
          <c:tx>
            <c:strRef>
              <c:f>'增加值 (2001-2060, 2020RMB)'!$A$41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15720.471276674039</c:v>
                </c:pt>
                <c:pt idx="16">
                  <c:v>16293.374940433219</c:v>
                </c:pt>
                <c:pt idx="17">
                  <c:v>16890.614091985677</c:v>
                </c:pt>
                <c:pt idx="18">
                  <c:v>17503.510435740081</c:v>
                </c:pt>
                <c:pt idx="19">
                  <c:v>18122.021405670432</c:v>
                </c:pt>
                <c:pt idx="20">
                  <c:v>18734.681563636601</c:v>
                </c:pt>
                <c:pt idx="21">
                  <c:v>19328.60987131844</c:v>
                </c:pt>
                <c:pt idx="22">
                  <c:v>19889.59708648983</c:v>
                </c:pt>
                <c:pt idx="23">
                  <c:v>20405.180335772329</c:v>
                </c:pt>
                <c:pt idx="24">
                  <c:v>20874.129648666811</c:v>
                </c:pt>
                <c:pt idx="25">
                  <c:v>21298.83246930148</c:v>
                </c:pt>
                <c:pt idx="26">
                  <c:v>21682.467028203511</c:v>
                </c:pt>
                <c:pt idx="27">
                  <c:v>22028.912722105055</c:v>
                </c:pt>
                <c:pt idx="28">
                  <c:v>22341.786924092339</c:v>
                </c:pt>
                <c:pt idx="29">
                  <c:v>22621.64970649239</c:v>
                </c:pt>
                <c:pt idx="30">
                  <c:v>22868.423387241499</c:v>
                </c:pt>
                <c:pt idx="31">
                  <c:v>23082.232866340561</c:v>
                </c:pt>
                <c:pt idx="32">
                  <c:v>23263.396041852709</c:v>
                </c:pt>
                <c:pt idx="33">
                  <c:v>23412.41275544251</c:v>
                </c:pt>
                <c:pt idx="34">
                  <c:v>23529.952510547118</c:v>
                </c:pt>
                <c:pt idx="35">
                  <c:v>23616.841207634359</c:v>
                </c:pt>
                <c:pt idx="36">
                  <c:v>23674.047137799251</c:v>
                </c:pt>
                <c:pt idx="37">
                  <c:v>23702.66646866866</c:v>
                </c:pt>
                <c:pt idx="38">
                  <c:v>23703.908445765821</c:v>
                </c:pt>
                <c:pt idx="39">
                  <c:v>23679.080518700121</c:v>
                </c:pt>
                <c:pt idx="40">
                  <c:v>23629.573585367121</c:v>
                </c:pt>
                <c:pt idx="41">
                  <c:v>23556.84752934577</c:v>
                </c:pt>
                <c:pt idx="42">
                  <c:v>23462.417206415332</c:v>
                </c:pt>
                <c:pt idx="43">
                  <c:v>23347.839016098951</c:v>
                </c:pt>
                <c:pt idx="44">
                  <c:v>23214.698173860801</c:v>
                </c:pt>
                <c:pt idx="45">
                  <c:v>23064.5967794637</c:v>
                </c:pt>
                <c:pt idx="46">
                  <c:v>22899.142757415451</c:v>
                </c:pt>
                <c:pt idx="47">
                  <c:v>22719.939726716409</c:v>
                </c:pt>
                <c:pt idx="48">
                  <c:v>22528.577839533951</c:v>
                </c:pt>
                <c:pt idx="49">
                  <c:v>22326.62561218371</c:v>
                </c:pt>
                <c:pt idx="50">
                  <c:v>22115.622757047411</c:v>
                </c:pt>
                <c:pt idx="51">
                  <c:v>21897.074010915479</c:v>
                </c:pt>
                <c:pt idx="52">
                  <c:v>21672.443943767201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154-4A07-92CC-FB0C2DCF4F71}"/>
            </c:ext>
          </c:extLst>
        </c:ser>
        <c:ser>
          <c:idx val="28"/>
          <c:order val="28"/>
          <c:tx>
            <c:strRef>
              <c:f>'增加值 (2001-2060, 2020RMB)'!$A$42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16386.90642016225</c:v>
                </c:pt>
                <c:pt idx="16">
                  <c:v>17014.883833574298</c:v>
                </c:pt>
                <c:pt idx="17">
                  <c:v>17669.534197481749</c:v>
                </c:pt>
                <c:pt idx="18">
                  <c:v>18341.85854320107</c:v>
                </c:pt>
                <c:pt idx="19">
                  <c:v>19021.367388024581</c:v>
                </c:pt>
                <c:pt idx="20">
                  <c:v>19696.012527877589</c:v>
                </c:pt>
                <c:pt idx="21">
                  <c:v>20352.18784782946</c:v>
                </c:pt>
                <c:pt idx="22">
                  <c:v>20974.814781627105</c:v>
                </c:pt>
                <c:pt idx="23">
                  <c:v>21550.55657984404</c:v>
                </c:pt>
                <c:pt idx="24">
                  <c:v>22077.78364657563</c:v>
                </c:pt>
                <c:pt idx="25">
                  <c:v>22558.667139199879</c:v>
                </c:pt>
                <c:pt idx="26">
                  <c:v>22996.234862519112</c:v>
                </c:pt>
                <c:pt idx="27">
                  <c:v>23394.282318377907</c:v>
                </c:pt>
                <c:pt idx="28">
                  <c:v>23756.379194594949</c:v>
                </c:pt>
                <c:pt idx="29">
                  <c:v>24082.971789029769</c:v>
                </c:pt>
                <c:pt idx="30">
                  <c:v>24373.86884371729</c:v>
                </c:pt>
                <c:pt idx="31">
                  <c:v>24629.10818084158</c:v>
                </c:pt>
                <c:pt idx="32">
                  <c:v>24848.946736644499</c:v>
                </c:pt>
                <c:pt idx="33">
                  <c:v>25033.848818983381</c:v>
                </c:pt>
                <c:pt idx="34">
                  <c:v>25184.472866598899</c:v>
                </c:pt>
                <c:pt idx="35">
                  <c:v>25301.65699173442</c:v>
                </c:pt>
                <c:pt idx="36">
                  <c:v>25386.40358574842</c:v>
                </c:pt>
                <c:pt idx="37">
                  <c:v>25439.86326035703</c:v>
                </c:pt>
                <c:pt idx="38">
                  <c:v>25463.31838576062</c:v>
                </c:pt>
                <c:pt idx="39">
                  <c:v>25458.166471821081</c:v>
                </c:pt>
                <c:pt idx="40">
                  <c:v>25425.903620360099</c:v>
                </c:pt>
                <c:pt idx="41">
                  <c:v>25368.108256226318</c:v>
                </c:pt>
                <c:pt idx="42">
                  <c:v>25286.425322701944</c:v>
                </c:pt>
                <c:pt idx="43">
                  <c:v>25182.551103722311</c:v>
                </c:pt>
                <c:pt idx="44">
                  <c:v>25058.218811841831</c:v>
                </c:pt>
                <c:pt idx="45">
                  <c:v>24915.185057438379</c:v>
                </c:pt>
                <c:pt idx="46">
                  <c:v>24755.21729175678</c:v>
                </c:pt>
                <c:pt idx="47">
                  <c:v>24580.082294456632</c:v>
                </c:pt>
                <c:pt idx="48">
                  <c:v>24391.535755683759</c:v>
                </c:pt>
                <c:pt idx="49">
                  <c:v>24191.312983580199</c:v>
                </c:pt>
                <c:pt idx="50">
                  <c:v>23981.120750795071</c:v>
                </c:pt>
                <c:pt idx="51">
                  <c:v>23762.630278086839</c:v>
                </c:pt>
                <c:pt idx="52">
                  <c:v>23537.471339606291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154-4A07-92CC-FB0C2DCF4F71}"/>
            </c:ext>
          </c:extLst>
        </c:ser>
        <c:ser>
          <c:idx val="29"/>
          <c:order val="29"/>
          <c:tx>
            <c:strRef>
              <c:f>'增加值 (2001-2060, 2020RMB)'!$A$43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12910.589516383459</c:v>
                </c:pt>
                <c:pt idx="16">
                  <c:v>13658.59490190981</c:v>
                </c:pt>
                <c:pt idx="17">
                  <c:v>14443.625983957178</c:v>
                </c:pt>
                <c:pt idx="18">
                  <c:v>15259.17326945383</c:v>
                </c:pt>
                <c:pt idx="19">
                  <c:v>16096.98871607567</c:v>
                </c:pt>
                <c:pt idx="20">
                  <c:v>16946.94587630442</c:v>
                </c:pt>
                <c:pt idx="21">
                  <c:v>17796.955569977381</c:v>
                </c:pt>
                <c:pt idx="22">
                  <c:v>18632.956247517781</c:v>
                </c:pt>
                <c:pt idx="23">
                  <c:v>19441.48341546793</c:v>
                </c:pt>
                <c:pt idx="24">
                  <c:v>20218.106165317171</c:v>
                </c:pt>
                <c:pt idx="25">
                  <c:v>20961.49943619085</c:v>
                </c:pt>
                <c:pt idx="26">
                  <c:v>21671.171021371028</c:v>
                </c:pt>
                <c:pt idx="27">
                  <c:v>22347.447972555154</c:v>
                </c:pt>
                <c:pt idx="28">
                  <c:v>22990.834993760851</c:v>
                </c:pt>
                <c:pt idx="29">
                  <c:v>23600.001283904869</c:v>
                </c:pt>
                <c:pt idx="30">
                  <c:v>24173.379538339552</c:v>
                </c:pt>
                <c:pt idx="31">
                  <c:v>24709.750873627741</c:v>
                </c:pt>
                <c:pt idx="32">
                  <c:v>25208.244603201529</c:v>
                </c:pt>
                <c:pt idx="33">
                  <c:v>25668.33347347927</c:v>
                </c:pt>
                <c:pt idx="34">
                  <c:v>26089.824769486131</c:v>
                </c:pt>
                <c:pt idx="35">
                  <c:v>26472.847752866561</c:v>
                </c:pt>
                <c:pt idx="36">
                  <c:v>26817.837933408118</c:v>
                </c:pt>
                <c:pt idx="37">
                  <c:v>27125.518698374752</c:v>
                </c:pt>
                <c:pt idx="38">
                  <c:v>27396.880833019179</c:v>
                </c:pt>
                <c:pt idx="39">
                  <c:v>27633.160461906671</c:v>
                </c:pt>
                <c:pt idx="40">
                  <c:v>27835.815925663479</c:v>
                </c:pt>
                <c:pt idx="41">
                  <c:v>28006.504083159729</c:v>
                </c:pt>
                <c:pt idx="42">
                  <c:v>28147.056496734553</c:v>
                </c:pt>
                <c:pt idx="43">
                  <c:v>28259.455919673052</c:v>
                </c:pt>
                <c:pt idx="44">
                  <c:v>28345.813462507202</c:v>
                </c:pt>
                <c:pt idx="45">
                  <c:v>28408.346769513901</c:v>
                </c:pt>
                <c:pt idx="46">
                  <c:v>28449.359490551731</c:v>
                </c:pt>
                <c:pt idx="47">
                  <c:v>28471.222287507189</c:v>
                </c:pt>
                <c:pt idx="48">
                  <c:v>28476.355570302479</c:v>
                </c:pt>
                <c:pt idx="49">
                  <c:v>28467.214115686282</c:v>
                </c:pt>
                <c:pt idx="50">
                  <c:v>28446.27368370313</c:v>
                </c:pt>
                <c:pt idx="51">
                  <c:v>28416.019712489709</c:v>
                </c:pt>
                <c:pt idx="52">
                  <c:v>28378.93814235547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154-4A07-92CC-FB0C2DCF4F71}"/>
            </c:ext>
          </c:extLst>
        </c:ser>
        <c:ser>
          <c:idx val="30"/>
          <c:order val="30"/>
          <c:tx>
            <c:strRef>
              <c:f>'增加值 (2001-2060, 2020RMB)'!$A$44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25109.721528919588</c:v>
                </c:pt>
                <c:pt idx="16">
                  <c:v>26047.797347849599</c:v>
                </c:pt>
                <c:pt idx="17">
                  <c:v>27025.697358390313</c:v>
                </c:pt>
                <c:pt idx="18">
                  <c:v>28029.594953493001</c:v>
                </c:pt>
                <c:pt idx="19">
                  <c:v>29043.433324642359</c:v>
                </c:pt>
                <c:pt idx="20">
                  <c:v>30048.826651117161</c:v>
                </c:pt>
                <c:pt idx="21">
                  <c:v>31025.06677260884</c:v>
                </c:pt>
                <c:pt idx="22">
                  <c:v>31949.258685553494</c:v>
                </c:pt>
                <c:pt idx="23">
                  <c:v>32801.238579049947</c:v>
                </c:pt>
                <c:pt idx="24">
                  <c:v>33578.783726480193</c:v>
                </c:pt>
                <c:pt idx="25">
                  <c:v>34285.472232371802</c:v>
                </c:pt>
                <c:pt idx="26">
                  <c:v>34926.169802935998</c:v>
                </c:pt>
                <c:pt idx="27">
                  <c:v>35506.889852041822</c:v>
                </c:pt>
                <c:pt idx="28">
                  <c:v>36033.262677246748</c:v>
                </c:pt>
                <c:pt idx="29">
                  <c:v>36506.082278409893</c:v>
                </c:pt>
                <c:pt idx="30">
                  <c:v>36925.144143324767</c:v>
                </c:pt>
                <c:pt idx="31">
                  <c:v>37290.58060370342</c:v>
                </c:pt>
                <c:pt idx="32">
                  <c:v>37602.845523096526</c:v>
                </c:pt>
                <c:pt idx="33">
                  <c:v>37862.696458464859</c:v>
                </c:pt>
                <c:pt idx="34">
                  <c:v>38071.17470199323</c:v>
                </c:pt>
                <c:pt idx="35">
                  <c:v>38229.583613432427</c:v>
                </c:pt>
                <c:pt idx="36">
                  <c:v>38339.465649066413</c:v>
                </c:pt>
                <c:pt idx="37">
                  <c:v>38402.578482147801</c:v>
                </c:pt>
                <c:pt idx="38">
                  <c:v>38420.87059224437</c:v>
                </c:pt>
                <c:pt idx="39">
                  <c:v>38396.456678353272</c:v>
                </c:pt>
                <c:pt idx="40">
                  <c:v>38331.593223868003</c:v>
                </c:pt>
                <c:pt idx="41">
                  <c:v>38228.654511490327</c:v>
                </c:pt>
                <c:pt idx="42">
                  <c:v>38090.10935392783</c:v>
                </c:pt>
                <c:pt idx="43">
                  <c:v>37918.498772599938</c:v>
                </c:pt>
                <c:pt idx="44">
                  <c:v>37716.41482241328</c:v>
                </c:pt>
                <c:pt idx="45">
                  <c:v>37486.480726716931</c:v>
                </c:pt>
                <c:pt idx="46">
                  <c:v>37231.332453454757</c:v>
                </c:pt>
                <c:pt idx="47">
                  <c:v>36953.601831860688</c:v>
                </c:pt>
                <c:pt idx="48">
                  <c:v>36655.901279256963</c:v>
                </c:pt>
                <c:pt idx="49">
                  <c:v>36340.810179981971</c:v>
                </c:pt>
                <c:pt idx="50">
                  <c:v>36010.862933465811</c:v>
                </c:pt>
                <c:pt idx="51">
                  <c:v>35668.538666190238</c:v>
                </c:pt>
                <c:pt idx="52">
                  <c:v>35316.252582807043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154-4A07-92CC-FB0C2DCF4F71}"/>
            </c:ext>
          </c:extLst>
        </c:ser>
        <c:ser>
          <c:idx val="31"/>
          <c:order val="31"/>
          <c:tx>
            <c:strRef>
              <c:f>'增加值 (2001-2060, 2020RMB)'!$A$45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6778.6311627858704</c:v>
                </c:pt>
                <c:pt idx="16">
                  <c:v>6957.1240702119067</c:v>
                </c:pt>
                <c:pt idx="17">
                  <c:v>7143.9988183346586</c:v>
                </c:pt>
                <c:pt idx="18">
                  <c:v>7335.4135982903426</c:v>
                </c:pt>
                <c:pt idx="19">
                  <c:v>7527.0910561226401</c:v>
                </c:pt>
                <c:pt idx="20">
                  <c:v>7714.3047358237764</c:v>
                </c:pt>
                <c:pt idx="21">
                  <c:v>7891.8931041417618</c:v>
                </c:pt>
                <c:pt idx="22">
                  <c:v>8054.3056305708897</c:v>
                </c:pt>
                <c:pt idx="23">
                  <c:v>8196.9025254182216</c:v>
                </c:pt>
                <c:pt idx="24">
                  <c:v>8319.869573236032</c:v>
                </c:pt>
                <c:pt idx="25">
                  <c:v>8424.8697779481881</c:v>
                </c:pt>
                <c:pt idx="26">
                  <c:v>8513.8237544958793</c:v>
                </c:pt>
                <c:pt idx="27">
                  <c:v>8588.8643454573103</c:v>
                </c:pt>
                <c:pt idx="28">
                  <c:v>8651.9053377892596</c:v>
                </c:pt>
                <c:pt idx="29">
                  <c:v>8703.4171608003853</c:v>
                </c:pt>
                <c:pt idx="30">
                  <c:v>8743.5422635386185</c:v>
                </c:pt>
                <c:pt idx="31">
                  <c:v>8772.4751585494923</c:v>
                </c:pt>
                <c:pt idx="32">
                  <c:v>8790.4588995823415</c:v>
                </c:pt>
                <c:pt idx="33">
                  <c:v>8797.7813186198709</c:v>
                </c:pt>
                <c:pt idx="34">
                  <c:v>8794.7710785045219</c:v>
                </c:pt>
                <c:pt idx="35">
                  <c:v>8781.7935959471597</c:v>
                </c:pt>
                <c:pt idx="36">
                  <c:v>8759.2468874920651</c:v>
                </c:pt>
                <c:pt idx="37">
                  <c:v>8727.5573881817218</c:v>
                </c:pt>
                <c:pt idx="38">
                  <c:v>8687.1757893155082</c:v>
                </c:pt>
                <c:pt idx="39">
                  <c:v>8638.5729379337954</c:v>
                </c:pt>
                <c:pt idx="40">
                  <c:v>8582.2358365860455</c:v>
                </c:pt>
                <c:pt idx="41">
                  <c:v>8518.6637776560365</c:v>
                </c:pt>
                <c:pt idx="42">
                  <c:v>8448.3646421102258</c:v>
                </c:pt>
                <c:pt idx="43">
                  <c:v>8371.8513880952978</c:v>
                </c:pt>
                <c:pt idx="44">
                  <c:v>8289.6387504122467</c:v>
                </c:pt>
                <c:pt idx="45">
                  <c:v>8202.2401676074751</c:v>
                </c:pt>
                <c:pt idx="46">
                  <c:v>8110.1649493042287</c:v>
                </c:pt>
                <c:pt idx="47">
                  <c:v>8013.9156925011775</c:v>
                </c:pt>
                <c:pt idx="48">
                  <c:v>7913.9859519279262</c:v>
                </c:pt>
                <c:pt idx="49">
                  <c:v>7810.8581662023362</c:v>
                </c:pt>
                <c:pt idx="50">
                  <c:v>7705.0018385034018</c:v>
                </c:pt>
                <c:pt idx="51">
                  <c:v>7596.8719677704466</c:v>
                </c:pt>
                <c:pt idx="52">
                  <c:v>7486.9077240716542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154-4A07-92CC-FB0C2DCF4F71}"/>
            </c:ext>
          </c:extLst>
        </c:ser>
        <c:ser>
          <c:idx val="32"/>
          <c:order val="32"/>
          <c:tx>
            <c:strRef>
              <c:f>'增加值 (2001-2060, 2020RMB)'!$A$46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29679.362258587451</c:v>
                </c:pt>
                <c:pt idx="16">
                  <c:v>31991.989126133831</c:v>
                </c:pt>
                <c:pt idx="17">
                  <c:v>34449.964911793322</c:v>
                </c:pt>
                <c:pt idx="18">
                  <c:v>37041.397773413017</c:v>
                </c:pt>
                <c:pt idx="19">
                  <c:v>39749.088336083158</c:v>
                </c:pt>
                <c:pt idx="20">
                  <c:v>42549.884139605252</c:v>
                </c:pt>
                <c:pt idx="21">
                  <c:v>45414.148514039967</c:v>
                </c:pt>
                <c:pt idx="22">
                  <c:v>48305.405823362693</c:v>
                </c:pt>
                <c:pt idx="23">
                  <c:v>51186.125244258787</c:v>
                </c:pt>
                <c:pt idx="24">
                  <c:v>54038.214446594247</c:v>
                </c:pt>
                <c:pt idx="25">
                  <c:v>56850.22803095197</c:v>
                </c:pt>
                <c:pt idx="26">
                  <c:v>59612.342265863488</c:v>
                </c:pt>
                <c:pt idx="27">
                  <c:v>62316.519033306409</c:v>
                </c:pt>
                <c:pt idx="28">
                  <c:v>64955.620314447609</c:v>
                </c:pt>
                <c:pt idx="29">
                  <c:v>67520.146796731511</c:v>
                </c:pt>
                <c:pt idx="30">
                  <c:v>70000.785980902539</c:v>
                </c:pt>
                <c:pt idx="31">
                  <c:v>72389.428987856983</c:v>
                </c:pt>
                <c:pt idx="32">
                  <c:v>74679.238718936394</c:v>
                </c:pt>
                <c:pt idx="33">
                  <c:v>76864.695427868501</c:v>
                </c:pt>
                <c:pt idx="34">
                  <c:v>78941.620498146585</c:v>
                </c:pt>
                <c:pt idx="35">
                  <c:v>80907.179703947011</c:v>
                </c:pt>
                <c:pt idx="36">
                  <c:v>82759.867639443255</c:v>
                </c:pt>
                <c:pt idx="37">
                  <c:v>84499.475325876891</c:v>
                </c:pt>
                <c:pt idx="38">
                  <c:v>86127.043246826899</c:v>
                </c:pt>
                <c:pt idx="39">
                  <c:v>87644.802221903679</c:v>
                </c:pt>
                <c:pt idx="40">
                  <c:v>89056.104612440584</c:v>
                </c:pt>
                <c:pt idx="41">
                  <c:v>90365.348366734528</c:v>
                </c:pt>
                <c:pt idx="42">
                  <c:v>91577.896365716544</c:v>
                </c:pt>
                <c:pt idx="43">
                  <c:v>92699.993432456002</c:v>
                </c:pt>
                <c:pt idx="44">
                  <c:v>93738.683231058516</c:v>
                </c:pt>
                <c:pt idx="45">
                  <c:v>94701.727112906068</c:v>
                </c:pt>
                <c:pt idx="46">
                  <c:v>95597.526781153196</c:v>
                </c:pt>
                <c:pt idx="47">
                  <c:v>96435.052447799317</c:v>
                </c:pt>
                <c:pt idx="48">
                  <c:v>97223.777960540086</c:v>
                </c:pt>
                <c:pt idx="49">
                  <c:v>97973.624187168607</c:v>
                </c:pt>
                <c:pt idx="50">
                  <c:v>98694.911770708248</c:v>
                </c:pt>
                <c:pt idx="51">
                  <c:v>99398.324214952401</c:v>
                </c:pt>
                <c:pt idx="52">
                  <c:v>100094.88213295194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54-4A07-92CC-FB0C2DCF4F71}"/>
            </c:ext>
          </c:extLst>
        </c:ser>
        <c:ser>
          <c:idx val="33"/>
          <c:order val="33"/>
          <c:tx>
            <c:strRef>
              <c:f>'增加值 (2001-2060, 2020RMB)'!$A$47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43584.733033449971</c:v>
                </c:pt>
                <c:pt idx="16">
                  <c:v>47256.243701708619</c:v>
                </c:pt>
                <c:pt idx="17">
                  <c:v>51058.566822290319</c:v>
                </c:pt>
                <c:pt idx="18">
                  <c:v>54987.380863815742</c:v>
                </c:pt>
                <c:pt idx="19">
                  <c:v>59039.5194991108</c:v>
                </c:pt>
                <c:pt idx="20">
                  <c:v>63213.28160138971</c:v>
                </c:pt>
                <c:pt idx="21">
                  <c:v>67508.735962341554</c:v>
                </c:pt>
                <c:pt idx="22">
                  <c:v>71928.02062401791</c:v>
                </c:pt>
                <c:pt idx="23">
                  <c:v>76472.173576888206</c:v>
                </c:pt>
                <c:pt idx="24">
                  <c:v>81129.340547345564</c:v>
                </c:pt>
                <c:pt idx="25">
                  <c:v>85882.35828161164</c:v>
                </c:pt>
                <c:pt idx="26">
                  <c:v>90711.802913557709</c:v>
                </c:pt>
                <c:pt idx="27">
                  <c:v>95596.01208488144</c:v>
                </c:pt>
                <c:pt idx="28">
                  <c:v>100513.0349671017</c:v>
                </c:pt>
                <c:pt idx="29">
                  <c:v>105447.147428599</c:v>
                </c:pt>
                <c:pt idx="30">
                  <c:v>110384.6038303473</c:v>
                </c:pt>
                <c:pt idx="31">
                  <c:v>115312.0705243562</c:v>
                </c:pt>
                <c:pt idx="32">
                  <c:v>120216.75957101359</c:v>
                </c:pt>
                <c:pt idx="33">
                  <c:v>125086.5531364936</c:v>
                </c:pt>
                <c:pt idx="34">
                  <c:v>129910.1172602005</c:v>
                </c:pt>
                <c:pt idx="35">
                  <c:v>134677.00396192231</c:v>
                </c:pt>
                <c:pt idx="36">
                  <c:v>139377.74094378811</c:v>
                </c:pt>
                <c:pt idx="37">
                  <c:v>144003.9084260074</c:v>
                </c:pt>
                <c:pt idx="38">
                  <c:v>148548.2029312379</c:v>
                </c:pt>
                <c:pt idx="39">
                  <c:v>153004.48809454939</c:v>
                </c:pt>
                <c:pt idx="40">
                  <c:v>157367.83281956159</c:v>
                </c:pt>
                <c:pt idx="41">
                  <c:v>161634.53732260599</c:v>
                </c:pt>
                <c:pt idx="42">
                  <c:v>165802.1478029328</c:v>
                </c:pt>
                <c:pt idx="43">
                  <c:v>169869.46064620739</c:v>
                </c:pt>
                <c:pt idx="44">
                  <c:v>173836.5172100153</c:v>
                </c:pt>
                <c:pt idx="45">
                  <c:v>177704.59035377379</c:v>
                </c:pt>
                <c:pt idx="46">
                  <c:v>181476.16396222729</c:v>
                </c:pt>
                <c:pt idx="47">
                  <c:v>185154.9067730259</c:v>
                </c:pt>
                <c:pt idx="48">
                  <c:v>188745.6418569102</c:v>
                </c:pt>
                <c:pt idx="49">
                  <c:v>192254.31311627419</c:v>
                </c:pt>
                <c:pt idx="50">
                  <c:v>195687.95016733321</c:v>
                </c:pt>
                <c:pt idx="51">
                  <c:v>199054.63295598101</c:v>
                </c:pt>
                <c:pt idx="52">
                  <c:v>202363.45743106428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154-4A07-92CC-FB0C2DCF4F71}"/>
            </c:ext>
          </c:extLst>
        </c:ser>
        <c:ser>
          <c:idx val="34"/>
          <c:order val="34"/>
          <c:tx>
            <c:strRef>
              <c:f>'增加值 (2001-2060, 2020RMB)'!$A$48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3417.8876966780549</c:v>
                </c:pt>
                <c:pt idx="16">
                  <c:v>3614.733268225119</c:v>
                </c:pt>
                <c:pt idx="17">
                  <c:v>3814.7523859894404</c:v>
                </c:pt>
                <c:pt idx="18">
                  <c:v>4017.252724213512</c:v>
                </c:pt>
                <c:pt idx="19">
                  <c:v>4221.4896766476677</c:v>
                </c:pt>
                <c:pt idx="20">
                  <c:v>4426.6701277249249</c:v>
                </c:pt>
                <c:pt idx="21">
                  <c:v>4631.9569296472673</c:v>
                </c:pt>
                <c:pt idx="22">
                  <c:v>4836.4740609200499</c:v>
                </c:pt>
                <c:pt idx="23">
                  <c:v>5039.370044998941</c:v>
                </c:pt>
                <c:pt idx="24">
                  <c:v>5240.0155289431177</c:v>
                </c:pt>
                <c:pt idx="25">
                  <c:v>5437.8684832406116</c:v>
                </c:pt>
                <c:pt idx="26">
                  <c:v>5632.4259750308902</c:v>
                </c:pt>
                <c:pt idx="27">
                  <c:v>5823.2283101708726</c:v>
                </c:pt>
                <c:pt idx="28">
                  <c:v>6009.8397706906371</c:v>
                </c:pt>
                <c:pt idx="29">
                  <c:v>6191.7776219961452</c:v>
                </c:pt>
                <c:pt idx="30">
                  <c:v>6368.573600360829</c:v>
                </c:pt>
                <c:pt idx="31">
                  <c:v>6539.7981358791139</c:v>
                </c:pt>
                <c:pt idx="32">
                  <c:v>6705.0627538409117</c:v>
                </c:pt>
                <c:pt idx="33">
                  <c:v>6864.0220052926979</c:v>
                </c:pt>
                <c:pt idx="34">
                  <c:v>7016.3749261542216</c:v>
                </c:pt>
                <c:pt idx="35">
                  <c:v>7161.8660312370403</c:v>
                </c:pt>
                <c:pt idx="36">
                  <c:v>7300.2858559452015</c:v>
                </c:pt>
                <c:pt idx="37">
                  <c:v>7431.4710642462715</c:v>
                </c:pt>
                <c:pt idx="38">
                  <c:v>7555.3041466161831</c:v>
                </c:pt>
                <c:pt idx="39">
                  <c:v>7671.7127360391096</c:v>
                </c:pt>
                <c:pt idx="40">
                  <c:v>7780.6685737616463</c:v>
                </c:pt>
                <c:pt idx="41">
                  <c:v>7882.1861593493159</c:v>
                </c:pt>
                <c:pt idx="42">
                  <c:v>7976.3211216886748</c:v>
                </c:pt>
                <c:pt idx="43">
                  <c:v>8063.168348942223</c:v>
                </c:pt>
                <c:pt idx="44">
                  <c:v>8142.8599161389584</c:v>
                </c:pt>
                <c:pt idx="45">
                  <c:v>8215.5628491183106</c:v>
                </c:pt>
                <c:pt idx="46">
                  <c:v>8281.4767630010647</c:v>
                </c:pt>
                <c:pt idx="47">
                  <c:v>8340.8314123007058</c:v>
                </c:pt>
                <c:pt idx="48">
                  <c:v>8393.8841882844536</c:v>
                </c:pt>
                <c:pt idx="49">
                  <c:v>8440.9175973142865</c:v>
                </c:pt>
                <c:pt idx="50">
                  <c:v>8482.2367517207749</c:v>
                </c:pt>
                <c:pt idx="51">
                  <c:v>8518.1669023527411</c:v>
                </c:pt>
                <c:pt idx="52">
                  <c:v>8549.0510393777149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154-4A07-92CC-FB0C2DCF4F71}"/>
            </c:ext>
          </c:extLst>
        </c:ser>
        <c:ser>
          <c:idx val="35"/>
          <c:order val="35"/>
          <c:tx>
            <c:strRef>
              <c:f>'增加值 (2001-2060, 2020RMB)'!$A$49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935.35586454621773</c:v>
                </c:pt>
                <c:pt idx="16">
                  <c:v>962.45089747879183</c:v>
                </c:pt>
                <c:pt idx="17">
                  <c:v>988.34278432375777</c:v>
                </c:pt>
                <c:pt idx="18">
                  <c:v>1012.725721279416</c:v>
                </c:pt>
                <c:pt idx="19">
                  <c:v>1035.2833741170109</c:v>
                </c:pt>
                <c:pt idx="20">
                  <c:v>1055.693185498764</c:v>
                </c:pt>
                <c:pt idx="21">
                  <c:v>1073.6313899882091</c:v>
                </c:pt>
                <c:pt idx="22">
                  <c:v>1088.7786878627521</c:v>
                </c:pt>
                <c:pt idx="23">
                  <c:v>1100.9358473960151</c:v>
                </c:pt>
                <c:pt idx="24">
                  <c:v>1110.365658334772</c:v>
                </c:pt>
                <c:pt idx="25">
                  <c:v>1117.4764780729181</c:v>
                </c:pt>
                <c:pt idx="26">
                  <c:v>1122.705561307406</c:v>
                </c:pt>
                <c:pt idx="27">
                  <c:v>1126.5104529483483</c:v>
                </c:pt>
                <c:pt idx="28">
                  <c:v>1129.279208093584</c:v>
                </c:pt>
                <c:pt idx="29">
                  <c:v>1131.075527180582</c:v>
                </c:pt>
                <c:pt idx="30">
                  <c:v>1131.8831424434891</c:v>
                </c:pt>
                <c:pt idx="31">
                  <c:v>1131.6883248828281</c:v>
                </c:pt>
                <c:pt idx="32">
                  <c:v>1130.4799956386539</c:v>
                </c:pt>
                <c:pt idx="33">
                  <c:v>1128.249826931657</c:v>
                </c:pt>
                <c:pt idx="34">
                  <c:v>1124.9923316203201</c:v>
                </c:pt>
                <c:pt idx="35">
                  <c:v>1120.7049404735569</c:v>
                </c:pt>
                <c:pt idx="36">
                  <c:v>1115.3880663196251</c:v>
                </c:pt>
                <c:pt idx="37">
                  <c:v>1109.0451543029469</c:v>
                </c:pt>
                <c:pt idx="38">
                  <c:v>1101.68271756074</c:v>
                </c:pt>
                <c:pt idx="39">
                  <c:v>1093.3103577203369</c:v>
                </c:pt>
                <c:pt idx="40">
                  <c:v>1083.940769715636</c:v>
                </c:pt>
                <c:pt idx="41">
                  <c:v>1073.5897305260589</c:v>
                </c:pt>
                <c:pt idx="42">
                  <c:v>1062.2760715534166</c:v>
                </c:pt>
                <c:pt idx="43">
                  <c:v>1050.021634470022</c:v>
                </c:pt>
                <c:pt idx="44">
                  <c:v>1036.8512104942381</c:v>
                </c:pt>
                <c:pt idx="45">
                  <c:v>1022.792463176538</c:v>
                </c:pt>
                <c:pt idx="46">
                  <c:v>1007.87583490859</c:v>
                </c:pt>
                <c:pt idx="47">
                  <c:v>992.13443749889893</c:v>
                </c:pt>
                <c:pt idx="48">
                  <c:v>975.60392728963495</c:v>
                </c:pt>
                <c:pt idx="49">
                  <c:v>958.3223654192002</c:v>
                </c:pt>
                <c:pt idx="50">
                  <c:v>940.33006396237113</c:v>
                </c:pt>
                <c:pt idx="51">
                  <c:v>921.66941880320235</c:v>
                </c:pt>
                <c:pt idx="52">
                  <c:v>902.38473021378638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154-4A07-92CC-FB0C2DCF4F71}"/>
            </c:ext>
          </c:extLst>
        </c:ser>
        <c:ser>
          <c:idx val="36"/>
          <c:order val="36"/>
          <c:tx>
            <c:strRef>
              <c:f>'增加值 (2001-2060, 2020RMB)'!$A$50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1576.127355619547</c:v>
                </c:pt>
                <c:pt idx="16">
                  <c:v>1688.9697446702739</c:v>
                </c:pt>
                <c:pt idx="17">
                  <c:v>1821.6352387433571</c:v>
                </c:pt>
                <c:pt idx="18">
                  <c:v>1973.5382963716841</c:v>
                </c:pt>
                <c:pt idx="19">
                  <c:v>2143.4328992452251</c:v>
                </c:pt>
                <c:pt idx="20">
                  <c:v>2329.1101371277659</c:v>
                </c:pt>
                <c:pt idx="21">
                  <c:v>2527.0949647568541</c:v>
                </c:pt>
                <c:pt idx="22">
                  <c:v>2732.3737677857644</c:v>
                </c:pt>
                <c:pt idx="23">
                  <c:v>2939.493600656569</c:v>
                </c:pt>
                <c:pt idx="24">
                  <c:v>3147.1009593706522</c:v>
                </c:pt>
                <c:pt idx="25">
                  <c:v>3355.349069890719</c:v>
                </c:pt>
                <c:pt idx="26">
                  <c:v>3564.8129727326582</c:v>
                </c:pt>
                <c:pt idx="27">
                  <c:v>3776.5125448492172</c:v>
                </c:pt>
                <c:pt idx="28">
                  <c:v>3991.5046027737822</c:v>
                </c:pt>
                <c:pt idx="29">
                  <c:v>4209.4293960522391</c:v>
                </c:pt>
                <c:pt idx="30">
                  <c:v>4429.4860359846589</c:v>
                </c:pt>
                <c:pt idx="31">
                  <c:v>4650.820478733157</c:v>
                </c:pt>
                <c:pt idx="32">
                  <c:v>4872.5305068034268</c:v>
                </c:pt>
                <c:pt idx="33">
                  <c:v>5093.6714521943322</c:v>
                </c:pt>
                <c:pt idx="34">
                  <c:v>5313.2626170578596</c:v>
                </c:pt>
                <c:pt idx="35">
                  <c:v>5530.2943354190375</c:v>
                </c:pt>
                <c:pt idx="36">
                  <c:v>5743.7356077510176</c:v>
                </c:pt>
                <c:pt idx="37">
                  <c:v>5952.5422292302501</c:v>
                </c:pt>
                <c:pt idx="38">
                  <c:v>6155.6653225488908</c:v>
                </c:pt>
                <c:pt idx="39">
                  <c:v>6352.0601774577208</c:v>
                </c:pt>
                <c:pt idx="40">
                  <c:v>6540.6952919546629</c:v>
                </c:pt>
                <c:pt idx="41">
                  <c:v>6720.5615043962453</c:v>
                </c:pt>
                <c:pt idx="42">
                  <c:v>6890.6811019356428</c:v>
                </c:pt>
                <c:pt idx="43">
                  <c:v>7050.1167886927551</c:v>
                </c:pt>
                <c:pt idx="44">
                  <c:v>7197.9803970066687</c:v>
                </c:pt>
                <c:pt idx="45">
                  <c:v>7333.4412270443027</c:v>
                </c:pt>
                <c:pt idx="46">
                  <c:v>7455.7339039263898</c:v>
                </c:pt>
                <c:pt idx="47">
                  <c:v>7564.1656473356679</c:v>
                </c:pt>
                <c:pt idx="48">
                  <c:v>7658.1228561941734</c:v>
                </c:pt>
                <c:pt idx="49">
                  <c:v>7737.0769203104164</c:v>
                </c:pt>
                <c:pt idx="50">
                  <c:v>7800.5891817312404</c:v>
                </c:pt>
                <c:pt idx="51">
                  <c:v>7848.3149806897191</c:v>
                </c:pt>
                <c:pt idx="52">
                  <c:v>7880.0067342907441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154-4A07-92CC-FB0C2DCF4F71}"/>
            </c:ext>
          </c:extLst>
        </c:ser>
        <c:ser>
          <c:idx val="37"/>
          <c:order val="37"/>
          <c:tx>
            <c:strRef>
              <c:f>'增加值 (2001-2060, 2020RMB)'!$A$51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496.81274067292429</c:v>
                </c:pt>
                <c:pt idx="16">
                  <c:v>518.36232879670422</c:v>
                </c:pt>
                <c:pt idx="17">
                  <c:v>539.09836322790534</c:v>
                </c:pt>
                <c:pt idx="18">
                  <c:v>558.8480015006113</c:v>
                </c:pt>
                <c:pt idx="19">
                  <c:v>577.44115545490502</c:v>
                </c:pt>
                <c:pt idx="20">
                  <c:v>594.71287753333024</c:v>
                </c:pt>
                <c:pt idx="21">
                  <c:v>610.50575640369129</c:v>
                </c:pt>
                <c:pt idx="22">
                  <c:v>624.67227423359566</c:v>
                </c:pt>
                <c:pt idx="23">
                  <c:v>637.12477639794827</c:v>
                </c:pt>
                <c:pt idx="24">
                  <c:v>647.98710885691446</c:v>
                </c:pt>
                <c:pt idx="25">
                  <c:v>657.4612679853293</c:v>
                </c:pt>
                <c:pt idx="26">
                  <c:v>665.77616308505321</c:v>
                </c:pt>
                <c:pt idx="27">
                  <c:v>673.18262770616661</c:v>
                </c:pt>
                <c:pt idx="28">
                  <c:v>679.89824544072724</c:v>
                </c:pt>
                <c:pt idx="29">
                  <c:v>685.94747688115763</c:v>
                </c:pt>
                <c:pt idx="30">
                  <c:v>691.30664860969</c:v>
                </c:pt>
                <c:pt idx="31">
                  <c:v>695.95400552836009</c:v>
                </c:pt>
                <c:pt idx="32">
                  <c:v>699.86984907456372</c:v>
                </c:pt>
                <c:pt idx="33">
                  <c:v>703.03666671207066</c:v>
                </c:pt>
                <c:pt idx="34">
                  <c:v>705.43925157383183</c:v>
                </c:pt>
                <c:pt idx="35">
                  <c:v>707.06481118318982</c:v>
                </c:pt>
                <c:pt idx="36">
                  <c:v>707.90306424204391</c:v>
                </c:pt>
                <c:pt idx="37">
                  <c:v>707.94632454783539</c:v>
                </c:pt>
                <c:pt idx="38">
                  <c:v>707.1895711855027</c:v>
                </c:pt>
                <c:pt idx="39">
                  <c:v>705.63050423519303</c:v>
                </c:pt>
                <c:pt idx="40">
                  <c:v>703.26958534076607</c:v>
                </c:pt>
                <c:pt idx="41">
                  <c:v>700.11006259713383</c:v>
                </c:pt>
                <c:pt idx="42">
                  <c:v>696.15797933525232</c:v>
                </c:pt>
                <c:pt idx="43">
                  <c:v>691.42216651094645</c:v>
                </c:pt>
                <c:pt idx="44">
                  <c:v>685.91421853653401</c:v>
                </c:pt>
                <c:pt idx="45">
                  <c:v>679.64845253099463</c:v>
                </c:pt>
                <c:pt idx="46">
                  <c:v>672.64185110392702</c:v>
                </c:pt>
                <c:pt idx="47">
                  <c:v>664.91398892905715</c:v>
                </c:pt>
                <c:pt idx="48">
                  <c:v>656.48694350334279</c:v>
                </c:pt>
                <c:pt idx="49">
                  <c:v>647.38519062594241</c:v>
                </c:pt>
                <c:pt idx="50">
                  <c:v>637.63548526610737</c:v>
                </c:pt>
                <c:pt idx="51">
                  <c:v>627.26672861880763</c:v>
                </c:pt>
                <c:pt idx="52">
                  <c:v>616.30982227002789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154-4A07-92CC-FB0C2DCF4F71}"/>
            </c:ext>
          </c:extLst>
        </c:ser>
        <c:ser>
          <c:idx val="38"/>
          <c:order val="38"/>
          <c:tx>
            <c:strRef>
              <c:f>'增加值 (2001-2060, 2020RMB)'!$A$52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18332.03846131052</c:v>
                </c:pt>
                <c:pt idx="16">
                  <c:v>19322.75931107446</c:v>
                </c:pt>
                <c:pt idx="17">
                  <c:v>20429.820488769768</c:v>
                </c:pt>
                <c:pt idx="18">
                  <c:v>21635.920247354661</c:v>
                </c:pt>
                <c:pt idx="19">
                  <c:v>22918.173405395199</c:v>
                </c:pt>
                <c:pt idx="20">
                  <c:v>24246.934048512328</c:v>
                </c:pt>
                <c:pt idx="21">
                  <c:v>25584.931301374148</c:v>
                </c:pt>
                <c:pt idx="22">
                  <c:v>26886.895923450815</c:v>
                </c:pt>
                <c:pt idx="23">
                  <c:v>28109.051693517918</c:v>
                </c:pt>
                <c:pt idx="24">
                  <c:v>29240.71037391053</c:v>
                </c:pt>
                <c:pt idx="25">
                  <c:v>30282.704445596031</c:v>
                </c:pt>
                <c:pt idx="26">
                  <c:v>31238.863642459219</c:v>
                </c:pt>
                <c:pt idx="27">
                  <c:v>32115.777807180053</c:v>
                </c:pt>
                <c:pt idx="28">
                  <c:v>32920.60856796366</c:v>
                </c:pt>
                <c:pt idx="29">
                  <c:v>33654.715090107587</c:v>
                </c:pt>
                <c:pt idx="30">
                  <c:v>34318.620562900323</c:v>
                </c:pt>
                <c:pt idx="31">
                  <c:v>34913.770882027522</c:v>
                </c:pt>
                <c:pt idx="32">
                  <c:v>35442.464272242301</c:v>
                </c:pt>
                <c:pt idx="33">
                  <c:v>35907.7728699258</c:v>
                </c:pt>
                <c:pt idx="34">
                  <c:v>36313.459370000834</c:v>
                </c:pt>
                <c:pt idx="35">
                  <c:v>36663.891666311218</c:v>
                </c:pt>
                <c:pt idx="36">
                  <c:v>36963.95817011399</c:v>
                </c:pt>
                <c:pt idx="37">
                  <c:v>37218.986199112747</c:v>
                </c:pt>
                <c:pt idx="38">
                  <c:v>37434.665509927872</c:v>
                </c:pt>
                <c:pt idx="39">
                  <c:v>37616.978718759878</c:v>
                </c:pt>
                <c:pt idx="40">
                  <c:v>37772.140034729891</c:v>
                </c:pt>
                <c:pt idx="41">
                  <c:v>37906.543431891143</c:v>
                </c:pt>
                <c:pt idx="42">
                  <c:v>38026.721120499642</c:v>
                </c:pt>
                <c:pt idx="43">
                  <c:v>38139.312954605433</c:v>
                </c:pt>
                <c:pt idx="44">
                  <c:v>38251.047237914398</c:v>
                </c:pt>
                <c:pt idx="45">
                  <c:v>38368.7332678479</c:v>
                </c:pt>
                <c:pt idx="46">
                  <c:v>38499.265892032403</c:v>
                </c:pt>
                <c:pt idx="47">
                  <c:v>38649.642344440421</c:v>
                </c:pt>
                <c:pt idx="48">
                  <c:v>38826.991682048792</c:v>
                </c:pt>
                <c:pt idx="49">
                  <c:v>39038.617259423932</c:v>
                </c:pt>
                <c:pt idx="50">
                  <c:v>39292.052861141397</c:v>
                </c:pt>
                <c:pt idx="51">
                  <c:v>39595.133364944697</c:v>
                </c:pt>
                <c:pt idx="52">
                  <c:v>39956.081138807873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154-4A07-92CC-FB0C2DCF4F71}"/>
            </c:ext>
          </c:extLst>
        </c:ser>
        <c:ser>
          <c:idx val="39"/>
          <c:order val="39"/>
          <c:tx>
            <c:strRef>
              <c:f>'增加值 (2001-2060, 2020RMB)'!$A$53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2678.9661978369759</c:v>
                </c:pt>
                <c:pt idx="16">
                  <c:v>2927.7921283456781</c:v>
                </c:pt>
                <c:pt idx="17">
                  <c:v>3211.7319678098347</c:v>
                </c:pt>
                <c:pt idx="18">
                  <c:v>3529.9566868390898</c:v>
                </c:pt>
                <c:pt idx="19">
                  <c:v>3880.033370370581</c:v>
                </c:pt>
                <c:pt idx="20">
                  <c:v>4257.3810508765137</c:v>
                </c:pt>
                <c:pt idx="21">
                  <c:v>4654.7411878575213</c:v>
                </c:pt>
                <c:pt idx="22">
                  <c:v>5061.7359172559572</c:v>
                </c:pt>
                <c:pt idx="23">
                  <c:v>5466.8142214834352</c:v>
                </c:pt>
                <c:pt idx="24">
                  <c:v>5865.1608048196294</c:v>
                </c:pt>
                <c:pt idx="25">
                  <c:v>6254.4795731542436</c:v>
                </c:pt>
                <c:pt idx="26">
                  <c:v>6633.1978439626437</c:v>
                </c:pt>
                <c:pt idx="27">
                  <c:v>7000.5169556312885</c:v>
                </c:pt>
                <c:pt idx="28">
                  <c:v>7356.0671228654592</c:v>
                </c:pt>
                <c:pt idx="29">
                  <c:v>7698.6627148987291</c:v>
                </c:pt>
                <c:pt idx="30">
                  <c:v>8027.1747935746198</c:v>
                </c:pt>
                <c:pt idx="31">
                  <c:v>8340.8774900238495</c:v>
                </c:pt>
                <c:pt idx="32">
                  <c:v>8639.4508701873674</c:v>
                </c:pt>
                <c:pt idx="33">
                  <c:v>8922.9752724066384</c:v>
                </c:pt>
                <c:pt idx="34">
                  <c:v>9191.9186406314766</c:v>
                </c:pt>
                <c:pt idx="35">
                  <c:v>9447.1185379462531</c:v>
                </c:pt>
                <c:pt idx="36">
                  <c:v>9689.7606010693289</c:v>
                </c:pt>
                <c:pt idx="37">
                  <c:v>9921.3552000419404</c:v>
                </c:pt>
                <c:pt idx="38">
                  <c:v>10143.714014280949</c:v>
                </c:pt>
                <c:pt idx="39">
                  <c:v>10358.928143915309</c:v>
                </c:pt>
                <c:pt idx="40">
                  <c:v>10569.3492617056</c:v>
                </c:pt>
                <c:pt idx="41">
                  <c:v>10777.57519327618</c:v>
                </c:pt>
                <c:pt idx="42">
                  <c:v>10986.4412083307</c:v>
                </c:pt>
                <c:pt idx="43">
                  <c:v>11199.018228227629</c:v>
                </c:pt>
                <c:pt idx="44">
                  <c:v>11418.619119920641</c:v>
                </c:pt>
                <c:pt idx="45">
                  <c:v>11648.814266254911</c:v>
                </c:pt>
                <c:pt idx="46">
                  <c:v>11893.457691334679</c:v>
                </c:pt>
                <c:pt idx="47">
                  <c:v>12156.725191403009</c:v>
                </c:pt>
                <c:pt idx="48">
                  <c:v>12443.166192754181</c:v>
                </c:pt>
                <c:pt idx="49">
                  <c:v>12757.77144863359</c:v>
                </c:pt>
                <c:pt idx="50">
                  <c:v>13106.059222430689</c:v>
                </c:pt>
                <c:pt idx="51">
                  <c:v>13494.18331836138</c:v>
                </c:pt>
                <c:pt idx="52">
                  <c:v>13929.06725810133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154-4A07-92CC-FB0C2DCF4F71}"/>
            </c:ext>
          </c:extLst>
        </c:ser>
        <c:ser>
          <c:idx val="40"/>
          <c:order val="40"/>
          <c:tx>
            <c:strRef>
              <c:f>'增加值 (2001-2060, 2020RMB)'!$A$54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1360.124109175327</c:v>
                </c:pt>
                <c:pt idx="16">
                  <c:v>1430.923910045386</c:v>
                </c:pt>
                <c:pt idx="17">
                  <c:v>1509.9974262866594</c:v>
                </c:pt>
                <c:pt idx="18">
                  <c:v>1596.045049915022</c:v>
                </c:pt>
                <c:pt idx="19">
                  <c:v>1687.372486421752</c:v>
                </c:pt>
                <c:pt idx="20">
                  <c:v>1781.8094907822649</c:v>
                </c:pt>
                <c:pt idx="21">
                  <c:v>1876.651655420105</c:v>
                </c:pt>
                <c:pt idx="22">
                  <c:v>1968.6375554466401</c:v>
                </c:pt>
                <c:pt idx="23">
                  <c:v>2054.637121510249</c:v>
                </c:pt>
                <c:pt idx="24">
                  <c:v>2133.9249886098678</c:v>
                </c:pt>
                <c:pt idx="25">
                  <c:v>2206.607896220261</c:v>
                </c:pt>
                <c:pt idx="26">
                  <c:v>2273.0057408964631</c:v>
                </c:pt>
                <c:pt idx="27">
                  <c:v>2333.6331685861392</c:v>
                </c:pt>
                <c:pt idx="28">
                  <c:v>2389.0390535132751</c:v>
                </c:pt>
                <c:pt idx="29">
                  <c:v>2439.3419937500739</c:v>
                </c:pt>
                <c:pt idx="30">
                  <c:v>2484.5953247183479</c:v>
                </c:pt>
                <c:pt idx="31">
                  <c:v>2524.915850602863</c:v>
                </c:pt>
                <c:pt idx="32">
                  <c:v>2560.4787320236642</c:v>
                </c:pt>
                <c:pt idx="33">
                  <c:v>2591.5118645027401</c:v>
                </c:pt>
                <c:pt idx="34">
                  <c:v>2618.2899579897812</c:v>
                </c:pt>
                <c:pt idx="35">
                  <c:v>2641.1285145467191</c:v>
                </c:pt>
                <c:pt idx="36">
                  <c:v>2660.37788374609</c:v>
                </c:pt>
                <c:pt idx="37">
                  <c:v>2676.4175548293711</c:v>
                </c:pt>
                <c:pt idx="38">
                  <c:v>2689.6508225417751</c:v>
                </c:pt>
                <c:pt idx="39">
                  <c:v>2700.4999410298969</c:v>
                </c:pt>
                <c:pt idx="40">
                  <c:v>2709.4018583240431</c:v>
                </c:pt>
                <c:pt idx="41">
                  <c:v>2716.8046036226478</c:v>
                </c:pt>
                <c:pt idx="42">
                  <c:v>2723.1643815711277</c:v>
                </c:pt>
                <c:pt idx="43">
                  <c:v>2728.9434125346402</c:v>
                </c:pt>
                <c:pt idx="44">
                  <c:v>2734.6085459073988</c:v>
                </c:pt>
                <c:pt idx="45">
                  <c:v>2740.6306650603369</c:v>
                </c:pt>
                <c:pt idx="46">
                  <c:v>2747.484897788037</c:v>
                </c:pt>
                <c:pt idx="47">
                  <c:v>2755.6516451996708</c:v>
                </c:pt>
                <c:pt idx="48">
                  <c:v>2765.6184450021051</c:v>
                </c:pt>
                <c:pt idx="49">
                  <c:v>2777.882692154848</c:v>
                </c:pt>
                <c:pt idx="50">
                  <c:v>2792.9552510893059</c:v>
                </c:pt>
                <c:pt idx="51">
                  <c:v>2811.3650093220822</c:v>
                </c:pt>
                <c:pt idx="52">
                  <c:v>2833.6644427256601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154-4A07-92CC-FB0C2DCF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096016"/>
        <c:axId val="1997124336"/>
      </c:areaChart>
      <c:catAx>
        <c:axId val="199709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124336"/>
        <c:crosses val="autoZero"/>
        <c:auto val="1"/>
        <c:lblAlgn val="ctr"/>
        <c:lblOffset val="100"/>
        <c:noMultiLvlLbl val="0"/>
      </c:catAx>
      <c:valAx>
        <c:axId val="19971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09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29914605439259E-2"/>
          <c:y val="0.68720380311275431"/>
          <c:w val="0.89505111197705822"/>
          <c:h val="0.29407544805729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10582</xdr:colOff>
      <xdr:row>0</xdr:row>
      <xdr:rowOff>4234</xdr:rowOff>
    </xdr:from>
    <xdr:to>
      <xdr:col>8</xdr:col>
      <xdr:colOff>486832</xdr:colOff>
      <xdr:row>19</xdr:row>
      <xdr:rowOff>137583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68F95C-63B9-4598-FDF7-CF0C08E77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22</xdr:row>
      <xdr:rowOff>4233</xdr:rowOff>
    </xdr:from>
    <xdr:to>
      <xdr:col>8</xdr:col>
      <xdr:colOff>465666</xdr:colOff>
      <xdr:row>45</xdr:row>
      <xdr:rowOff>63500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FB5021A-3F68-A123-B8BC-8A74906C4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23D-41FA-41B6-BCB9-F55190A29591}">
  <dimension ref="A1:BM103"/>
  <sheetViews>
    <sheetView workbookViewId="0"/>
  </sheetViews>
  <sheetFormatPr defaultRowHeight="14.25" x14ac:dyDescent="0.2"/>
  <cols>
    <col min="1" max="1" width="34.25" customWidth="1"/>
    <col min="2" max="24" width="9.875" customWidth="1"/>
    <col min="25" max="25" width="9.75" customWidth="1"/>
    <col min="26" max="61" width="9.87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(2001-2060, 2020RMB)'!B2*$B$73</f>
        <v>28718.703655940928</v>
      </c>
      <c r="C2" s="7">
        <f>'增加值 (2001-2060, 2020RMB)'!C2*$B$73</f>
        <v>31332.105688631549</v>
      </c>
      <c r="D2" s="7">
        <f>'增加值 (2001-2060, 2020RMB)'!D2*$B$73</f>
        <v>34465.316257494705</v>
      </c>
      <c r="E2" s="7">
        <f>'增加值 (2001-2060, 2020RMB)'!E2*$B$73</f>
        <v>37946.313199501674</v>
      </c>
      <c r="F2" s="7">
        <f>'增加值 (2001-2060, 2020RMB)'!F2*$B$73</f>
        <v>42272.192904244868</v>
      </c>
      <c r="G2" s="6">
        <f>'增加值 (2001-2060, 2020RMB)'!G2*$B$73</f>
        <v>47640.761403083969</v>
      </c>
      <c r="H2" s="7">
        <f>'增加值 (2001-2060, 2020RMB)'!H2*$B$73</f>
        <v>54405.749522321901</v>
      </c>
      <c r="I2" s="7">
        <f>'增加值 (2001-2060, 2020RMB)'!I2*$B$73</f>
        <v>59683.107225987122</v>
      </c>
      <c r="J2" s="7">
        <f>'增加值 (2001-2060, 2020RMB)'!J2*$B$73</f>
        <v>65293.319305229925</v>
      </c>
      <c r="K2" s="8">
        <f>'增加值 (2001-2060, 2020RMB)'!K2*$B$73</f>
        <v>72214.411151584296</v>
      </c>
      <c r="L2" s="6">
        <f>'增加值 (2001-2060, 2020RMB)'!L2*$B$73</f>
        <v>79146.994622136364</v>
      </c>
      <c r="M2" s="7">
        <f>'增加值 (2001-2060, 2020RMB)'!M2*$B$73</f>
        <v>85399.607197285135</v>
      </c>
      <c r="N2" s="7">
        <f>'增加值 (2001-2060, 2020RMB)'!N2*$B$73</f>
        <v>92060.776558673388</v>
      </c>
      <c r="O2" s="7">
        <f>'增加值 (2001-2060, 2020RMB)'!O2*$B$73</f>
        <v>98873.27402401522</v>
      </c>
      <c r="P2" s="8">
        <f>'增加值 (2001-2060, 2020RMB)'!P2*$B$73</f>
        <v>105794.40320569629</v>
      </c>
      <c r="Q2" s="6">
        <f>'增加值 (2001-2060, 2020RMB)'!Q2*$B$73</f>
        <v>112988.42262368364</v>
      </c>
      <c r="R2" s="7">
        <f>'增加值 (2001-2060, 2020RMB)'!R2*$B$73</f>
        <v>120784.62378471781</v>
      </c>
      <c r="S2" s="7">
        <f>'增加值 (2001-2060, 2020RMB)'!S2*$B$73</f>
        <v>128877.1935782939</v>
      </c>
      <c r="T2" s="7">
        <f>'增加值 (2001-2060, 2020RMB)'!T2*$B$73</f>
        <v>136609.82519299156</v>
      </c>
      <c r="U2" s="8">
        <f>'增加值 (2001-2060, 2020RMB)'!U2*$B$73</f>
        <v>139615.24134723734</v>
      </c>
      <c r="V2" s="6">
        <f>'增加值 (2001-2060, 2020RMB)'!V2*$B$73</f>
        <v>151342.92162040531</v>
      </c>
      <c r="W2" s="7">
        <f>'增加值 (2001-2060, 2020RMB)'!W2*$B$73</f>
        <v>155883.20926901748</v>
      </c>
      <c r="X2" s="63">
        <f>'增加值 (2001-2060, 2020RMB)'!X2*$B$73</f>
        <v>164148.87000675121</v>
      </c>
      <c r="Y2" s="63">
        <f>'增加值 (2001-2060, 2020RMB)'!Y2*$B$73</f>
        <v>173055.31315450862</v>
      </c>
      <c r="Z2" s="64">
        <f>'增加值 (2001-2060, 2020RMB)'!Z2*$B$73</f>
        <v>182524.50147894802</v>
      </c>
      <c r="AA2" s="65">
        <f>'增加值 (2001-2060, 2020RMB)'!AA2*$B$73</f>
        <v>192459.95180204677</v>
      </c>
      <c r="AB2" s="63">
        <f>'增加值 (2001-2060, 2020RMB)'!AB2*$B$73</f>
        <v>202742.13780736204</v>
      </c>
      <c r="AC2" s="63">
        <f>'增加值 (2001-2060, 2020RMB)'!AC2*$B$73</f>
        <v>213224.9119652349</v>
      </c>
      <c r="AD2" s="63">
        <f>'增加值 (2001-2060, 2020RMB)'!AD2*$B$73</f>
        <v>223733.41657514605</v>
      </c>
      <c r="AE2" s="66">
        <f>'增加值 (2001-2060, 2020RMB)'!AE2*$B$73</f>
        <v>234064.06926626561</v>
      </c>
      <c r="AF2" s="65">
        <f>'增加值 (2001-2060, 2020RMB)'!AF2*$B$73</f>
        <v>244042.05574382583</v>
      </c>
      <c r="AG2" s="63">
        <f>'增加值 (2001-2060, 2020RMB)'!AG2*$B$73</f>
        <v>253705.48607307032</v>
      </c>
      <c r="AH2" s="63">
        <f>'增加值 (2001-2060, 2020RMB)'!AH2*$B$73</f>
        <v>263167.74830072629</v>
      </c>
      <c r="AI2" s="63">
        <f>'增加值 (2001-2060, 2020RMB)'!AI2*$B$73</f>
        <v>272563.55641064909</v>
      </c>
      <c r="AJ2" s="64">
        <f>'增加值 (2001-2060, 2020RMB)'!AJ2*$B$73</f>
        <v>282047.02204634034</v>
      </c>
      <c r="AK2" s="65">
        <f>'增加值 (2001-2060, 2020RMB)'!AK2*$B$73</f>
        <v>291755.24040559836</v>
      </c>
      <c r="AL2" s="63">
        <f>'增加值 (2001-2060, 2020RMB)'!AL2*$B$73</f>
        <v>301693.14900640748</v>
      </c>
      <c r="AM2" s="63">
        <f>'增加值 (2001-2060, 2020RMB)'!AM2*$B$73</f>
        <v>311828.82210507063</v>
      </c>
      <c r="AN2" s="63">
        <f>'增加值 (2001-2060, 2020RMB)'!AN2*$B$73</f>
        <v>322127.4737592616</v>
      </c>
      <c r="AO2" s="66">
        <f>'增加值 (2001-2060, 2020RMB)'!AO2*$B$73</f>
        <v>332551.2591867008</v>
      </c>
      <c r="AP2" s="65">
        <f>'增加值 (2001-2060, 2020RMB)'!AP2*$B$73</f>
        <v>343059.12643545493</v>
      </c>
      <c r="AQ2" s="63">
        <f>'增加值 (2001-2060, 2020RMB)'!AQ2*$B$73</f>
        <v>353606.72597616236</v>
      </c>
      <c r="AR2" s="63">
        <f>'增加值 (2001-2060, 2020RMB)'!AR2*$B$73</f>
        <v>364146.38648890262</v>
      </c>
      <c r="AS2" s="63">
        <f>'增加值 (2001-2060, 2020RMB)'!AS2*$B$73</f>
        <v>374627.16543088149</v>
      </c>
      <c r="AT2" s="66">
        <f>'增加值 (2001-2060, 2020RMB)'!AT2*$B$73</f>
        <v>384994.9829009152</v>
      </c>
      <c r="AU2" s="65">
        <f>'增加值 (2001-2060, 2020RMB)'!AU2*$B$73</f>
        <v>395192.84682311415</v>
      </c>
      <c r="AV2" s="63">
        <f>'增加值 (2001-2060, 2020RMB)'!AV2*$B$73</f>
        <v>405161.17651369836</v>
      </c>
      <c r="AW2" s="63">
        <f>'增加值 (2001-2060, 2020RMB)'!AW2*$B$73</f>
        <v>414838.23023234785</v>
      </c>
      <c r="AX2" s="63">
        <f>'增加值 (2001-2060, 2020RMB)'!AX2*$B$73</f>
        <v>424160.64032109606</v>
      </c>
      <c r="AY2" s="64">
        <f>'增加值 (2001-2060, 2020RMB)'!AY2*$B$73</f>
        <v>433064.05698114686</v>
      </c>
      <c r="AZ2" s="65">
        <f>'增加值 (2001-2060, 2020RMB)'!AZ2*$B$73</f>
        <v>441483.89863292978</v>
      </c>
      <c r="BA2" s="63">
        <f>'增加值 (2001-2060, 2020RMB)'!BA2*$B$73</f>
        <v>449356.20317683718</v>
      </c>
      <c r="BB2" s="63">
        <f>'增加值 (2001-2060, 2020RMB)'!BB2*$B$73</f>
        <v>456618.57038614876</v>
      </c>
      <c r="BC2" s="63">
        <f>'增加值 (2001-2060, 2020RMB)'!BC2*$B$73</f>
        <v>463211.18122667336</v>
      </c>
      <c r="BD2" s="66">
        <f>'增加值 (2001-2060, 2020RMB)'!BD2*$B$73</f>
        <v>469077.87526425027</v>
      </c>
      <c r="BE2" s="65">
        <f>'增加值 (2001-2060, 2020RMB)'!BE2*$B$73</f>
        <v>474167.26269649243</v>
      </c>
      <c r="BF2" s="63">
        <f>'增加值 (2001-2060, 2020RMB)'!BF2*$B$73</f>
        <v>478433.84318380564</v>
      </c>
      <c r="BG2" s="63">
        <f>'增加值 (2001-2060, 2020RMB)'!BG2*$B$73</f>
        <v>481839.09985531034</v>
      </c>
      <c r="BH2" s="63">
        <f>'增加值 (2001-2060, 2020RMB)'!BH2*$B$73</f>
        <v>484352.53395882458</v>
      </c>
      <c r="BI2" s="64">
        <f>'增加值 (2001-2060, 2020RMB)'!BI2*$B$73</f>
        <v>485952.6039560822</v>
      </c>
    </row>
    <row r="3" spans="1:65" x14ac:dyDescent="0.2">
      <c r="A3" s="10" t="s">
        <v>1</v>
      </c>
      <c r="B3" s="11">
        <f>'增加值 (2001-2060, 2020RMB)'!B3*$B$73</f>
        <v>4087.7545701928575</v>
      </c>
      <c r="C3" s="12">
        <f>'增加值 (2001-2060, 2020RMB)'!C3*$B$73</f>
        <v>4256.5672618335975</v>
      </c>
      <c r="D3" s="12">
        <f>'增加值 (2001-2060, 2020RMB)'!D3*$B$73</f>
        <v>4359.0391330719422</v>
      </c>
      <c r="E3" s="12">
        <f>'增加值 (2001-2060, 2020RMB)'!E3*$B$73</f>
        <v>5020.1194018579472</v>
      </c>
      <c r="F3" s="13">
        <f>'增加值 (2001-2060, 2020RMB)'!F3*$B$73</f>
        <v>5058.6562839101334</v>
      </c>
      <c r="G3" s="11">
        <f>'增加值 (2001-2060, 2020RMB)'!G3*$B$73</f>
        <v>5218.3750681356632</v>
      </c>
      <c r="H3" s="12">
        <f>'增加值 (2001-2060, 2020RMB)'!H3*$B$73</f>
        <v>5737.5832175480764</v>
      </c>
      <c r="I3" s="12">
        <f>'增加值 (2001-2060, 2020RMB)'!I3*$B$73</f>
        <v>6249.4177713922809</v>
      </c>
      <c r="J3" s="12">
        <f>'增加值 (2001-2060, 2020RMB)'!J3*$B$73</f>
        <v>6493.3484271343377</v>
      </c>
      <c r="K3" s="13">
        <f>'增加值 (2001-2060, 2020RMB)'!K3*$B$73</f>
        <v>6942.3168374172674</v>
      </c>
      <c r="L3" s="11">
        <f>'增加值 (2001-2060, 2020RMB)'!L3*$B$73</f>
        <v>7481.3781978999614</v>
      </c>
      <c r="M3" s="12">
        <f>'增加值 (2001-2060, 2020RMB)'!M3*$B$73</f>
        <v>8020.3769385556816</v>
      </c>
      <c r="N3" s="12">
        <f>'增加值 (2001-2060, 2020RMB)'!N3*$B$73</f>
        <v>8491.2939215411498</v>
      </c>
      <c r="O3" s="12">
        <f>'增加值 (2001-2060, 2020RMB)'!O3*$B$73</f>
        <v>8829.6929692877166</v>
      </c>
      <c r="P3" s="13">
        <f>'增加值 (2001-2060, 2020RMB)'!P3*$B$73</f>
        <v>9192.1241516893569</v>
      </c>
      <c r="Q3" s="11">
        <f>'增加值 (2001-2060, 2020RMB)'!Q3*$B$73</f>
        <v>9453.7597865683565</v>
      </c>
      <c r="R3" s="12">
        <f>'增加值 (2001-2060, 2020RMB)'!R3*$B$73</f>
        <v>9386.5346121722068</v>
      </c>
      <c r="S3" s="12">
        <f>'增加值 (2001-2060, 2020RMB)'!S3*$B$73</f>
        <v>9471.2875722103745</v>
      </c>
      <c r="T3" s="12">
        <f>'增加值 (2001-2060, 2020RMB)'!T3*$B$73</f>
        <v>10188.720302781163</v>
      </c>
      <c r="U3" s="13">
        <f>'增加值 (2001-2060, 2020RMB)'!U3*$B$73</f>
        <v>11212.0777337072</v>
      </c>
      <c r="V3" s="11">
        <f>'增加值 (2001-2060, 2020RMB)'!V3*$B$73</f>
        <v>11427.392281670944</v>
      </c>
      <c r="W3" s="12">
        <f>'增加值 (2001-2060, 2020RMB)'!W3*$B$73</f>
        <v>11925.265056948831</v>
      </c>
      <c r="X3" s="67">
        <f>'增加值 (2001-2060, 2020RMB)'!X3*$B$73</f>
        <v>12274.799764521156</v>
      </c>
      <c r="Y3" s="67">
        <f>'增加值 (2001-2060, 2020RMB)'!Y3*$B$73</f>
        <v>12748.615073133711</v>
      </c>
      <c r="Z3" s="68">
        <f>'增加值 (2001-2060, 2020RMB)'!Z3*$B$73</f>
        <v>13324.288607963199</v>
      </c>
      <c r="AA3" s="69">
        <f>'增加值 (2001-2060, 2020RMB)'!AA3*$B$73</f>
        <v>13976.154679832345</v>
      </c>
      <c r="AB3" s="67">
        <f>'增加值 (2001-2060, 2020RMB)'!AB3*$B$73</f>
        <v>14673.179315723939</v>
      </c>
      <c r="AC3" s="67">
        <f>'增加值 (2001-2060, 2020RMB)'!AC3*$B$73</f>
        <v>15377.432328407169</v>
      </c>
      <c r="AD3" s="67">
        <f>'增加值 (2001-2060, 2020RMB)'!AD3*$B$73</f>
        <v>16043.411073770059</v>
      </c>
      <c r="AE3" s="70">
        <f>'增加值 (2001-2060, 2020RMB)'!AE3*$B$73</f>
        <v>16618.548917904875</v>
      </c>
      <c r="AF3" s="69">
        <f>'增加值 (2001-2060, 2020RMB)'!AF3*$B$73</f>
        <v>17060.043545777022</v>
      </c>
      <c r="AG3" s="67">
        <f>'增加值 (2001-2060, 2020RMB)'!AG3*$B$73</f>
        <v>17384.919719737525</v>
      </c>
      <c r="AH3" s="67">
        <f>'增加值 (2001-2060, 2020RMB)'!AH3*$B$73</f>
        <v>17630.416217027239</v>
      </c>
      <c r="AI3" s="67">
        <f>'增加值 (2001-2060, 2020RMB)'!AI3*$B$73</f>
        <v>17837.811295991498</v>
      </c>
      <c r="AJ3" s="68">
        <f>'增加值 (2001-2060, 2020RMB)'!AJ3*$B$73</f>
        <v>18051.009410965766</v>
      </c>
      <c r="AK3" s="69">
        <f>'增加值 (2001-2060, 2020RMB)'!AK3*$B$73</f>
        <v>18307.482848359599</v>
      </c>
      <c r="AL3" s="67">
        <f>'增加值 (2001-2060, 2020RMB)'!AL3*$B$73</f>
        <v>18611.750704236118</v>
      </c>
      <c r="AM3" s="67">
        <f>'增加值 (2001-2060, 2020RMB)'!AM3*$B$73</f>
        <v>18959.897375760986</v>
      </c>
      <c r="AN3" s="67">
        <f>'增加值 (2001-2060, 2020RMB)'!AN3*$B$73</f>
        <v>19347.890461248688</v>
      </c>
      <c r="AO3" s="70">
        <f>'增加值 (2001-2060, 2020RMB)'!AO3*$B$73</f>
        <v>19771.465303775258</v>
      </c>
      <c r="AP3" s="69">
        <f>'增加值 (2001-2060, 2020RMB)'!AP3*$B$73</f>
        <v>20226.018988222109</v>
      </c>
      <c r="AQ3" s="67">
        <f>'增加值 (2001-2060, 2020RMB)'!AQ3*$B$73</f>
        <v>20706.514375594124</v>
      </c>
      <c r="AR3" s="67">
        <f>'增加值 (2001-2060, 2020RMB)'!AR3*$B$73</f>
        <v>21207.395567320003</v>
      </c>
      <c r="AS3" s="67">
        <f>'增加值 (2001-2060, 2020RMB)'!AS3*$B$73</f>
        <v>21722.51693218746</v>
      </c>
      <c r="AT3" s="70">
        <f>'增加值 (2001-2060, 2020RMB)'!AT3*$B$73</f>
        <v>22245.088484581644</v>
      </c>
      <c r="AU3" s="69">
        <f>'增加值 (2001-2060, 2020RMB)'!AU3*$B$73</f>
        <v>22767.640948377975</v>
      </c>
      <c r="AV3" s="67">
        <f>'增加值 (2001-2060, 2020RMB)'!AV3*$B$73</f>
        <v>23282.014239680477</v>
      </c>
      <c r="AW3" s="67">
        <f>'增加值 (2001-2060, 2020RMB)'!AW3*$B$73</f>
        <v>23779.373308944821</v>
      </c>
      <c r="AX3" s="67">
        <f>'增加值 (2001-2060, 2020RMB)'!AX3*$B$73</f>
        <v>24250.255248917765</v>
      </c>
      <c r="AY3" s="68">
        <f>'增加值 (2001-2060, 2020RMB)'!AY3*$B$73</f>
        <v>24684.651247925347</v>
      </c>
      <c r="AZ3" s="69">
        <f>'增加值 (2001-2060, 2020RMB)'!AZ3*$B$73</f>
        <v>25072.12630073915</v>
      </c>
      <c r="BA3" s="67">
        <f>'增加值 (2001-2060, 2020RMB)'!BA3*$B$73</f>
        <v>25401.978543902289</v>
      </c>
      <c r="BB3" s="67">
        <f>'增加值 (2001-2060, 2020RMB)'!BB3*$B$73</f>
        <v>25663.438638489159</v>
      </c>
      <c r="BC3" s="67">
        <f>'增加值 (2001-2060, 2020RMB)'!BC3*$B$73</f>
        <v>25845.90778502751</v>
      </c>
      <c r="BD3" s="70">
        <f>'增加值 (2001-2060, 2020RMB)'!BD3*$B$73</f>
        <v>25939.230759109822</v>
      </c>
      <c r="BE3" s="69">
        <f>'增加值 (2001-2060, 2020RMB)'!BE3*$B$73</f>
        <v>25933.997876876158</v>
      </c>
      <c r="BF3" s="67">
        <f>'增加值 (2001-2060, 2020RMB)'!BF3*$B$73</f>
        <v>25821.867154418411</v>
      </c>
      <c r="BG3" s="67">
        <f>'增加值 (2001-2060, 2020RMB)'!BG3*$B$73</f>
        <v>25595.895274812985</v>
      </c>
      <c r="BH3" s="67">
        <f>'增加值 (2001-2060, 2020RMB)'!BH3*$B$73</f>
        <v>25250.863520948107</v>
      </c>
      <c r="BI3" s="68">
        <f>'增加值 (2001-2060, 2020RMB)'!BI3*$B$73</f>
        <v>24783.582801760214</v>
      </c>
    </row>
    <row r="4" spans="1:65" x14ac:dyDescent="0.2">
      <c r="A4" s="14" t="s">
        <v>2</v>
      </c>
      <c r="B4" s="11">
        <f>'增加值 (2001-2060, 2020RMB)'!B4*$B$73</f>
        <v>11360.305148771144</v>
      </c>
      <c r="C4" s="12">
        <f>'增加值 (2001-2060, 2020RMB)'!C4*$B$73</f>
        <v>12298.062693286282</v>
      </c>
      <c r="D4" s="12">
        <f>'增加值 (2001-2060, 2020RMB)'!D4*$B$73</f>
        <v>13884.790875628891</v>
      </c>
      <c r="E4" s="12">
        <f>'增加值 (2001-2060, 2020RMB)'!E4*$B$73</f>
        <v>15422.095104095906</v>
      </c>
      <c r="F4" s="13">
        <f>'增加值 (2001-2060, 2020RMB)'!F4*$B$73</f>
        <v>17592.823233998242</v>
      </c>
      <c r="G4" s="11">
        <f>'增加值 (2001-2060, 2020RMB)'!G4*$B$73</f>
        <v>20024.670878731729</v>
      </c>
      <c r="H4" s="12">
        <f>'增加值 (2001-2060, 2020RMB)'!H4*$B$73</f>
        <v>22498.315163918967</v>
      </c>
      <c r="I4" s="12">
        <f>'增加值 (2001-2060, 2020RMB)'!I4*$B$73</f>
        <v>24625.937654813672</v>
      </c>
      <c r="J4" s="12">
        <f>'增加值 (2001-2060, 2020RMB)'!J4*$B$73</f>
        <v>25871.065445139207</v>
      </c>
      <c r="K4" s="13">
        <f>'增加值 (2001-2060, 2020RMB)'!K4*$B$73</f>
        <v>28934.018460247236</v>
      </c>
      <c r="L4" s="11">
        <f>'增加值 (2001-2060, 2020RMB)'!L4*$B$73</f>
        <v>31652.799458352747</v>
      </c>
      <c r="M4" s="12">
        <f>'增加值 (2001-2060, 2020RMB)'!M4*$B$73</f>
        <v>33124.32229745431</v>
      </c>
      <c r="N4" s="12">
        <f>'增加值 (2001-2060, 2020RMB)'!N4*$B$73</f>
        <v>34518.444056519606</v>
      </c>
      <c r="O4" s="12">
        <f>'增加值 (2001-2060, 2020RMB)'!O4*$B$73</f>
        <v>35827.085847351853</v>
      </c>
      <c r="P4" s="13">
        <f>'增加值 (2001-2060, 2020RMB)'!P4*$B$73</f>
        <v>36086.373868234325</v>
      </c>
      <c r="Q4" s="11">
        <f>'增加值 (2001-2060, 2020RMB)'!Q4*$B$73</f>
        <v>37149.335570071082</v>
      </c>
      <c r="R4" s="12">
        <f>'增加值 (2001-2060, 2020RMB)'!R4*$B$73</f>
        <v>39938.398266727323</v>
      </c>
      <c r="S4" s="12">
        <f>'增加值 (2001-2060, 2020RMB)'!S4*$B$73</f>
        <v>42210.749247921012</v>
      </c>
      <c r="T4" s="12">
        <f>'增加值 (2001-2060, 2020RMB)'!T4*$B$73</f>
        <v>43185.307729585511</v>
      </c>
      <c r="U4" s="13">
        <f>'增加值 (2001-2060, 2020RMB)'!U4*$B$73</f>
        <v>43101.259119279217</v>
      </c>
      <c r="V4" s="11">
        <f>'增加值 (2001-2060, 2020RMB)'!V4*$B$73</f>
        <v>49064.409191140723</v>
      </c>
      <c r="W4" s="12">
        <f>'增加值 (2001-2060, 2020RMB)'!W4*$B$73</f>
        <v>51734.614096336591</v>
      </c>
      <c r="X4" s="67">
        <f>'增加值 (2001-2060, 2020RMB)'!X4*$B$73</f>
        <v>53529.891961528432</v>
      </c>
      <c r="Y4" s="67">
        <f>'增加值 (2001-2060, 2020RMB)'!Y4*$B$73</f>
        <v>55458.990267115252</v>
      </c>
      <c r="Z4" s="68">
        <f>'增加值 (2001-2060, 2020RMB)'!Z4*$B$73</f>
        <v>57495.217965868636</v>
      </c>
      <c r="AA4" s="69">
        <f>'增加值 (2001-2060, 2020RMB)'!AA4*$B$73</f>
        <v>59608.908115716571</v>
      </c>
      <c r="AB4" s="67">
        <f>'增加值 (2001-2060, 2020RMB)'!AB4*$B$73</f>
        <v>61766.80203302727</v>
      </c>
      <c r="AC4" s="67">
        <f>'增加值 (2001-2060, 2020RMB)'!AC4*$B$73</f>
        <v>63931.642358351739</v>
      </c>
      <c r="AD4" s="67">
        <f>'增加值 (2001-2060, 2020RMB)'!AD4*$B$73</f>
        <v>66062.033938402572</v>
      </c>
      <c r="AE4" s="70">
        <f>'增加值 (2001-2060, 2020RMB)'!AE4*$B$73</f>
        <v>68112.644156483293</v>
      </c>
      <c r="AF4" s="69">
        <f>'增加值 (2001-2060, 2020RMB)'!AF4*$B$73</f>
        <v>70044.80314215619</v>
      </c>
      <c r="AG4" s="67">
        <f>'增加值 (2001-2060, 2020RMB)'!AG4*$B$73</f>
        <v>71858.742574282631</v>
      </c>
      <c r="AH4" s="67">
        <f>'增加值 (2001-2060, 2020RMB)'!AH4*$B$73</f>
        <v>73566.279824424331</v>
      </c>
      <c r="AI4" s="67">
        <f>'增加值 (2001-2060, 2020RMB)'!AI4*$B$73</f>
        <v>75180.784062338178</v>
      </c>
      <c r="AJ4" s="68">
        <f>'增加值 (2001-2060, 2020RMB)'!AJ4*$B$73</f>
        <v>76716.789996604566</v>
      </c>
      <c r="AK4" s="69">
        <f>'增加值 (2001-2060, 2020RMB)'!AK4*$B$73</f>
        <v>78186.307260368383</v>
      </c>
      <c r="AL4" s="67">
        <f>'增加值 (2001-2060, 2020RMB)'!AL4*$B$73</f>
        <v>79588.483676221338</v>
      </c>
      <c r="AM4" s="67">
        <f>'增加值 (2001-2060, 2020RMB)'!AM4*$B$73</f>
        <v>80919.720930519659</v>
      </c>
      <c r="AN4" s="67">
        <f>'增加值 (2001-2060, 2020RMB)'!AN4*$B$73</f>
        <v>82177.075487444497</v>
      </c>
      <c r="AO4" s="70">
        <f>'增加值 (2001-2060, 2020RMB)'!AO4*$B$73</f>
        <v>83358.270270051536</v>
      </c>
      <c r="AP4" s="69">
        <f>'增加值 (2001-2060, 2020RMB)'!AP4*$B$73</f>
        <v>84461.697825134848</v>
      </c>
      <c r="AQ4" s="67">
        <f>'增加值 (2001-2060, 2020RMB)'!AQ4*$B$73</f>
        <v>85486.415771472268</v>
      </c>
      <c r="AR4" s="67">
        <f>'增加值 (2001-2060, 2020RMB)'!AR4*$B$73</f>
        <v>86432.135443929641</v>
      </c>
      <c r="AS4" s="67">
        <f>'增加值 (2001-2060, 2020RMB)'!AS4*$B$73</f>
        <v>87299.204721763308</v>
      </c>
      <c r="AT4" s="70">
        <f>'增加值 (2001-2060, 2020RMB)'!AT4*$B$73</f>
        <v>88088.58607187969</v>
      </c>
      <c r="AU4" s="69">
        <f>'增加值 (2001-2060, 2020RMB)'!AU4*$B$73</f>
        <v>88801.830851343708</v>
      </c>
      <c r="AV4" s="67">
        <f>'增加值 (2001-2060, 2020RMB)'!AV4*$B$73</f>
        <v>89441.05090323514</v>
      </c>
      <c r="AW4" s="67">
        <f>'增加值 (2001-2060, 2020RMB)'!AW4*$B$73</f>
        <v>90008.888451499544</v>
      </c>
      <c r="AX4" s="67">
        <f>'增加值 (2001-2060, 2020RMB)'!AX4*$B$73</f>
        <v>90508.485259212888</v>
      </c>
      <c r="AY4" s="68">
        <f>'增加值 (2001-2060, 2020RMB)'!AY4*$B$73</f>
        <v>90943.45196604084</v>
      </c>
      <c r="AZ4" s="69">
        <f>'增加值 (2001-2060, 2020RMB)'!AZ4*$B$73</f>
        <v>91317.838469723574</v>
      </c>
      <c r="BA4" s="67">
        <f>'增加值 (2001-2060, 2020RMB)'!BA4*$B$73</f>
        <v>91636.106167972423</v>
      </c>
      <c r="BB4" s="67">
        <f>'增加值 (2001-2060, 2020RMB)'!BB4*$B$73</f>
        <v>91903.102835769299</v>
      </c>
      <c r="BC4" s="67">
        <f>'增加值 (2001-2060, 2020RMB)'!BC4*$B$73</f>
        <v>92124.040883067777</v>
      </c>
      <c r="BD4" s="70">
        <f>'增加值 (2001-2060, 2020RMB)'!BD4*$B$73</f>
        <v>92304.479723627053</v>
      </c>
      <c r="BE4" s="69">
        <f>'增加值 (2001-2060, 2020RMB)'!BE4*$B$73</f>
        <v>92450.312991628743</v>
      </c>
      <c r="BF4" s="67">
        <f>'增加值 (2001-2060, 2020RMB)'!BF4*$B$73</f>
        <v>92567.761373711517</v>
      </c>
      <c r="BG4" s="67">
        <f>'增加值 (2001-2060, 2020RMB)'!BG4*$B$73</f>
        <v>92663.371885732791</v>
      </c>
      <c r="BH4" s="67">
        <f>'增加值 (2001-2060, 2020RMB)'!BH4*$B$73</f>
        <v>92744.024522721622</v>
      </c>
      <c r="BI4" s="68">
        <f>'增加值 (2001-2060, 2020RMB)'!BI4*$B$73</f>
        <v>92816.947355611701</v>
      </c>
    </row>
    <row r="5" spans="1:65" x14ac:dyDescent="0.2">
      <c r="A5" s="14" t="s">
        <v>3</v>
      </c>
      <c r="B5" s="11">
        <f>'增加值 (2001-2060, 2020RMB)'!B5*$B$73</f>
        <v>1540.1612672421822</v>
      </c>
      <c r="C5" s="12">
        <f>'增加值 (2001-2060, 2020RMB)'!C5*$B$73</f>
        <v>1668.6015498546517</v>
      </c>
      <c r="D5" s="12">
        <f>'增加值 (2001-2060, 2020RMB)'!D5*$B$73</f>
        <v>1883.7020080248521</v>
      </c>
      <c r="E5" s="12">
        <f>'增加值 (2001-2060, 2020RMB)'!E5*$B$73</f>
        <v>2044.676318098064</v>
      </c>
      <c r="F5" s="13">
        <f>'增加值 (2001-2060, 2020RMB)'!F5*$B$73</f>
        <v>2347.077322686599</v>
      </c>
      <c r="G5" s="11">
        <f>'增加值 (2001-2060, 2020RMB)'!G5*$B$73</f>
        <v>2702.9543290923684</v>
      </c>
      <c r="H5" s="12">
        <f>'增加值 (2001-2060, 2020RMB)'!H5*$B$73</f>
        <v>3091.6077343507995</v>
      </c>
      <c r="I5" s="12">
        <f>'增加值 (2001-2060, 2020RMB)'!I5*$B$73</f>
        <v>3516.1002173990582</v>
      </c>
      <c r="J5" s="12">
        <f>'增加值 (2001-2060, 2020RMB)'!J5*$B$73</f>
        <v>4249.2832410565443</v>
      </c>
      <c r="K5" s="13">
        <f>'增加值 (2001-2060, 2020RMB)'!K5*$B$73</f>
        <v>4776.5642082386867</v>
      </c>
      <c r="L5" s="11">
        <f>'增加值 (2001-2060, 2020RMB)'!L5*$B$73</f>
        <v>5340.8870972831774</v>
      </c>
      <c r="M5" s="12">
        <f>'增加值 (2001-2060, 2020RMB)'!M5*$B$73</f>
        <v>5850.4074549960123</v>
      </c>
      <c r="N5" s="12">
        <f>'增加值 (2001-2060, 2020RMB)'!N5*$B$73</f>
        <v>6349.4516468555794</v>
      </c>
      <c r="O5" s="12">
        <f>'增加值 (2001-2060, 2020RMB)'!O5*$B$73</f>
        <v>6975.2518832358974</v>
      </c>
      <c r="P5" s="13">
        <f>'增加值 (2001-2060, 2020RMB)'!P5*$B$73</f>
        <v>7335.1500059492982</v>
      </c>
      <c r="Q5" s="11">
        <f>'增加值 (2001-2060, 2020RMB)'!Q5*$B$73</f>
        <v>7795.8436193576599</v>
      </c>
      <c r="R5" s="12">
        <f>'增加值 (2001-2060, 2020RMB)'!R5*$B$73</f>
        <v>8406.014825836668</v>
      </c>
      <c r="S5" s="12">
        <f>'增加值 (2001-2060, 2020RMB)'!S5*$B$73</f>
        <v>9181.6899520975694</v>
      </c>
      <c r="T5" s="12">
        <f>'增加值 (2001-2060, 2020RMB)'!T5*$B$73</f>
        <v>9783.1483906350222</v>
      </c>
      <c r="U5" s="13">
        <f>'增加值 (2001-2060, 2020RMB)'!U5*$B$73</f>
        <v>9978.9991927797637</v>
      </c>
      <c r="V5" s="11">
        <f>'增加值 (2001-2060, 2020RMB)'!V5*$B$73</f>
        <v>10553.432167844274</v>
      </c>
      <c r="W5" s="12">
        <f>'增加值 (2001-2060, 2020RMB)'!W5*$B$73</f>
        <v>10740.330438291405</v>
      </c>
      <c r="X5" s="67">
        <f>'增加值 (2001-2060, 2020RMB)'!X5*$B$73</f>
        <v>11268.642182794096</v>
      </c>
      <c r="Y5" s="67">
        <f>'增加值 (2001-2060, 2020RMB)'!Y5*$B$73</f>
        <v>11828.705310427707</v>
      </c>
      <c r="Z5" s="68">
        <f>'增加值 (2001-2060, 2020RMB)'!Z5*$B$73</f>
        <v>12411.666100568467</v>
      </c>
      <c r="AA5" s="69">
        <f>'增加值 (2001-2060, 2020RMB)'!AA5*$B$73</f>
        <v>13006.659553230264</v>
      </c>
      <c r="AB5" s="67">
        <f>'增加值 (2001-2060, 2020RMB)'!AB5*$B$73</f>
        <v>13600.655800435483</v>
      </c>
      <c r="AC5" s="67">
        <f>'增加值 (2001-2060, 2020RMB)'!AC5*$B$73</f>
        <v>14178.421552211908</v>
      </c>
      <c r="AD5" s="67">
        <f>'增加值 (2001-2060, 2020RMB)'!AD5*$B$73</f>
        <v>14722.631676936422</v>
      </c>
      <c r="AE5" s="70">
        <f>'增加值 (2001-2060, 2020RMB)'!AE5*$B$73</f>
        <v>15214.164502307265</v>
      </c>
      <c r="AF5" s="69">
        <f>'增加值 (2001-2060, 2020RMB)'!AF5*$B$73</f>
        <v>15638.307752693981</v>
      </c>
      <c r="AG5" s="67">
        <f>'增加值 (2001-2060, 2020RMB)'!AG5*$B$73</f>
        <v>16003.595225924979</v>
      </c>
      <c r="AH5" s="67">
        <f>'增加值 (2001-2060, 2020RMB)'!AH5*$B$73</f>
        <v>16326.647018567359</v>
      </c>
      <c r="AI5" s="67">
        <f>'增加值 (2001-2060, 2020RMB)'!AI5*$B$73</f>
        <v>16626.222108366208</v>
      </c>
      <c r="AJ5" s="68">
        <f>'增加值 (2001-2060, 2020RMB)'!AJ5*$B$73</f>
        <v>16922.821322780419</v>
      </c>
      <c r="AK5" s="69">
        <f>'增加值 (2001-2060, 2020RMB)'!AK5*$B$73</f>
        <v>17234.41289933458</v>
      </c>
      <c r="AL5" s="67">
        <f>'增加值 (2001-2060, 2020RMB)'!AL5*$B$73</f>
        <v>17563.55342015691</v>
      </c>
      <c r="AM5" s="67">
        <f>'增加值 (2001-2060, 2020RMB)'!AM5*$B$73</f>
        <v>17908.718527745157</v>
      </c>
      <c r="AN5" s="67">
        <f>'增加值 (2001-2060, 2020RMB)'!AN5*$B$73</f>
        <v>18268.249390600129</v>
      </c>
      <c r="AO5" s="70">
        <f>'增加值 (2001-2060, 2020RMB)'!AO5*$B$73</f>
        <v>18640.335014637494</v>
      </c>
      <c r="AP5" s="69">
        <f>'增加值 (2001-2060, 2020RMB)'!AP5*$B$73</f>
        <v>19022.996146767277</v>
      </c>
      <c r="AQ5" s="67">
        <f>'增加值 (2001-2060, 2020RMB)'!AQ5*$B$73</f>
        <v>19414.071080196576</v>
      </c>
      <c r="AR5" s="67">
        <f>'增加值 (2001-2060, 2020RMB)'!AR5*$B$73</f>
        <v>19811.203722315578</v>
      </c>
      <c r="AS5" s="67">
        <f>'增加值 (2001-2060, 2020RMB)'!AS5*$B$73</f>
        <v>20211.83433140138</v>
      </c>
      <c r="AT5" s="70">
        <f>'增加值 (2001-2060, 2020RMB)'!AT5*$B$73</f>
        <v>20613.193365969564</v>
      </c>
      <c r="AU5" s="69">
        <f>'增加值 (2001-2060, 2020RMB)'!AU5*$B$73</f>
        <v>21012.298918289467</v>
      </c>
      <c r="AV5" s="67">
        <f>'增加值 (2001-2060, 2020RMB)'!AV5*$B$73</f>
        <v>21405.958218996158</v>
      </c>
      <c r="AW5" s="67">
        <f>'增加值 (2001-2060, 2020RMB)'!AW5*$B$73</f>
        <v>21790.773700365593</v>
      </c>
      <c r="AX5" s="67">
        <f>'增加值 (2001-2060, 2020RMB)'!AX5*$B$73</f>
        <v>22163.154089111566</v>
      </c>
      <c r="AY5" s="68">
        <f>'增加值 (2001-2060, 2020RMB)'!AY5*$B$73</f>
        <v>22519.330963019635</v>
      </c>
      <c r="AZ5" s="69">
        <f>'增加值 (2001-2060, 2020RMB)'!AZ5*$B$73</f>
        <v>22855.381147087461</v>
      </c>
      <c r="BA5" s="67">
        <f>'增加值 (2001-2060, 2020RMB)'!BA5*$B$73</f>
        <v>23167.255242214364</v>
      </c>
      <c r="BB5" s="67">
        <f>'增加值 (2001-2060, 2020RMB)'!BB5*$B$73</f>
        <v>23450.81247156726</v>
      </c>
      <c r="BC5" s="67">
        <f>'增加值 (2001-2060, 2020RMB)'!BC5*$B$73</f>
        <v>23701.861896020451</v>
      </c>
      <c r="BD5" s="70">
        <f>'增加值 (2001-2060, 2020RMB)'!BD5*$B$73</f>
        <v>23916.209890959173</v>
      </c>
      <c r="BE5" s="69">
        <f>'增加值 (2001-2060, 2020RMB)'!BE5*$B$73</f>
        <v>24089.713593861081</v>
      </c>
      <c r="BF5" s="67">
        <f>'增加值 (2001-2060, 2020RMB)'!BF5*$B$73</f>
        <v>24218.33982835976</v>
      </c>
      <c r="BG5" s="67">
        <f>'增加值 (2001-2060, 2020RMB)'!BG5*$B$73</f>
        <v>24298.228790342357</v>
      </c>
      <c r="BH5" s="67">
        <f>'增加值 (2001-2060, 2020RMB)'!BH5*$B$73</f>
        <v>24325.761550971205</v>
      </c>
      <c r="BI5" s="68">
        <f>'增加值 (2001-2060, 2020RMB)'!BI5*$B$73</f>
        <v>24297.630197804112</v>
      </c>
      <c r="BM5" s="58"/>
    </row>
    <row r="6" spans="1:65" x14ac:dyDescent="0.2">
      <c r="A6" s="14" t="s">
        <v>4</v>
      </c>
      <c r="B6" s="11">
        <f>'增加值 (2001-2060, 2020RMB)'!B6*$B$73</f>
        <v>1779.9865638888584</v>
      </c>
      <c r="C6" s="12">
        <f>'增加值 (2001-2060, 2020RMB)'!C6*$B$73</f>
        <v>1929.1588520812261</v>
      </c>
      <c r="D6" s="12">
        <f>'增加值 (2001-2060, 2020RMB)'!D6*$B$73</f>
        <v>1985.0248512961471</v>
      </c>
      <c r="E6" s="12">
        <f>'增加值 (2001-2060, 2020RMB)'!E6*$B$73</f>
        <v>2182.07444004124</v>
      </c>
      <c r="F6" s="13">
        <f>'增加值 (2001-2060, 2020RMB)'!F6*$B$73</f>
        <v>2407.624493080024</v>
      </c>
      <c r="G6" s="11">
        <f>'增加值 (2001-2060, 2020RMB)'!G6*$B$73</f>
        <v>2645.6825519970384</v>
      </c>
      <c r="H6" s="12">
        <f>'增加值 (2001-2060, 2020RMB)'!H6*$B$73</f>
        <v>2941.9624785618234</v>
      </c>
      <c r="I6" s="12">
        <f>'增加值 (2001-2060, 2020RMB)'!I6*$B$73</f>
        <v>3059.9397008816027</v>
      </c>
      <c r="J6" s="12">
        <f>'增加值 (2001-2060, 2020RMB)'!J6*$B$73</f>
        <v>3095.4018659274147</v>
      </c>
      <c r="K6" s="13">
        <f>'增加值 (2001-2060, 2020RMB)'!K6*$B$73</f>
        <v>3291.39308279641</v>
      </c>
      <c r="L6" s="11">
        <f>'增加值 (2001-2060, 2020RMB)'!L6*$B$73</f>
        <v>3542.9109069855335</v>
      </c>
      <c r="M6" s="12">
        <f>'增加值 (2001-2060, 2020RMB)'!M6*$B$73</f>
        <v>3767.9972255756365</v>
      </c>
      <c r="N6" s="12">
        <f>'增加值 (2001-2060, 2020RMB)'!N6*$B$73</f>
        <v>4043.2714638691973</v>
      </c>
      <c r="O6" s="12">
        <f>'增加值 (2001-2060, 2020RMB)'!O6*$B$73</f>
        <v>4383.8584752774987</v>
      </c>
      <c r="P6" s="13">
        <f>'增加值 (2001-2060, 2020RMB)'!P6*$B$73</f>
        <v>4687.1653536769218</v>
      </c>
      <c r="Q6" s="11">
        <f>'增加值 (2001-2060, 2020RMB)'!Q6*$B$73</f>
        <v>4999.8462132332597</v>
      </c>
      <c r="R6" s="12">
        <f>'增加值 (2001-2060, 2020RMB)'!R6*$B$73</f>
        <v>5388.8957503803813</v>
      </c>
      <c r="S6" s="12">
        <f>'增加值 (2001-2060, 2020RMB)'!S6*$B$73</f>
        <v>5655.0114353556883</v>
      </c>
      <c r="T6" s="12">
        <f>'增加值 (2001-2060, 2020RMB)'!T6*$B$73</f>
        <v>5880.6127058084239</v>
      </c>
      <c r="U6" s="13">
        <f>'增加值 (2001-2060, 2020RMB)'!U6*$B$73</f>
        <v>5590.1498155235904</v>
      </c>
      <c r="V6" s="11">
        <f>'增加值 (2001-2060, 2020RMB)'!V6*$B$73</f>
        <v>6197.4853776568434</v>
      </c>
      <c r="W6" s="12">
        <f>'增加值 (2001-2060, 2020RMB)'!W6*$B$73</f>
        <v>6398.3223470050361</v>
      </c>
      <c r="X6" s="67">
        <f>'增加值 (2001-2060, 2020RMB)'!X6*$B$73</f>
        <v>6681.1174741155974</v>
      </c>
      <c r="Y6" s="111">
        <f>'增加值 (2001-2060, 2020RMB)'!Y6*$B$73</f>
        <v>6964.3358790173725</v>
      </c>
      <c r="Z6" s="71">
        <f>'增加值 (2001-2060, 2020RMB)'!Z6*$B$73</f>
        <v>7245.556264565831</v>
      </c>
      <c r="AA6" s="69">
        <f>'增加值 (2001-2060, 2020RMB)'!AA6*$B$73</f>
        <v>7522.0982102031476</v>
      </c>
      <c r="AB6" s="67">
        <f>'增加值 (2001-2060, 2020RMB)'!AB6*$B$73</f>
        <v>7791.0380081338953</v>
      </c>
      <c r="AC6" s="67">
        <f>'增加值 (2001-2060, 2020RMB)'!AC6*$B$73</f>
        <v>8049.2334014040771</v>
      </c>
      <c r="AD6" s="67">
        <f>'增加值 (2001-2060, 2020RMB)'!AD6*$B$73</f>
        <v>8293.3579190454984</v>
      </c>
      <c r="AE6" s="70">
        <f>'增加值 (2001-2060, 2020RMB)'!AE6*$B$73</f>
        <v>8519.9452449452201</v>
      </c>
      <c r="AF6" s="69">
        <f>'增加值 (2001-2060, 2020RMB)'!AF6*$B$73</f>
        <v>8726.6130602213034</v>
      </c>
      <c r="AG6" s="67">
        <f>'增加值 (2001-2060, 2020RMB)'!AG6*$B$73</f>
        <v>8915.8337560632353</v>
      </c>
      <c r="AH6" s="67">
        <f>'增加值 (2001-2060, 2020RMB)'!AH6*$B$73</f>
        <v>9091.7719540748712</v>
      </c>
      <c r="AI6" s="67">
        <f>'增加值 (2001-2060, 2020RMB)'!AI6*$B$73</f>
        <v>9259.0928320784224</v>
      </c>
      <c r="AJ6" s="71">
        <f>'增加值 (2001-2060, 2020RMB)'!AJ6*$B$73</f>
        <v>9422.9020894750629</v>
      </c>
      <c r="AK6" s="69">
        <f>'增加值 (2001-2060, 2020RMB)'!AK6*$B$73</f>
        <v>9587.4717142614445</v>
      </c>
      <c r="AL6" s="67">
        <f>'增加值 (2001-2060, 2020RMB)'!AL6*$B$73</f>
        <v>9752.3411250758818</v>
      </c>
      <c r="AM6" s="67">
        <f>'增加值 (2001-2060, 2020RMB)'!AM6*$B$73</f>
        <v>9915.7387476417061</v>
      </c>
      <c r="AN6" s="67">
        <f>'增加值 (2001-2060, 2020RMB)'!AN6*$B$73</f>
        <v>10075.780630093679</v>
      </c>
      <c r="AO6" s="70">
        <f>'增加值 (2001-2060, 2020RMB)'!AO6*$B$73</f>
        <v>10230.475022330622</v>
      </c>
      <c r="AP6" s="69">
        <f>'增加值 (2001-2060, 2020RMB)'!AP6*$B$73</f>
        <v>10377.730681497045</v>
      </c>
      <c r="AQ6" s="67">
        <f>'增加值 (2001-2060, 2020RMB)'!AQ6*$B$73</f>
        <v>10515.369193359462</v>
      </c>
      <c r="AR6" s="67">
        <f>'增加值 (2001-2060, 2020RMB)'!AR6*$B$73</f>
        <v>10641.141544635695</v>
      </c>
      <c r="AS6" s="67">
        <f>'增加值 (2001-2060, 2020RMB)'!AS6*$B$73</f>
        <v>10752.749104397279</v>
      </c>
      <c r="AT6" s="70">
        <f>'增加值 (2001-2060, 2020RMB)'!AT6*$B$73</f>
        <v>10847.869072638374</v>
      </c>
      <c r="AU6" s="69">
        <f>'增加值 (2001-2060, 2020RMB)'!AU6*$B$73</f>
        <v>10924.184331044497</v>
      </c>
      <c r="AV6" s="67">
        <f>'增加值 (2001-2060, 2020RMB)'!AV6*$B$73</f>
        <v>10979.417486091317</v>
      </c>
      <c r="AW6" s="67">
        <f>'增加值 (2001-2060, 2020RMB)'!AW6*$B$73</f>
        <v>11011.368730388578</v>
      </c>
      <c r="AX6" s="67">
        <f>'增加值 (2001-2060, 2020RMB)'!AX6*$B$73</f>
        <v>11017.956968695757</v>
      </c>
      <c r="AY6" s="71">
        <f>'增加值 (2001-2060, 2020RMB)'!AY6*$B$73</f>
        <v>10997.263465924183</v>
      </c>
      <c r="AZ6" s="69">
        <f>'增加值 (2001-2060, 2020RMB)'!AZ6*$B$73</f>
        <v>10947.577082971233</v>
      </c>
      <c r="BA6" s="67">
        <f>'增加值 (2001-2060, 2020RMB)'!BA6*$B$73</f>
        <v>10867.43998120934</v>
      </c>
      <c r="BB6" s="67">
        <f>'增加值 (2001-2060, 2020RMB)'!BB6*$B$73</f>
        <v>10755.692507978536</v>
      </c>
      <c r="BC6" s="67">
        <f>'增加值 (2001-2060, 2020RMB)'!BC6*$B$73</f>
        <v>10611.515834556845</v>
      </c>
      <c r="BD6" s="70">
        <f>'增加值 (2001-2060, 2020RMB)'!BD6*$B$73</f>
        <v>10434.47081629381</v>
      </c>
      <c r="BE6" s="69">
        <f>'增加值 (2001-2060, 2020RMB)'!BE6*$B$73</f>
        <v>10224.531493165612</v>
      </c>
      <c r="BF6" s="67">
        <f>'增加值 (2001-2060, 2020RMB)'!BF6*$B$73</f>
        <v>9982.1116582573795</v>
      </c>
      <c r="BG6" s="67">
        <f>'增加值 (2001-2060, 2020RMB)'!BG6*$B$73</f>
        <v>9708.0830000989554</v>
      </c>
      <c r="BH6" s="67">
        <f>'增加值 (2001-2060, 2020RMB)'!BH6*$B$73</f>
        <v>9403.7834782074624</v>
      </c>
      <c r="BI6" s="71">
        <f>'增加值 (2001-2060, 2020RMB)'!BI6*$B$73</f>
        <v>9071.0148219407947</v>
      </c>
    </row>
    <row r="7" spans="1:65" x14ac:dyDescent="0.2">
      <c r="A7" s="14" t="s">
        <v>5</v>
      </c>
      <c r="B7" s="11">
        <f>'增加值 (2001-2060, 2020RMB)'!B7*$B$73</f>
        <v>2362.7117797094429</v>
      </c>
      <c r="C7" s="12">
        <f>'增加值 (2001-2060, 2020RMB)'!C7*$B$73</f>
        <v>2573.3444367700249</v>
      </c>
      <c r="D7" s="12">
        <f>'增加值 (2001-2060, 2020RMB)'!D7*$B$73</f>
        <v>2801.7270959215039</v>
      </c>
      <c r="E7" s="12">
        <f>'增加值 (2001-2060, 2020RMB)'!E7*$B$73</f>
        <v>2920.4838349826118</v>
      </c>
      <c r="F7" s="13">
        <f>'增加值 (2001-2060, 2020RMB)'!F7*$B$73</f>
        <v>3152.2666777508543</v>
      </c>
      <c r="G7" s="11">
        <f>'增加值 (2001-2060, 2020RMB)'!G7*$B$73</f>
        <v>3589.4510971490809</v>
      </c>
      <c r="H7" s="12">
        <f>'增加值 (2001-2060, 2020RMB)'!H7*$B$73</f>
        <v>4218.2477668630136</v>
      </c>
      <c r="I7" s="12">
        <f>'增加值 (2001-2060, 2020RMB)'!I7*$B$73</f>
        <v>4895.5370973890995</v>
      </c>
      <c r="J7" s="12">
        <f>'增加值 (2001-2060, 2020RMB)'!J7*$B$73</f>
        <v>5433.8893236138974</v>
      </c>
      <c r="K7" s="13">
        <f>'增加值 (2001-2060, 2020RMB)'!K7*$B$73</f>
        <v>6292.0320746686066</v>
      </c>
      <c r="L7" s="11">
        <f>'增加值 (2001-2060, 2020RMB)'!L7*$B$73</f>
        <v>7094.0132342074357</v>
      </c>
      <c r="M7" s="12">
        <f>'增加值 (2001-2060, 2020RMB)'!M7*$B$73</f>
        <v>7902.1354756587762</v>
      </c>
      <c r="N7" s="12">
        <f>'增加值 (2001-2060, 2020RMB)'!N7*$B$73</f>
        <v>8739.1592692995291</v>
      </c>
      <c r="O7" s="12">
        <f>'增加值 (2001-2060, 2020RMB)'!O7*$B$73</f>
        <v>9705.1311198647836</v>
      </c>
      <c r="P7" s="13">
        <f>'增加值 (2001-2060, 2020RMB)'!P7*$B$73</f>
        <v>10400.3329964403</v>
      </c>
      <c r="Q7" s="11">
        <f>'增加值 (2001-2060, 2020RMB)'!Q7*$B$73</f>
        <v>11160.329112181693</v>
      </c>
      <c r="R7" s="12">
        <f>'增加值 (2001-2060, 2020RMB)'!R7*$B$73</f>
        <v>11781.305829047558</v>
      </c>
      <c r="S7" s="12">
        <f>'增加值 (2001-2060, 2020RMB)'!S7*$B$73</f>
        <v>12463.716870418164</v>
      </c>
      <c r="T7" s="12">
        <f>'增加值 (2001-2060, 2020RMB)'!T7*$B$73</f>
        <v>13245.465177376198</v>
      </c>
      <c r="U7" s="13">
        <f>'增加值 (2001-2060, 2020RMB)'!U7*$B$73</f>
        <v>13235.517772002033</v>
      </c>
      <c r="V7" s="11">
        <f>'增加值 (2001-2060, 2020RMB)'!V7*$B$73</f>
        <v>14550.774153396518</v>
      </c>
      <c r="W7" s="12">
        <f>'增加值 (2001-2060, 2020RMB)'!W7*$B$73</f>
        <v>14750.68615862355</v>
      </c>
      <c r="X7" s="67">
        <f>'增加值 (2001-2060, 2020RMB)'!X7*$B$73</f>
        <v>15439.186316419678</v>
      </c>
      <c r="Y7" s="111">
        <f>'增加值 (2001-2060, 2020RMB)'!Y7*$B$73</f>
        <v>16130.548494685903</v>
      </c>
      <c r="Z7" s="71">
        <f>'增加值 (2001-2060, 2020RMB)'!Z7*$B$73</f>
        <v>16819.046997260833</v>
      </c>
      <c r="AA7" s="69">
        <f>'增加值 (2001-2060, 2020RMB)'!AA7*$B$73</f>
        <v>17498.311176237356</v>
      </c>
      <c r="AB7" s="67">
        <f>'增加值 (2001-2060, 2020RMB)'!AB7*$B$73</f>
        <v>18161.36009141069</v>
      </c>
      <c r="AC7" s="67">
        <f>'增加值 (2001-2060, 2020RMB)'!AC7*$B$73</f>
        <v>18800.658742077609</v>
      </c>
      <c r="AD7" s="67">
        <f>'增加值 (2001-2060, 2020RMB)'!AD7*$B$73</f>
        <v>19408.197674355892</v>
      </c>
      <c r="AE7" s="70">
        <f>'增加值 (2001-2060, 2020RMB)'!AE7*$B$73</f>
        <v>19975.597153624767</v>
      </c>
      <c r="AF7" s="69">
        <f>'增加值 (2001-2060, 2020RMB)'!AF7*$B$73</f>
        <v>20496.992876736604</v>
      </c>
      <c r="AG7" s="67">
        <f>'增加值 (2001-2060, 2020RMB)'!AG7*$B$73</f>
        <v>20977.966088300724</v>
      </c>
      <c r="AH7" s="67">
        <f>'增加值 (2001-2060, 2020RMB)'!AH7*$B$73</f>
        <v>21428.161117847118</v>
      </c>
      <c r="AI7" s="67">
        <f>'增加值 (2001-2060, 2020RMB)'!AI7*$B$73</f>
        <v>21858.490550475795</v>
      </c>
      <c r="AJ7" s="71">
        <f>'增加值 (2001-2060, 2020RMB)'!AJ7*$B$73</f>
        <v>22280.996980870164</v>
      </c>
      <c r="AK7" s="69">
        <f>'增加值 (2001-2060, 2020RMB)'!AK7*$B$73</f>
        <v>22705.823234707244</v>
      </c>
      <c r="AL7" s="67">
        <f>'增加值 (2001-2060, 2020RMB)'!AL7*$B$73</f>
        <v>23131.897400506761</v>
      </c>
      <c r="AM7" s="67">
        <f>'增加值 (2001-2060, 2020RMB)'!AM7*$B$73</f>
        <v>23555.014406471793</v>
      </c>
      <c r="AN7" s="67">
        <f>'增加值 (2001-2060, 2020RMB)'!AN7*$B$73</f>
        <v>23970.679376816901</v>
      </c>
      <c r="AO7" s="70">
        <f>'增加值 (2001-2060, 2020RMB)'!AO7*$B$73</f>
        <v>24374.117683158107</v>
      </c>
      <c r="AP7" s="69">
        <f>'增加值 (2001-2060, 2020RMB)'!AP7*$B$73</f>
        <v>24760.293946338348</v>
      </c>
      <c r="AQ7" s="67">
        <f>'增加值 (2001-2060, 2020RMB)'!AQ7*$B$73</f>
        <v>25123.940747517525</v>
      </c>
      <c r="AR7" s="67">
        <f>'增加值 (2001-2060, 2020RMB)'!AR7*$B$73</f>
        <v>25459.597679836501</v>
      </c>
      <c r="AS7" s="67">
        <f>'增加值 (2001-2060, 2020RMB)'!AS7*$B$73</f>
        <v>25761.661190273997</v>
      </c>
      <c r="AT7" s="70">
        <f>'增加值 (2001-2060, 2020RMB)'!AT7*$B$73</f>
        <v>26024.445422933801</v>
      </c>
      <c r="AU7" s="69">
        <f>'增加值 (2001-2060, 2020RMB)'!AU7*$B$73</f>
        <v>26242.253979581819</v>
      </c>
      <c r="AV7" s="67">
        <f>'增加值 (2001-2060, 2020RMB)'!AV7*$B$73</f>
        <v>26409.462163170108</v>
      </c>
      <c r="AW7" s="67">
        <f>'增加值 (2001-2060, 2020RMB)'!AW7*$B$73</f>
        <v>26520.608870973178</v>
      </c>
      <c r="AX7" s="67">
        <f>'增加值 (2001-2060, 2020RMB)'!AX7*$B$73</f>
        <v>26570.496865123758</v>
      </c>
      <c r="AY7" s="71">
        <f>'增加值 (2001-2060, 2020RMB)'!AY7*$B$73</f>
        <v>26554.299683020912</v>
      </c>
      <c r="AZ7" s="69">
        <f>'增加值 (2001-2060, 2020RMB)'!AZ7*$B$73</f>
        <v>26467.672975582616</v>
      </c>
      <c r="BA7" s="67">
        <f>'增加值 (2001-2060, 2020RMB)'!BA7*$B$73</f>
        <v>26306.867598729328</v>
      </c>
      <c r="BB7" s="67">
        <f>'增加值 (2001-2060, 2020RMB)'!BB7*$B$73</f>
        <v>26068.841357272533</v>
      </c>
      <c r="BC7" s="67">
        <f>'增加值 (2001-2060, 2020RMB)'!BC7*$B$73</f>
        <v>25751.365937485705</v>
      </c>
      <c r="BD7" s="70">
        <f>'增加值 (2001-2060, 2020RMB)'!BD7*$B$73</f>
        <v>25353.125293291312</v>
      </c>
      <c r="BE7" s="69">
        <f>'增加值 (2001-2060, 2020RMB)'!BE7*$B$73</f>
        <v>24873.801599220835</v>
      </c>
      <c r="BF7" s="67">
        <f>'增加值 (2001-2060, 2020RMB)'!BF7*$B$73</f>
        <v>24314.144877010112</v>
      </c>
      <c r="BG7" s="67">
        <f>'增加值 (2001-2060, 2020RMB)'!BG7*$B$73</f>
        <v>23676.022563710016</v>
      </c>
      <c r="BH7" s="67">
        <f>'增加值 (2001-2060, 2020RMB)'!BH7*$B$73</f>
        <v>22962.445633071522</v>
      </c>
      <c r="BI7" s="71">
        <f>'增加值 (2001-2060, 2020RMB)'!BI7*$B$73</f>
        <v>22177.568415975573</v>
      </c>
    </row>
    <row r="8" spans="1:65" x14ac:dyDescent="0.2">
      <c r="A8" s="14" t="s">
        <v>6</v>
      </c>
      <c r="B8" s="11">
        <f>'增加值 (2001-2060, 2020RMB)'!B8*$B$73</f>
        <v>621.73762635740661</v>
      </c>
      <c r="C8" s="12">
        <f>'增加值 (2001-2060, 2020RMB)'!C8*$B$73</f>
        <v>701.40934312089519</v>
      </c>
      <c r="D8" s="12">
        <f>'增加值 (2001-2060, 2020RMB)'!D8*$B$73</f>
        <v>784.023119679194</v>
      </c>
      <c r="E8" s="12">
        <f>'增加值 (2001-2060, 2020RMB)'!E8*$B$73</f>
        <v>859.27753805008717</v>
      </c>
      <c r="F8" s="13">
        <f>'增加值 (2001-2060, 2020RMB)'!F8*$B$73</f>
        <v>946.84220208606928</v>
      </c>
      <c r="G8" s="11">
        <f>'增加值 (2001-2060, 2020RMB)'!G8*$B$73</f>
        <v>1040.4879412701976</v>
      </c>
      <c r="H8" s="12">
        <f>'增加值 (2001-2060, 2020RMB)'!H8*$B$73</f>
        <v>1117.5755063168929</v>
      </c>
      <c r="I8" s="12">
        <f>'增加值 (2001-2060, 2020RMB)'!I8*$B$73</f>
        <v>1236.8867185783361</v>
      </c>
      <c r="J8" s="12">
        <f>'增加值 (2001-2060, 2020RMB)'!J8*$B$73</f>
        <v>1303.3645705985221</v>
      </c>
      <c r="K8" s="13">
        <f>'增加值 (2001-2060, 2020RMB)'!K8*$B$73</f>
        <v>1351.3502978409845</v>
      </c>
      <c r="L8" s="11">
        <f>'增加值 (2001-2060, 2020RMB)'!L8*$B$73</f>
        <v>1389.3621958929532</v>
      </c>
      <c r="M8" s="12">
        <f>'增加值 (2001-2060, 2020RMB)'!M8*$B$73</f>
        <v>1512.2126961264596</v>
      </c>
      <c r="N8" s="12">
        <f>'增加值 (2001-2060, 2020RMB)'!N8*$B$73</f>
        <v>1587.9994591149652</v>
      </c>
      <c r="O8" s="12">
        <f>'增加值 (2001-2060, 2020RMB)'!O8*$B$73</f>
        <v>1725.1118531088246</v>
      </c>
      <c r="P8" s="13">
        <f>'增加值 (2001-2060, 2020RMB)'!P8*$B$73</f>
        <v>1889.9629928040622</v>
      </c>
      <c r="Q8" s="11">
        <f>'增加值 (2001-2060, 2020RMB)'!Q8*$B$73</f>
        <v>2059.9329462084656</v>
      </c>
      <c r="R8" s="12">
        <f>'增加值 (2001-2060, 2020RMB)'!R8*$B$73</f>
        <v>2185.6428258717096</v>
      </c>
      <c r="S8" s="12">
        <f>'增加值 (2001-2060, 2020RMB)'!S8*$B$73</f>
        <v>2316.0799936271524</v>
      </c>
      <c r="T8" s="12">
        <f>'增加值 (2001-2060, 2020RMB)'!T8*$B$73</f>
        <v>2479.1704794945354</v>
      </c>
      <c r="U8" s="13">
        <f>'增加值 (2001-2060, 2020RMB)'!U8*$B$73</f>
        <v>2105.5093645403431</v>
      </c>
      <c r="V8" s="11">
        <f>'增加值 (2001-2060, 2020RMB)'!V8*$B$73</f>
        <v>2351.0073575080228</v>
      </c>
      <c r="W8" s="12">
        <f>'增加值 (2001-2060, 2020RMB)'!W8*$B$73</f>
        <v>2299.888371562397</v>
      </c>
      <c r="X8" s="67">
        <f>'增加值 (2001-2060, 2020RMB)'!X8*$B$73</f>
        <v>2416.0747709491247</v>
      </c>
      <c r="Y8" s="67">
        <f>'增加值 (2001-2060, 2020RMB)'!Y8*$B$73</f>
        <v>2533.2173707047018</v>
      </c>
      <c r="Z8" s="71">
        <f>'增加值 (2001-2060, 2020RMB)'!Z8*$B$73</f>
        <v>2650.3900072957049</v>
      </c>
      <c r="AA8" s="69">
        <f>'增加值 (2001-2060, 2020RMB)'!AA8*$B$73</f>
        <v>2766.5538093185805</v>
      </c>
      <c r="AB8" s="67">
        <f>'增加值 (2001-2060, 2020RMB)'!AB8*$B$73</f>
        <v>2880.5620378560429</v>
      </c>
      <c r="AC8" s="67">
        <f>'增加值 (2001-2060, 2020RMB)'!AC8*$B$73</f>
        <v>2991.1685537584772</v>
      </c>
      <c r="AD8" s="67">
        <f>'增加值 (2001-2060, 2020RMB)'!AD8*$B$73</f>
        <v>3097.040246439235</v>
      </c>
      <c r="AE8" s="70">
        <f>'增加值 (2001-2060, 2020RMB)'!AE8*$B$73</f>
        <v>3196.773659057415</v>
      </c>
      <c r="AF8" s="69">
        <f>'增加值 (2001-2060, 2020RMB)'!AF8*$B$73</f>
        <v>3289.3607909554662</v>
      </c>
      <c r="AG8" s="67">
        <f>'增加值 (2001-2060, 2020RMB)'!AG8*$B$73</f>
        <v>3375.6405212865357</v>
      </c>
      <c r="AH8" s="67">
        <f>'增加值 (2001-2060, 2020RMB)'!AH8*$B$73</f>
        <v>3457.1254734778527</v>
      </c>
      <c r="AI8" s="67">
        <f>'增加值 (2001-2060, 2020RMB)'!AI8*$B$73</f>
        <v>3535.5548313107238</v>
      </c>
      <c r="AJ8" s="71">
        <f>'增加值 (2001-2060, 2020RMB)'!AJ8*$B$73</f>
        <v>3612.8731149177179</v>
      </c>
      <c r="AK8" s="69">
        <f>'增加值 (2001-2060, 2020RMB)'!AK8*$B$73</f>
        <v>3690.7349387136333</v>
      </c>
      <c r="AL8" s="67">
        <f>'增加值 (2001-2060, 2020RMB)'!AL8*$B$73</f>
        <v>3768.9705767312053</v>
      </c>
      <c r="AM8" s="67">
        <f>'增加值 (2001-2060, 2020RMB)'!AM8*$B$73</f>
        <v>3846.893957428239</v>
      </c>
      <c r="AN8" s="67">
        <f>'增加值 (2001-2060, 2020RMB)'!AN8*$B$73</f>
        <v>3923.7659330227675</v>
      </c>
      <c r="AO8" s="70">
        <f>'增加值 (2001-2060, 2020RMB)'!AO8*$B$73</f>
        <v>3998.795660082013</v>
      </c>
      <c r="AP8" s="69">
        <f>'增加值 (2001-2060, 2020RMB)'!AP8*$B$73</f>
        <v>4071.1434673086806</v>
      </c>
      <c r="AQ8" s="67">
        <f>'增加值 (2001-2060, 2020RMB)'!AQ8*$B$73</f>
        <v>4139.9253524709848</v>
      </c>
      <c r="AR8" s="67">
        <f>'增加值 (2001-2060, 2020RMB)'!AR8*$B$73</f>
        <v>4204.2192304261562</v>
      </c>
      <c r="AS8" s="67">
        <f>'增加值 (2001-2060, 2020RMB)'!AS8*$B$73</f>
        <v>4263.0730249955159</v>
      </c>
      <c r="AT8" s="70">
        <f>'增加值 (2001-2060, 2020RMB)'!AT8*$B$73</f>
        <v>4315.5146585228858</v>
      </c>
      <c r="AU8" s="69">
        <f>'增加值 (2001-2060, 2020RMB)'!AU8*$B$73</f>
        <v>4360.563944103932</v>
      </c>
      <c r="AV8" s="67">
        <f>'增加值 (2001-2060, 2020RMB)'!AV8*$B$73</f>
        <v>4397.2463269799973</v>
      </c>
      <c r="AW8" s="67">
        <f>'增加值 (2001-2060, 2020RMB)'!AW8*$B$73</f>
        <v>4424.6083542594133</v>
      </c>
      <c r="AX8" s="67">
        <f>'增加值 (2001-2060, 2020RMB)'!AX8*$B$73</f>
        <v>4441.734677399545</v>
      </c>
      <c r="AY8" s="71">
        <f>'增加值 (2001-2060, 2020RMB)'!AY8*$B$73</f>
        <v>4447.7663118671553</v>
      </c>
      <c r="AZ8" s="69">
        <f>'增加值 (2001-2060, 2020RMB)'!AZ8*$B$73</f>
        <v>4441.9197959088988</v>
      </c>
      <c r="BA8" s="67">
        <f>'增加值 (2001-2060, 2020RMB)'!BA8*$B$73</f>
        <v>4423.5068088991857</v>
      </c>
      <c r="BB8" s="67">
        <f>'增加值 (2001-2060, 2020RMB)'!BB8*$B$73</f>
        <v>4391.9537333866283</v>
      </c>
      <c r="BC8" s="67">
        <f>'增加值 (2001-2060, 2020RMB)'!BC8*$B$73</f>
        <v>4346.8205783052717</v>
      </c>
      <c r="BD8" s="70">
        <f>'增加值 (2001-2060, 2020RMB)'!BD8*$B$73</f>
        <v>4287.8186287039962</v>
      </c>
      <c r="BE8" s="69">
        <f>'增加值 (2001-2060, 2020RMB)'!BE8*$B$73</f>
        <v>4214.8261546599442</v>
      </c>
      <c r="BF8" s="67">
        <f>'增加值 (2001-2060, 2020RMB)'!BF8*$B$73</f>
        <v>4127.9015033832129</v>
      </c>
      <c r="BG8" s="67">
        <f>'增加值 (2001-2060, 2020RMB)'!BG8*$B$73</f>
        <v>4027.2929178756985</v>
      </c>
      <c r="BH8" s="67">
        <f>'增加值 (2001-2060, 2020RMB)'!BH8*$B$73</f>
        <v>3913.4444758705445</v>
      </c>
      <c r="BI8" s="71">
        <f>'增加值 (2001-2060, 2020RMB)'!BI8*$B$73</f>
        <v>3786.9976257973049</v>
      </c>
    </row>
    <row r="9" spans="1:65" x14ac:dyDescent="0.2">
      <c r="A9" s="14" t="s">
        <v>7</v>
      </c>
      <c r="B9" s="11">
        <f>'增加值 (2001-2060, 2020RMB)'!B9*$B$73</f>
        <v>1347.7673940303803</v>
      </c>
      <c r="C9" s="12">
        <f>'增加值 (2001-2060, 2020RMB)'!C9*$B$73</f>
        <v>1430.156352213399</v>
      </c>
      <c r="D9" s="12">
        <f>'增加值 (2001-2060, 2020RMB)'!D9*$B$73</f>
        <v>1516.2562216962042</v>
      </c>
      <c r="E9" s="12">
        <f>'增加值 (2001-2060, 2020RMB)'!E9*$B$73</f>
        <v>1547.534273804351</v>
      </c>
      <c r="F9" s="13">
        <f>'增加值 (2001-2060, 2020RMB)'!F9*$B$73</f>
        <v>1689.363091931338</v>
      </c>
      <c r="G9" s="11">
        <f>'增加值 (2001-2060, 2020RMB)'!G9*$B$73</f>
        <v>2165.0164621977192</v>
      </c>
      <c r="H9" s="12">
        <f>'增加值 (2001-2060, 2020RMB)'!H9*$B$73</f>
        <v>3061.7955148639662</v>
      </c>
      <c r="I9" s="12">
        <f>'增加值 (2001-2060, 2020RMB)'!I9*$B$73</f>
        <v>3429.7288409109169</v>
      </c>
      <c r="J9" s="12">
        <f>'增加值 (2001-2060, 2020RMB)'!J9*$B$73</f>
        <v>4091.0322632234879</v>
      </c>
      <c r="K9" s="13">
        <f>'增加值 (2001-2060, 2020RMB)'!K9*$B$73</f>
        <v>4509.1328253853526</v>
      </c>
      <c r="L9" s="11">
        <f>'增加值 (2001-2060, 2020RMB)'!L9*$B$73</f>
        <v>4987.390817657064</v>
      </c>
      <c r="M9" s="12">
        <f>'增加值 (2001-2060, 2020RMB)'!M9*$B$73</f>
        <v>5592.9147480115871</v>
      </c>
      <c r="N9" s="12">
        <f>'增加值 (2001-2060, 2020RMB)'!N9*$B$73</f>
        <v>6411.0259637493928</v>
      </c>
      <c r="O9" s="12">
        <f>'增加值 (2001-2060, 2020RMB)'!O9*$B$73</f>
        <v>7198.2825882291809</v>
      </c>
      <c r="P9" s="13">
        <f>'增加值 (2001-2060, 2020RMB)'!P9*$B$73</f>
        <v>8646.4873926158689</v>
      </c>
      <c r="Q9" s="11">
        <f>'增加值 (2001-2060, 2020RMB)'!Q9*$B$73</f>
        <v>9077.2806174726575</v>
      </c>
      <c r="R9" s="12">
        <f>'增加值 (2001-2060, 2020RMB)'!R9*$B$73</f>
        <v>9413.2889940005916</v>
      </c>
      <c r="S9" s="12">
        <f>'增加值 (2001-2060, 2020RMB)'!S9*$B$73</f>
        <v>9899.101919664623</v>
      </c>
      <c r="T9" s="12">
        <f>'增加值 (2001-2060, 2020RMB)'!T9*$B$73</f>
        <v>10558.966690894093</v>
      </c>
      <c r="U9" s="13">
        <f>'增加值 (2001-2060, 2020RMB)'!U9*$B$73</f>
        <v>11518.040116145148</v>
      </c>
      <c r="V9" s="11">
        <f>'增加值 (2001-2060, 2020RMB)'!V9*$B$73</f>
        <v>12010.857614349379</v>
      </c>
      <c r="W9" s="12">
        <f>'增加值 (2001-2060, 2020RMB)'!W9*$B$73</f>
        <v>12469.938513456913</v>
      </c>
      <c r="X9" s="67">
        <f>'增加值 (2001-2060, 2020RMB)'!X9*$B$73</f>
        <v>13109.068524510543</v>
      </c>
      <c r="Y9" s="67">
        <f>'增加值 (2001-2060, 2020RMB)'!Y9*$B$73</f>
        <v>13799.049050526763</v>
      </c>
      <c r="Z9" s="71">
        <f>'增加值 (2001-2060, 2020RMB)'!Z9*$B$73</f>
        <v>14532.223792863531</v>
      </c>
      <c r="AA9" s="69">
        <f>'增加值 (2001-2060, 2020RMB)'!AA9*$B$73</f>
        <v>15298.765266012653</v>
      </c>
      <c r="AB9" s="67">
        <f>'增加值 (2001-2060, 2020RMB)'!AB9*$B$73</f>
        <v>16086.362863765842</v>
      </c>
      <c r="AC9" s="67">
        <f>'增加值 (2001-2060, 2020RMB)'!AC9*$B$73</f>
        <v>16879.994764165367</v>
      </c>
      <c r="AD9" s="67">
        <f>'增加值 (2001-2060, 2020RMB)'!AD9*$B$73</f>
        <v>17661.82234178271</v>
      </c>
      <c r="AE9" s="70">
        <f>'增加值 (2001-2060, 2020RMB)'!AE9*$B$73</f>
        <v>18411.249565315175</v>
      </c>
      <c r="AF9" s="69">
        <f>'增加值 (2001-2060, 2020RMB)'!AF9*$B$73</f>
        <v>19109.801017572554</v>
      </c>
      <c r="AG9" s="67">
        <f>'增加值 (2001-2060, 2020RMB)'!AG9*$B$73</f>
        <v>19756.683400960588</v>
      </c>
      <c r="AH9" s="67">
        <f>'增加值 (2001-2060, 2020RMB)'!AH9*$B$73</f>
        <v>20357.363294143481</v>
      </c>
      <c r="AI9" s="67">
        <f>'增加值 (2001-2060, 2020RMB)'!AI9*$B$73</f>
        <v>20919.11275736244</v>
      </c>
      <c r="AJ9" s="71">
        <f>'增加值 (2001-2060, 2020RMB)'!AJ9*$B$73</f>
        <v>21450.818962941801</v>
      </c>
      <c r="AK9" s="69">
        <f>'增加值 (2001-2060, 2020RMB)'!AK9*$B$73</f>
        <v>21960.410598482562</v>
      </c>
      <c r="AL9" s="67">
        <f>'增加值 (2001-2060, 2020RMB)'!AL9*$B$73</f>
        <v>22447.079543833941</v>
      </c>
      <c r="AM9" s="67">
        <f>'增加值 (2001-2060, 2020RMB)'!AM9*$B$73</f>
        <v>22907.692185684751</v>
      </c>
      <c r="AN9" s="67">
        <f>'增加值 (2001-2060, 2020RMB)'!AN9*$B$73</f>
        <v>23339.106627763198</v>
      </c>
      <c r="AO9" s="70">
        <f>'增加值 (2001-2060, 2020RMB)'!AO9*$B$73</f>
        <v>23738.201172124867</v>
      </c>
      <c r="AP9" s="69">
        <f>'增加值 (2001-2060, 2020RMB)'!AP9*$B$73</f>
        <v>24101.904693945362</v>
      </c>
      <c r="AQ9" s="67">
        <f>'增加值 (2001-2060, 2020RMB)'!AQ9*$B$73</f>
        <v>24427.228611472518</v>
      </c>
      <c r="AR9" s="67">
        <f>'增加值 (2001-2060, 2020RMB)'!AR9*$B$73</f>
        <v>24711.300096949468</v>
      </c>
      <c r="AS9" s="67">
        <f>'增加值 (2001-2060, 2020RMB)'!AS9*$B$73</f>
        <v>24951.396120564343</v>
      </c>
      <c r="AT9" s="70">
        <f>'增加值 (2001-2060, 2020RMB)'!AT9*$B$73</f>
        <v>25144.977869334802</v>
      </c>
      <c r="AU9" s="69">
        <f>'增加值 (2001-2060, 2020RMB)'!AU9*$B$73</f>
        <v>25289.725037931672</v>
      </c>
      <c r="AV9" s="67">
        <f>'增加值 (2001-2060, 2020RMB)'!AV9*$B$73</f>
        <v>25383.569450399606</v>
      </c>
      <c r="AW9" s="67">
        <f>'增加值 (2001-2060, 2020RMB)'!AW9*$B$73</f>
        <v>25424.727442185325</v>
      </c>
      <c r="AX9" s="67">
        <f>'增加值 (2001-2060, 2020RMB)'!AX9*$B$73</f>
        <v>25411.730412359477</v>
      </c>
      <c r="AY9" s="71">
        <f>'增加值 (2001-2060, 2020RMB)'!AY9*$B$73</f>
        <v>25343.452947837439</v>
      </c>
      <c r="AZ9" s="69">
        <f>'增加值 (2001-2060, 2020RMB)'!AZ9*$B$73</f>
        <v>25219.137925982432</v>
      </c>
      <c r="BA9" s="67">
        <f>'增加值 (2001-2060, 2020RMB)'!BA9*$B$73</f>
        <v>25038.418020168374</v>
      </c>
      <c r="BB9" s="67">
        <f>'增加值 (2001-2060, 2020RMB)'!BB9*$B$73</f>
        <v>24801.333065354138</v>
      </c>
      <c r="BC9" s="67">
        <f>'增加值 (2001-2060, 2020RMB)'!BC9*$B$73</f>
        <v>24508.342787761307</v>
      </c>
      <c r="BD9" s="70">
        <f>'增加值 (2001-2060, 2020RMB)'!BD9*$B$73</f>
        <v>24160.3344642478</v>
      </c>
      <c r="BE9" s="69">
        <f>'增加值 (2001-2060, 2020RMB)'!BE9*$B$73</f>
        <v>23758.625152375513</v>
      </c>
      <c r="BF9" s="67">
        <f>'增加值 (2001-2060, 2020RMB)'!BF9*$B$73</f>
        <v>23304.95822047719</v>
      </c>
      <c r="BG9" s="67">
        <f>'增加值 (2001-2060, 2020RMB)'!BG9*$B$73</f>
        <v>22801.494006759312</v>
      </c>
      <c r="BH9" s="67">
        <f>'增加值 (2001-2060, 2020RMB)'!BH9*$B$73</f>
        <v>22250.794545714605</v>
      </c>
      <c r="BI9" s="71">
        <f>'增加值 (2001-2060, 2020RMB)'!BI9*$B$73</f>
        <v>21655.802416503728</v>
      </c>
    </row>
    <row r="10" spans="1:65" x14ac:dyDescent="0.2">
      <c r="A10" s="14" t="s">
        <v>8</v>
      </c>
      <c r="B10" s="11">
        <f>'增加值 (2001-2060, 2020RMB)'!B10*$B$73</f>
        <v>1219.0212583278549</v>
      </c>
      <c r="C10" s="12">
        <f>'增加值 (2001-2060, 2020RMB)'!C10*$B$73</f>
        <v>1373.1900105983616</v>
      </c>
      <c r="D10" s="12">
        <f>'增加值 (2001-2060, 2020RMB)'!D10*$B$73</f>
        <v>1544.1701634192118</v>
      </c>
      <c r="E10" s="12">
        <f>'增加值 (2001-2060, 2020RMB)'!E10*$B$73</f>
        <v>1676.9370442829156</v>
      </c>
      <c r="F10" s="13">
        <f>'增加值 (2001-2060, 2020RMB)'!F10*$B$73</f>
        <v>1914.2880443395622</v>
      </c>
      <c r="G10" s="11">
        <f>'增加值 (2001-2060, 2020RMB)'!G10*$B$73</f>
        <v>2240.6985755238452</v>
      </c>
      <c r="H10" s="12">
        <f>'增加值 (2001-2060, 2020RMB)'!H10*$B$73</f>
        <v>2762.4647165029232</v>
      </c>
      <c r="I10" s="12">
        <f>'增加值 (2001-2060, 2020RMB)'!I10*$B$73</f>
        <v>2729.5411431597586</v>
      </c>
      <c r="J10" s="12">
        <f>'增加值 (2001-2060, 2020RMB)'!J10*$B$73</f>
        <v>3514.7004494341772</v>
      </c>
      <c r="K10" s="13">
        <f>'增加值 (2001-2060, 2020RMB)'!K10*$B$73</f>
        <v>4087.449151662021</v>
      </c>
      <c r="L10" s="11">
        <f>'增加值 (2001-2060, 2020RMB)'!L10*$B$73</f>
        <v>4506.2057061483838</v>
      </c>
      <c r="M10" s="12">
        <f>'增加值 (2001-2060, 2020RMB)'!M10*$B$73</f>
        <v>4876.1561524196823</v>
      </c>
      <c r="N10" s="12">
        <f>'增加值 (2001-2060, 2020RMB)'!N10*$B$73</f>
        <v>5486.7901884874836</v>
      </c>
      <c r="O10" s="12">
        <f>'增加值 (2001-2060, 2020RMB)'!O10*$B$73</f>
        <v>5851.371938180193</v>
      </c>
      <c r="P10" s="13">
        <f>'增加值 (2001-2060, 2020RMB)'!P10*$B$73</f>
        <v>6538.4570630046546</v>
      </c>
      <c r="Q10" s="11">
        <f>'增加值 (2001-2060, 2020RMB)'!Q10*$B$73</f>
        <v>7564.3096872579927</v>
      </c>
      <c r="R10" s="12">
        <f>'增加值 (2001-2060, 2020RMB)'!R10*$B$73</f>
        <v>8287.0354913464689</v>
      </c>
      <c r="S10" s="12">
        <f>'增加值 (2001-2060, 2020RMB)'!S10*$B$73</f>
        <v>9059.7216461973221</v>
      </c>
      <c r="T10" s="12">
        <f>'增加值 (2001-2060, 2020RMB)'!T10*$B$73</f>
        <v>9754.9959835948321</v>
      </c>
      <c r="U10" s="13">
        <f>'增加值 (2001-2060, 2020RMB)'!U10*$B$73</f>
        <v>10114.073347389278</v>
      </c>
      <c r="V10" s="11">
        <f>'增加值 (2001-2060, 2020RMB)'!V10*$B$73</f>
        <v>10213.975076695173</v>
      </c>
      <c r="W10" s="12">
        <f>'增加值 (2001-2060, 2020RMB)'!W10*$B$73</f>
        <v>9508.7032670198314</v>
      </c>
      <c r="X10" s="67">
        <f>'增加值 (2001-2060, 2020RMB)'!X10*$B$73</f>
        <v>10044.343406671402</v>
      </c>
      <c r="Y10" s="67">
        <f>'增加值 (2001-2060, 2020RMB)'!Y10*$B$73</f>
        <v>10584.938769293158</v>
      </c>
      <c r="Z10" s="71">
        <f>'增加值 (2001-2060, 2020RMB)'!Z10*$B$73</f>
        <v>11125.38840155389</v>
      </c>
      <c r="AA10" s="69">
        <f>'增加值 (2001-2060, 2020RMB)'!AA10*$B$73</f>
        <v>11659.919203618932</v>
      </c>
      <c r="AB10" s="67">
        <f>'增加值 (2001-2060, 2020RMB)'!AB10*$B$73</f>
        <v>12182.121366708352</v>
      </c>
      <c r="AC10" s="67">
        <f>'增加值 (2001-2060, 2020RMB)'!AC10*$B$73</f>
        <v>12685.010125499344</v>
      </c>
      <c r="AD10" s="67">
        <f>'增加值 (2001-2060, 2020RMB)'!AD10*$B$73</f>
        <v>13161.116205883496</v>
      </c>
      <c r="AE10" s="70">
        <f>'增加值 (2001-2060, 2020RMB)'!AE10*$B$73</f>
        <v>13602.606420252814</v>
      </c>
      <c r="AF10" s="69">
        <f>'增加值 (2001-2060, 2020RMB)'!AF10*$B$73</f>
        <v>14004.28729122251</v>
      </c>
      <c r="AG10" s="67">
        <f>'增加值 (2001-2060, 2020RMB)'!AG10*$B$73</f>
        <v>14372.927144154928</v>
      </c>
      <c r="AH10" s="67">
        <f>'增加值 (2001-2060, 2020RMB)'!AH10*$B$73</f>
        <v>14719.705014017771</v>
      </c>
      <c r="AI10" s="67">
        <f>'增加值 (2001-2060, 2020RMB)'!AI10*$B$73</f>
        <v>15057.296271608813</v>
      </c>
      <c r="AJ10" s="71">
        <f>'增加值 (2001-2060, 2020RMB)'!AJ10*$B$73</f>
        <v>15399.734302235805</v>
      </c>
      <c r="AK10" s="69">
        <f>'增加值 (2001-2060, 2020RMB)'!AK10*$B$73</f>
        <v>15759.247489758051</v>
      </c>
      <c r="AL10" s="67">
        <f>'增加值 (2001-2060, 2020RMB)'!AL10*$B$73</f>
        <v>16136.329701122551</v>
      </c>
      <c r="AM10" s="67">
        <f>'增加值 (2001-2060, 2020RMB)'!AM10*$B$73</f>
        <v>16528.195157365128</v>
      </c>
      <c r="AN10" s="67">
        <f>'增加值 (2001-2060, 2020RMB)'!AN10*$B$73</f>
        <v>16931.750141845572</v>
      </c>
      <c r="AO10" s="70">
        <f>'增加值 (2001-2060, 2020RMB)'!AO10*$B$73</f>
        <v>17343.564947035604</v>
      </c>
      <c r="AP10" s="69">
        <f>'增加值 (2001-2060, 2020RMB)'!AP10*$B$73</f>
        <v>17759.852203221366</v>
      </c>
      <c r="AQ10" s="67">
        <f>'增加值 (2001-2060, 2020RMB)'!AQ10*$B$73</f>
        <v>18176.452896143259</v>
      </c>
      <c r="AR10" s="67">
        <f>'增加值 (2001-2060, 2020RMB)'!AR10*$B$73</f>
        <v>18588.831489505177</v>
      </c>
      <c r="AS10" s="67">
        <f>'增加值 (2001-2060, 2020RMB)'!AS10*$B$73</f>
        <v>18992.081625042472</v>
      </c>
      <c r="AT10" s="70">
        <f>'增加值 (2001-2060, 2020RMB)'!AT10*$B$73</f>
        <v>19380.943864542169</v>
      </c>
      <c r="AU10" s="69">
        <f>'增加值 (2001-2060, 2020RMB)'!AU10*$B$73</f>
        <v>19749.836851705615</v>
      </c>
      <c r="AV10" s="67">
        <f>'增加值 (2001-2060, 2020RMB)'!AV10*$B$73</f>
        <v>20092.903094588597</v>
      </c>
      <c r="AW10" s="67">
        <f>'增加值 (2001-2060, 2020RMB)'!AW10*$B$73</f>
        <v>20404.070290940745</v>
      </c>
      <c r="AX10" s="67">
        <f>'增加值 (2001-2060, 2020RMB)'!AX10*$B$73</f>
        <v>20677.128731665605</v>
      </c>
      <c r="AY10" s="71">
        <f>'增加值 (2001-2060, 2020RMB)'!AY10*$B$73</f>
        <v>20905.824819016936</v>
      </c>
      <c r="AZ10" s="69">
        <f>'增加值 (2001-2060, 2020RMB)'!AZ10*$B$73</f>
        <v>21083.97012928101</v>
      </c>
      <c r="BA10" s="67">
        <f>'增加值 (2001-2060, 2020RMB)'!BA10*$B$73</f>
        <v>21205.564745267522</v>
      </c>
      <c r="BB10" s="67">
        <f>'增加值 (2001-2060, 2020RMB)'!BB10*$B$73</f>
        <v>21264.932801226678</v>
      </c>
      <c r="BC10" s="67">
        <f>'增加值 (2001-2060, 2020RMB)'!BC10*$B$73</f>
        <v>21256.867350405919</v>
      </c>
      <c r="BD10" s="70">
        <f>'增加值 (2001-2060, 2020RMB)'!BD10*$B$73</f>
        <v>21176.78082141266</v>
      </c>
      <c r="BE10" s="69">
        <f>'增加值 (2001-2060, 2020RMB)'!BE10*$B$73</f>
        <v>21020.856520732003</v>
      </c>
      <c r="BF10" s="67">
        <f>'增加值 (2001-2060, 2020RMB)'!BF10*$B$73</f>
        <v>20786.195919396778</v>
      </c>
      <c r="BG10" s="67">
        <f>'增加值 (2001-2060, 2020RMB)'!BG10*$B$73</f>
        <v>20470.955890976202</v>
      </c>
      <c r="BH10" s="67">
        <f>'增加值 (2001-2060, 2020RMB)'!BH10*$B$73</f>
        <v>20074.46970617053</v>
      </c>
      <c r="BI10" s="71">
        <f>'增加值 (2001-2060, 2020RMB)'!BI10*$B$73</f>
        <v>19597.345493755565</v>
      </c>
    </row>
    <row r="11" spans="1:65" x14ac:dyDescent="0.2">
      <c r="A11" s="15" t="s">
        <v>9</v>
      </c>
      <c r="B11" s="16">
        <f>'增加值 (2001-2060, 2020RMB)'!B11*$B$73</f>
        <v>4399.2839520758689</v>
      </c>
      <c r="C11" s="17">
        <f>'增加值 (2001-2060, 2020RMB)'!C11*$B$73</f>
        <v>5101.6409305548195</v>
      </c>
      <c r="D11" s="17">
        <f>'增加值 (2001-2060, 2020RMB)'!D11*$B$73</f>
        <v>5706.6329485801625</v>
      </c>
      <c r="E11" s="17">
        <f>'增加值 (2001-2060, 2020RMB)'!E11*$B$73</f>
        <v>6273.0917975100583</v>
      </c>
      <c r="F11" s="18">
        <f>'增加值 (2001-2060, 2020RMB)'!F11*$B$73</f>
        <v>7163.2289874958215</v>
      </c>
      <c r="G11" s="16">
        <f>'增加值 (2001-2060, 2020RMB)'!G11*$B$73</f>
        <v>8013.4462092884878</v>
      </c>
      <c r="H11" s="17">
        <f>'增加值 (2001-2060, 2020RMB)'!H11*$B$73</f>
        <v>8976.197423395437</v>
      </c>
      <c r="I11" s="17">
        <f>'增加值 (2001-2060, 2020RMB)'!I11*$B$73</f>
        <v>9940.0554716686747</v>
      </c>
      <c r="J11" s="17">
        <f>'增加值 (2001-2060, 2020RMB)'!J11*$B$73</f>
        <v>11241.233719102325</v>
      </c>
      <c r="K11" s="18">
        <f>'增加值 (2001-2060, 2020RMB)'!K11*$B$73</f>
        <v>12030.154213327729</v>
      </c>
      <c r="L11" s="16">
        <f>'增加值 (2001-2060, 2020RMB)'!L11*$B$73</f>
        <v>13152.04700770911</v>
      </c>
      <c r="M11" s="17">
        <f>'增加值 (2001-2060, 2020RMB)'!M11*$B$73</f>
        <v>14753.084208486993</v>
      </c>
      <c r="N11" s="17">
        <f>'增加值 (2001-2060, 2020RMB)'!N11*$B$73</f>
        <v>16433.371640329231</v>
      </c>
      <c r="O11" s="17">
        <f>'增加值 (2001-2060, 2020RMB)'!O11*$B$73</f>
        <v>18377.487349479274</v>
      </c>
      <c r="P11" s="18">
        <f>'增加值 (2001-2060, 2020RMB)'!P11*$B$73</f>
        <v>21018.334023345262</v>
      </c>
      <c r="Q11" s="16">
        <f>'增加值 (2001-2060, 2020RMB)'!Q11*$B$73</f>
        <v>23727.769933448726</v>
      </c>
      <c r="R11" s="17">
        <f>'增加值 (2001-2060, 2020RMB)'!R11*$B$73</f>
        <v>25997.521706091175</v>
      </c>
      <c r="S11" s="17">
        <f>'增加值 (2001-2060, 2020RMB)'!S11*$B$73</f>
        <v>28619.820921456478</v>
      </c>
      <c r="T11" s="17">
        <f>'增加值 (2001-2060, 2020RMB)'!T11*$B$73</f>
        <v>31533.437732821782</v>
      </c>
      <c r="U11" s="18">
        <f>'增加值 (2001-2060, 2020RMB)'!U11*$B$73</f>
        <v>32759.587336583696</v>
      </c>
      <c r="V11" s="16">
        <f>'增加值 (2001-2060, 2020RMB)'!V11*$B$73</f>
        <v>34240.431142295572</v>
      </c>
      <c r="W11" s="17">
        <f>'增加值 (2001-2060, 2020RMB)'!W11*$B$73</f>
        <v>36055.461019772934</v>
      </c>
      <c r="X11" s="72">
        <f>'增加值 (2001-2060, 2020RMB)'!X11*$B$73</f>
        <v>39385.745605241253</v>
      </c>
      <c r="Y11" s="72">
        <f>'增加值 (2001-2060, 2020RMB)'!Y11*$B$73</f>
        <v>43006.912939604073</v>
      </c>
      <c r="Z11" s="73">
        <f>'增加值 (2001-2060, 2020RMB)'!Z11*$B$73</f>
        <v>46920.723341007928</v>
      </c>
      <c r="AA11" s="74">
        <f>'增加值 (2001-2060, 2020RMB)'!AA11*$B$73</f>
        <v>51122.581787876887</v>
      </c>
      <c r="AB11" s="72">
        <f>'增加值 (2001-2060, 2020RMB)'!AB11*$B$73</f>
        <v>55600.056290300578</v>
      </c>
      <c r="AC11" s="72">
        <f>'增加值 (2001-2060, 2020RMB)'!AC11*$B$73</f>
        <v>60331.35013935918</v>
      </c>
      <c r="AD11" s="72">
        <f>'增加值 (2001-2060, 2020RMB)'!AD11*$B$73</f>
        <v>65283.805498530186</v>
      </c>
      <c r="AE11" s="75">
        <f>'增加值 (2001-2060, 2020RMB)'!AE11*$B$73</f>
        <v>70412.539646374775</v>
      </c>
      <c r="AF11" s="74">
        <f>'增加值 (2001-2060, 2020RMB)'!AF11*$B$73</f>
        <v>75671.846266490174</v>
      </c>
      <c r="AG11" s="72">
        <f>'增加值 (2001-2060, 2020RMB)'!AG11*$B$73</f>
        <v>81059.177642359078</v>
      </c>
      <c r="AH11" s="72">
        <f>'增加值 (2001-2060, 2020RMB)'!AH11*$B$73</f>
        <v>86590.278387146318</v>
      </c>
      <c r="AI11" s="72">
        <f>'增加值 (2001-2060, 2020RMB)'!AI11*$B$73</f>
        <v>92289.191701116972</v>
      </c>
      <c r="AJ11" s="73">
        <f>'增加值 (2001-2060, 2020RMB)'!AJ11*$B$73</f>
        <v>98189.075865548977</v>
      </c>
      <c r="AK11" s="74">
        <f>'增加值 (2001-2060, 2020RMB)'!AK11*$B$73</f>
        <v>104323.34942161286</v>
      </c>
      <c r="AL11" s="72">
        <f>'增加值 (2001-2060, 2020RMB)'!AL11*$B$73</f>
        <v>110692.74285852285</v>
      </c>
      <c r="AM11" s="72">
        <f>'增加值 (2001-2060, 2020RMB)'!AM11*$B$73</f>
        <v>117286.95081645319</v>
      </c>
      <c r="AN11" s="72">
        <f>'增加值 (2001-2060, 2020RMB)'!AN11*$B$73</f>
        <v>124093.17571042619</v>
      </c>
      <c r="AO11" s="75">
        <f>'增加值 (2001-2060, 2020RMB)'!AO11*$B$73</f>
        <v>131096.03411350533</v>
      </c>
      <c r="AP11" s="74">
        <f>'增加值 (2001-2060, 2020RMB)'!AP11*$B$73</f>
        <v>138277.48848301987</v>
      </c>
      <c r="AQ11" s="72">
        <f>'增加值 (2001-2060, 2020RMB)'!AQ11*$B$73</f>
        <v>145616.80794793559</v>
      </c>
      <c r="AR11" s="72">
        <f>'增加值 (2001-2060, 2020RMB)'!AR11*$B$73</f>
        <v>153090.56171398424</v>
      </c>
      <c r="AS11" s="72">
        <f>'增加值 (2001-2060, 2020RMB)'!AS11*$B$73</f>
        <v>160672.6483802557</v>
      </c>
      <c r="AT11" s="75">
        <f>'增加值 (2001-2060, 2020RMB)'!AT11*$B$73</f>
        <v>168334.36409051224</v>
      </c>
      <c r="AU11" s="74">
        <f>'增加值 (2001-2060, 2020RMB)'!AU11*$B$73</f>
        <v>176044.51196073537</v>
      </c>
      <c r="AV11" s="72">
        <f>'增加值 (2001-2060, 2020RMB)'!AV11*$B$73</f>
        <v>183769.55463055699</v>
      </c>
      <c r="AW11" s="72">
        <f>'增加值 (2001-2060, 2020RMB)'!AW11*$B$73</f>
        <v>191473.81108279072</v>
      </c>
      <c r="AX11" s="72">
        <f>'增加值 (2001-2060, 2020RMB)'!AX11*$B$73</f>
        <v>199119.69806860975</v>
      </c>
      <c r="AY11" s="73">
        <f>'增加值 (2001-2060, 2020RMB)'!AY11*$B$73</f>
        <v>206668.01557649442</v>
      </c>
      <c r="AZ11" s="74">
        <f>'增加值 (2001-2060, 2020RMB)'!AZ11*$B$73</f>
        <v>214078.27480565335</v>
      </c>
      <c r="BA11" s="72">
        <f>'增加值 (2001-2060, 2020RMB)'!BA11*$B$73</f>
        <v>221309.06606847441</v>
      </c>
      <c r="BB11" s="72">
        <f>'增加值 (2001-2060, 2020RMB)'!BB11*$B$73</f>
        <v>228318.46297510448</v>
      </c>
      <c r="BC11" s="72">
        <f>'增加值 (2001-2060, 2020RMB)'!BC11*$B$73</f>
        <v>235064.45817404255</v>
      </c>
      <c r="BD11" s="75">
        <f>'增加值 (2001-2060, 2020RMB)'!BD11*$B$73</f>
        <v>241505.42486660468</v>
      </c>
      <c r="BE11" s="74">
        <f>'增加值 (2001-2060, 2020RMB)'!BE11*$B$73</f>
        <v>247600.59731397251</v>
      </c>
      <c r="BF11" s="72">
        <f>'增加值 (2001-2060, 2020RMB)'!BF11*$B$73</f>
        <v>253310.56264879127</v>
      </c>
      <c r="BG11" s="72">
        <f>'增加值 (2001-2060, 2020RMB)'!BG11*$B$73</f>
        <v>258597.75552500214</v>
      </c>
      <c r="BH11" s="72">
        <f>'增加值 (2001-2060, 2020RMB)'!BH11*$B$73</f>
        <v>263426.94652514905</v>
      </c>
      <c r="BI11" s="73">
        <f>'增加值 (2001-2060, 2020RMB)'!BI11*$B$73</f>
        <v>267765.71482693328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60"/>
      <c r="AA12" s="61"/>
      <c r="AB12" s="59"/>
      <c r="AC12" s="59"/>
      <c r="AD12" s="59"/>
      <c r="AE12" s="60"/>
      <c r="AF12" s="61"/>
      <c r="AG12" s="59"/>
      <c r="AH12" s="59"/>
      <c r="AI12" s="59"/>
      <c r="AJ12" s="60"/>
      <c r="AK12" s="61"/>
      <c r="AL12" s="59"/>
      <c r="AM12" s="59"/>
      <c r="AN12" s="59"/>
      <c r="AO12" s="60"/>
      <c r="AP12" s="61"/>
      <c r="AQ12" s="59"/>
      <c r="AR12" s="59"/>
      <c r="AS12" s="59"/>
      <c r="AT12" s="60"/>
      <c r="AU12" s="61"/>
      <c r="AV12" s="59"/>
      <c r="AW12" s="59"/>
      <c r="AX12" s="59"/>
      <c r="AY12" s="60"/>
      <c r="AZ12" s="61"/>
      <c r="BA12" s="59"/>
      <c r="BB12" s="59"/>
      <c r="BC12" s="59"/>
      <c r="BD12" s="60"/>
      <c r="BE12" s="61"/>
      <c r="BF12" s="59"/>
      <c r="BG12" s="59"/>
      <c r="BH12" s="59"/>
      <c r="BI12" s="60"/>
    </row>
    <row r="13" spans="1:65" s="9" customFormat="1" x14ac:dyDescent="0.2">
      <c r="A13" s="4" t="s">
        <v>2</v>
      </c>
      <c r="B13" s="6">
        <f>'增加值 (2001-2060, 2020RMB)'!B13*$B$73</f>
        <v>11360.305148771144</v>
      </c>
      <c r="C13" s="7">
        <f>'增加值 (2001-2060, 2020RMB)'!C13*$B$73</f>
        <v>12298.062693286282</v>
      </c>
      <c r="D13" s="7">
        <f>'增加值 (2001-2060, 2020RMB)'!D13*$B$73</f>
        <v>13884.790875628891</v>
      </c>
      <c r="E13" s="7">
        <f>'增加值 (2001-2060, 2020RMB)'!E13*$B$73</f>
        <v>15422.095104095906</v>
      </c>
      <c r="F13" s="8">
        <f>'增加值 (2001-2060, 2020RMB)'!F13*$B$73</f>
        <v>17592.823233998242</v>
      </c>
      <c r="G13" s="6">
        <f>'增加值 (2001-2060, 2020RMB)'!G13*$B$73</f>
        <v>20024.670878731729</v>
      </c>
      <c r="H13" s="7">
        <f>'增加值 (2001-2060, 2020RMB)'!H13*$B$73</f>
        <v>22498.315163918967</v>
      </c>
      <c r="I13" s="7">
        <f>'增加值 (2001-2060, 2020RMB)'!I13*$B$73</f>
        <v>24625.937654813672</v>
      </c>
      <c r="J13" s="7">
        <f>'增加值 (2001-2060, 2020RMB)'!J13*$B$73</f>
        <v>25871.065445139207</v>
      </c>
      <c r="K13" s="8">
        <f>'增加值 (2001-2060, 2020RMB)'!K13*$B$73</f>
        <v>28934.018460247236</v>
      </c>
      <c r="L13" s="6">
        <f>'增加值 (2001-2060, 2020RMB)'!L13*$B$73</f>
        <v>31652.799458352747</v>
      </c>
      <c r="M13" s="39">
        <f>'增加值 (2001-2060, 2020RMB)'!M13*$B$73</f>
        <v>33124.32229745431</v>
      </c>
      <c r="N13" s="39">
        <f>'增加值 (2001-2060, 2020RMB)'!N13*$B$73</f>
        <v>34518.444056519606</v>
      </c>
      <c r="O13" s="39">
        <f>'增加值 (2001-2060, 2020RMB)'!O13*$B$73</f>
        <v>35827.085847351853</v>
      </c>
      <c r="P13" s="40">
        <f>'增加值 (2001-2060, 2020RMB)'!P13*$B$73</f>
        <v>36086.373868234325</v>
      </c>
      <c r="Q13" s="38">
        <f>'增加值 (2001-2060, 2020RMB)'!Q13*$B$73</f>
        <v>37149.335570071082</v>
      </c>
      <c r="R13" s="39">
        <f>'增加值 (2001-2060, 2020RMB)'!R13*$B$73</f>
        <v>39938.398266727323</v>
      </c>
      <c r="S13" s="39">
        <f>'增加值 (2001-2060, 2020RMB)'!S13*$B$73</f>
        <v>42210.749247921012</v>
      </c>
      <c r="T13" s="39">
        <f>'增加值 (2001-2060, 2020RMB)'!T13*$B$73</f>
        <v>43185.307729585511</v>
      </c>
      <c r="U13" s="40">
        <f>'增加值 (2001-2060, 2020RMB)'!U13*$B$73</f>
        <v>43101.259119279217</v>
      </c>
      <c r="V13" s="38">
        <f>'增加值 (2001-2060, 2020RMB)'!V13*$B$73</f>
        <v>49064.409191140723</v>
      </c>
      <c r="W13" s="39">
        <f>'增加值 (2001-2060, 2020RMB)'!W13*$B$73</f>
        <v>51734.614096336591</v>
      </c>
      <c r="X13" s="81">
        <f>'增加值 (2001-2060, 2020RMB)'!X13*$B$73</f>
        <v>53529.891961528432</v>
      </c>
      <c r="Y13" s="81">
        <f>'增加值 (2001-2060, 2020RMB)'!Y13*$B$73</f>
        <v>55458.990267115252</v>
      </c>
      <c r="Z13" s="82">
        <f>'增加值 (2001-2060, 2020RMB)'!Z13*$B$73</f>
        <v>57495.217965868636</v>
      </c>
      <c r="AA13" s="83">
        <f>'增加值 (2001-2060, 2020RMB)'!AA13*$B$73</f>
        <v>59608.908115716571</v>
      </c>
      <c r="AB13" s="81">
        <f>'增加值 (2001-2060, 2020RMB)'!AB13*$B$73</f>
        <v>61766.80203302727</v>
      </c>
      <c r="AC13" s="81">
        <f>'增加值 (2001-2060, 2020RMB)'!AC13*$B$73</f>
        <v>63931.642358351739</v>
      </c>
      <c r="AD13" s="81">
        <f>'增加值 (2001-2060, 2020RMB)'!AD13*$B$73</f>
        <v>66062.033938402572</v>
      </c>
      <c r="AE13" s="84">
        <f>'增加值 (2001-2060, 2020RMB)'!AE13*$B$73</f>
        <v>68112.644156483293</v>
      </c>
      <c r="AF13" s="83">
        <f>'增加值 (2001-2060, 2020RMB)'!AF13*$B$73</f>
        <v>70044.80314215619</v>
      </c>
      <c r="AG13" s="81">
        <f>'增加值 (2001-2060, 2020RMB)'!AG13*$B$73</f>
        <v>71858.742574282631</v>
      </c>
      <c r="AH13" s="81">
        <f>'增加值 (2001-2060, 2020RMB)'!AH13*$B$73</f>
        <v>73566.279824424331</v>
      </c>
      <c r="AI13" s="81">
        <f>'增加值 (2001-2060, 2020RMB)'!AI13*$B$73</f>
        <v>75180.784062338178</v>
      </c>
      <c r="AJ13" s="104">
        <f>'增加值 (2001-2060, 2020RMB)'!AJ13*$B$73</f>
        <v>76716.789996604566</v>
      </c>
      <c r="AK13" s="83">
        <f>'增加值 (2001-2060, 2020RMB)'!AK13*$B$73</f>
        <v>78186.307260368383</v>
      </c>
      <c r="AL13" s="81">
        <f>'增加值 (2001-2060, 2020RMB)'!AL13*$B$73</f>
        <v>79588.483676221338</v>
      </c>
      <c r="AM13" s="81">
        <f>'增加值 (2001-2060, 2020RMB)'!AM13*$B$73</f>
        <v>80919.720930519659</v>
      </c>
      <c r="AN13" s="81">
        <f>'增加值 (2001-2060, 2020RMB)'!AN13*$B$73</f>
        <v>82177.075487444497</v>
      </c>
      <c r="AO13" s="84">
        <f>'增加值 (2001-2060, 2020RMB)'!AO13*$B$73</f>
        <v>83358.270270051536</v>
      </c>
      <c r="AP13" s="83">
        <f>'增加值 (2001-2060, 2020RMB)'!AP13*$B$73</f>
        <v>84461.697825134848</v>
      </c>
      <c r="AQ13" s="81">
        <f>'增加值 (2001-2060, 2020RMB)'!AQ13*$B$73</f>
        <v>85486.415771472268</v>
      </c>
      <c r="AR13" s="81">
        <f>'增加值 (2001-2060, 2020RMB)'!AR13*$B$73</f>
        <v>86432.135443929641</v>
      </c>
      <c r="AS13" s="81">
        <f>'增加值 (2001-2060, 2020RMB)'!AS13*$B$73</f>
        <v>87299.204721763308</v>
      </c>
      <c r="AT13" s="84">
        <f>'增加值 (2001-2060, 2020RMB)'!AT13*$B$73</f>
        <v>88088.58607187969</v>
      </c>
      <c r="AU13" s="83">
        <f>'增加值 (2001-2060, 2020RMB)'!AU13*$B$73</f>
        <v>88801.830851343708</v>
      </c>
      <c r="AV13" s="81">
        <f>'增加值 (2001-2060, 2020RMB)'!AV13*$B$73</f>
        <v>89441.05090323514</v>
      </c>
      <c r="AW13" s="81">
        <f>'增加值 (2001-2060, 2020RMB)'!AW13*$B$73</f>
        <v>90008.888451499544</v>
      </c>
      <c r="AX13" s="81">
        <f>'增加值 (2001-2060, 2020RMB)'!AX13*$B$73</f>
        <v>90508.485259212888</v>
      </c>
      <c r="AY13" s="84">
        <f>'增加值 (2001-2060, 2020RMB)'!AY13*$B$73</f>
        <v>90943.45196604084</v>
      </c>
      <c r="AZ13" s="83">
        <f>'增加值 (2001-2060, 2020RMB)'!AZ13*$B$73</f>
        <v>91317.838469723574</v>
      </c>
      <c r="BA13" s="81">
        <f>'增加值 (2001-2060, 2020RMB)'!BA13*$B$73</f>
        <v>91636.106167972423</v>
      </c>
      <c r="BB13" s="81">
        <f>'增加值 (2001-2060, 2020RMB)'!BB13*$B$73</f>
        <v>91903.102835769299</v>
      </c>
      <c r="BC13" s="81">
        <f>'增加值 (2001-2060, 2020RMB)'!BC13*$B$73</f>
        <v>92124.040883067777</v>
      </c>
      <c r="BD13" s="84">
        <f>'增加值 (2001-2060, 2020RMB)'!BD13*$B$73</f>
        <v>92304.479723627053</v>
      </c>
      <c r="BE13" s="83">
        <f>'增加值 (2001-2060, 2020RMB)'!BE13*$B$73</f>
        <v>92450.312991628743</v>
      </c>
      <c r="BF13" s="81">
        <f>'增加值 (2001-2060, 2020RMB)'!BF13*$B$73</f>
        <v>92567.761373711517</v>
      </c>
      <c r="BG13" s="81">
        <f>'增加值 (2001-2060, 2020RMB)'!BG13*$B$73</f>
        <v>92663.371885732791</v>
      </c>
      <c r="BH13" s="81">
        <f>'增加值 (2001-2060, 2020RMB)'!BH13*$B$73</f>
        <v>92744.024522721622</v>
      </c>
      <c r="BI13" s="104">
        <f>'增加值 (2001-2060, 2020RMB)'!BI13*$B$73</f>
        <v>92816.947355611701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(2001-2060, 2020RMB)'!I14*$B$73</f>
        <v>1608.2848584278597</v>
      </c>
      <c r="J14" s="23">
        <f>'增加值 (2001-2060, 2020RMB)'!J14*$B$73</f>
        <v>1651.0989121675054</v>
      </c>
      <c r="K14" s="24">
        <f>'增加值 (2001-2060, 2020RMB)'!K14*$B$73</f>
        <v>1879.1923219537205</v>
      </c>
      <c r="L14" s="22">
        <f>'增加值 (2001-2060, 2020RMB)'!L14*$B$73</f>
        <v>2105.4222125807664</v>
      </c>
      <c r="M14" s="23">
        <f>'增加值 (2001-2060, 2020RMB)'!M14*$B$73</f>
        <v>2200.7748797618237</v>
      </c>
      <c r="N14" s="23">
        <f>'增加值 (2001-2060, 2020RMB)'!N14*$B$73</f>
        <v>2209.8174876911885</v>
      </c>
      <c r="O14" s="23">
        <f>'增加值 (2001-2060, 2020RMB)'!O14*$B$73</f>
        <v>2171.579848017881</v>
      </c>
      <c r="P14" s="23">
        <f>'增加值 (2001-2060, 2020RMB)'!P14*$B$73</f>
        <v>2099.3377117375903</v>
      </c>
      <c r="Q14" s="22">
        <f>'增加值 (2001-2060, 2020RMB)'!Q14*$B$73</f>
        <v>2017.9816653801363</v>
      </c>
      <c r="R14" s="23">
        <f>'增加值 (2001-2060, 2020RMB)'!R14*$B$73</f>
        <v>1999.7266103568845</v>
      </c>
      <c r="S14" s="23">
        <f>'增加值 (2001-2060, 2020RMB)'!S14*$B$73</f>
        <v>2034.9296418416018</v>
      </c>
      <c r="T14" s="23">
        <f>'增加值 (2001-2060, 2020RMB)'!T14*$B$73</f>
        <v>2069.922408755594</v>
      </c>
      <c r="U14" s="24">
        <f>'增加值 (2001-2060, 2020RMB)'!U14*$B$73</f>
        <v>2036.4097192215513</v>
      </c>
      <c r="V14" s="23">
        <f>'增加值 (2001-2060, 2020RMB)'!V14*$B$73</f>
        <v>2262.3473207375118</v>
      </c>
      <c r="W14" s="23">
        <f>'增加值 (2001-2060, 2020RMB)'!W14*$B$73</f>
        <v>2479.7197729678542</v>
      </c>
      <c r="X14" s="98">
        <f>'增加值 (2001-2060, 2020RMB)'!X14*$B$73</f>
        <v>2504.8652864475293</v>
      </c>
      <c r="Y14" s="98">
        <f>'增加值 (2001-2060, 2020RMB)'!Y14*$B$73</f>
        <v>2541.3253789756022</v>
      </c>
      <c r="Z14" s="98">
        <f>'增加值 (2001-2060, 2020RMB)'!Z14*$B$73</f>
        <v>2586.0259780063802</v>
      </c>
      <c r="AA14" s="100">
        <f>'增加值 (2001-2060, 2020RMB)'!AA14*$B$73</f>
        <v>2635.753447624787</v>
      </c>
      <c r="AB14" s="98">
        <f>'增加值 (2001-2060, 2020RMB)'!AB14*$B$73</f>
        <v>2687.06735931906</v>
      </c>
      <c r="AC14" s="98">
        <f>'增加值 (2001-2060, 2020RMB)'!AC14*$B$73</f>
        <v>2736.2562957391619</v>
      </c>
      <c r="AD14" s="98">
        <f>'增加值 (2001-2060, 2020RMB)'!AD14*$B$73</f>
        <v>2779.3422178793899</v>
      </c>
      <c r="AE14" s="99">
        <f>'增加值 (2001-2060, 2020RMB)'!AE14*$B$73</f>
        <v>2812.1396576400189</v>
      </c>
      <c r="AF14" s="98">
        <f>'增加值 (2001-2060, 2020RMB)'!AF14*$B$73</f>
        <v>2831.4459928583838</v>
      </c>
      <c r="AG14" s="98">
        <f>'增加值 (2001-2060, 2020RMB)'!AG14*$B$73</f>
        <v>2838.445298393015</v>
      </c>
      <c r="AH14" s="98">
        <f>'增加值 (2001-2060, 2020RMB)'!AH14*$B$73</f>
        <v>2835.5824823760358</v>
      </c>
      <c r="AI14" s="98">
        <f>'增加值 (2001-2060, 2020RMB)'!AI14*$B$73</f>
        <v>2825.414753821859</v>
      </c>
      <c r="AJ14" s="105">
        <f>'增加值 (2001-2060, 2020RMB)'!AJ14*$B$73</f>
        <v>2810.5347557788564</v>
      </c>
      <c r="AK14" s="100">
        <f>'增加值 (2001-2060, 2020RMB)'!AK14*$B$73</f>
        <v>2793.0998910046405</v>
      </c>
      <c r="AL14" s="98">
        <f>'增加值 (2001-2060, 2020RMB)'!AL14*$B$73</f>
        <v>2773.573858964955</v>
      </c>
      <c r="AM14" s="98">
        <f>'增加值 (2001-2060, 2020RMB)'!AM14*$B$73</f>
        <v>2752.0038415913455</v>
      </c>
      <c r="AN14" s="98">
        <f>'增加值 (2001-2060, 2020RMB)'!AN14*$B$73</f>
        <v>2728.4414703594271</v>
      </c>
      <c r="AO14" s="99">
        <f>'增加值 (2001-2060, 2020RMB)'!AO14*$B$73</f>
        <v>2702.9426213518418</v>
      </c>
      <c r="AP14" s="98">
        <f>'增加值 (2001-2060, 2020RMB)'!AP14*$B$73</f>
        <v>2675.5671956158635</v>
      </c>
      <c r="AQ14" s="98">
        <f>'增加值 (2001-2060, 2020RMB)'!AQ14*$B$73</f>
        <v>2646.3788860174891</v>
      </c>
      <c r="AR14" s="98">
        <f>'增加值 (2001-2060, 2020RMB)'!AR14*$B$73</f>
        <v>2615.4449318542447</v>
      </c>
      <c r="AS14" s="98">
        <f>'增加值 (2001-2060, 2020RMB)'!AS14*$B$73</f>
        <v>2582.8358625411124</v>
      </c>
      <c r="AT14" s="98">
        <f>'增加值 (2001-2060, 2020RMB)'!AT14*$B$73</f>
        <v>2548.6252317266653</v>
      </c>
      <c r="AU14" s="100">
        <f>'增加值 (2001-2060, 2020RMB)'!AU14*$B$73</f>
        <v>2512.8893432302966</v>
      </c>
      <c r="AV14" s="98">
        <f>'增加值 (2001-2060, 2020RMB)'!AV14*$B$73</f>
        <v>2475.7069702159456</v>
      </c>
      <c r="AW14" s="98">
        <f>'增加值 (2001-2060, 2020RMB)'!AW14*$B$73</f>
        <v>2437.1590690329904</v>
      </c>
      <c r="AX14" s="98">
        <f>'增加值 (2001-2060, 2020RMB)'!AX14*$B$73</f>
        <v>2397.3284891606836</v>
      </c>
      <c r="AY14" s="99">
        <f>'增加值 (2001-2060, 2020RMB)'!AY14*$B$73</f>
        <v>2356.2996806896876</v>
      </c>
      <c r="AZ14" s="100">
        <f>'增加值 (2001-2060, 2020RMB)'!AZ14*$B$73</f>
        <v>2314.1584007617075</v>
      </c>
      <c r="BA14" s="98">
        <f>'增加值 (2001-2060, 2020RMB)'!BA14*$B$73</f>
        <v>2270.9914203678104</v>
      </c>
      <c r="BB14" s="98">
        <f>'增加值 (2001-2060, 2020RMB)'!BB14*$B$73</f>
        <v>2226.8862328765176</v>
      </c>
      <c r="BC14" s="98">
        <f>'增加值 (2001-2060, 2020RMB)'!BC14*$B$73</f>
        <v>2181.9307656257402</v>
      </c>
      <c r="BD14" s="99">
        <f>'增加值 (2001-2060, 2020RMB)'!BD14*$B$73</f>
        <v>2136.2130958677335</v>
      </c>
      <c r="BE14" s="98">
        <f>'增加值 (2001-2060, 2020RMB)'!BE14*$B$73</f>
        <v>2089.8211723044978</v>
      </c>
      <c r="BF14" s="98">
        <f>'增加值 (2001-2060, 2020RMB)'!BF14*$B$73</f>
        <v>2042.8425433925413</v>
      </c>
      <c r="BG14" s="98">
        <f>'增加值 (2001-2060, 2020RMB)'!BG14*$B$73</f>
        <v>1995.3640935315077</v>
      </c>
      <c r="BH14" s="98">
        <f>'增加值 (2001-2060, 2020RMB)'!BH14*$B$73</f>
        <v>1947.4717881813799</v>
      </c>
      <c r="BI14" s="108">
        <f>'增加值 (2001-2060, 2020RMB)'!BI14*$B$73</f>
        <v>1899.2504288782513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(2001-2060, 2020RMB)'!I15*$B$73</f>
        <v>1691.9642035906934</v>
      </c>
      <c r="J15" s="20">
        <f>'增加值 (2001-2060, 2020RMB)'!J15*$B$73</f>
        <v>1680.8699560030407</v>
      </c>
      <c r="K15" s="21">
        <f>'增加值 (2001-2060, 2020RMB)'!K15*$B$73</f>
        <v>1629.0528811988204</v>
      </c>
      <c r="L15" s="19">
        <f>'增加值 (2001-2060, 2020RMB)'!L15*$B$73</f>
        <v>1645.1568841099402</v>
      </c>
      <c r="M15" s="20">
        <f>'增加值 (2001-2060, 2020RMB)'!M15*$B$73</f>
        <v>1616.2967364381511</v>
      </c>
      <c r="N15" s="20">
        <f>'增加值 (2001-2060, 2020RMB)'!N15*$B$73</f>
        <v>1570.7335794601238</v>
      </c>
      <c r="O15" s="20">
        <f>'增加值 (2001-2060, 2020RMB)'!O15*$B$73</f>
        <v>1558.6134131412034</v>
      </c>
      <c r="P15" s="20">
        <f>'增加值 (2001-2060, 2020RMB)'!P15*$B$73</f>
        <v>1540.772253083157</v>
      </c>
      <c r="Q15" s="19">
        <f>'增加值 (2001-2060, 2020RMB)'!Q15*$B$73</f>
        <v>1502.1130367157548</v>
      </c>
      <c r="R15" s="20">
        <f>'增加值 (2001-2060, 2020RMB)'!R15*$B$73</f>
        <v>1479.4019047376719</v>
      </c>
      <c r="S15" s="20">
        <f>'增加值 (2001-2060, 2020RMB)'!S15*$B$73</f>
        <v>1502.499103959708</v>
      </c>
      <c r="T15" s="20">
        <f>'增加值 (2001-2060, 2020RMB)'!T15*$B$73</f>
        <v>1502.2602870929002</v>
      </c>
      <c r="U15" s="21">
        <f>'增加值 (2001-2060, 2020RMB)'!U15*$B$73</f>
        <v>1460.4994252894223</v>
      </c>
      <c r="V15" s="20">
        <f>'增加值 (2001-2060, 2020RMB)'!V15*$B$73</f>
        <v>1579.9619826365199</v>
      </c>
      <c r="W15" s="20">
        <f>'增加值 (2001-2060, 2020RMB)'!W15*$B$73</f>
        <v>1694.8545592328228</v>
      </c>
      <c r="X15" s="90">
        <f>'增加值 (2001-2060, 2020RMB)'!X15*$B$73</f>
        <v>1693.3899573458925</v>
      </c>
      <c r="Y15" s="90">
        <f>'增加值 (2001-2060, 2020RMB)'!Y15*$B$73</f>
        <v>1698.1736204462113</v>
      </c>
      <c r="Z15" s="90">
        <f>'增加值 (2001-2060, 2020RMB)'!Z15*$B$73</f>
        <v>1707.3416444376569</v>
      </c>
      <c r="AA15" s="89">
        <f>'增加值 (2001-2060, 2020RMB)'!AA15*$B$73</f>
        <v>1719.0348295720169</v>
      </c>
      <c r="AB15" s="90">
        <f>'增加值 (2001-2060, 2020RMB)'!AB15*$B$73</f>
        <v>1731.360417161497</v>
      </c>
      <c r="AC15" s="90">
        <f>'增加值 (2001-2060, 2020RMB)'!AC15*$B$73</f>
        <v>1742.3745731508952</v>
      </c>
      <c r="AD15" s="90">
        <f>'增加值 (2001-2060, 2020RMB)'!AD15*$B$73</f>
        <v>1750.0862939637225</v>
      </c>
      <c r="AE15" s="101">
        <f>'增加值 (2001-2060, 2020RMB)'!AE15*$B$73</f>
        <v>1752.4836197978882</v>
      </c>
      <c r="AF15" s="90">
        <f>'增加值 (2001-2060, 2020RMB)'!AF15*$B$73</f>
        <v>1748.1585476363737</v>
      </c>
      <c r="AG15" s="90">
        <f>'增加值 (2001-2060, 2020RMB)'!AG15*$B$73</f>
        <v>1738.0739868291798</v>
      </c>
      <c r="AH15" s="90">
        <f>'增加值 (2001-2060, 2020RMB)'!AH15*$B$73</f>
        <v>1723.8030786743541</v>
      </c>
      <c r="AI15" s="90">
        <f>'增加值 (2001-2060, 2020RMB)'!AI15*$B$73</f>
        <v>1706.9089466462915</v>
      </c>
      <c r="AJ15" s="106">
        <f>'增加值 (2001-2060, 2020RMB)'!AJ15*$B$73</f>
        <v>1688.9147457419122</v>
      </c>
      <c r="AK15" s="89">
        <f>'增加值 (2001-2060, 2020RMB)'!AK15*$B$73</f>
        <v>1671.0330361226261</v>
      </c>
      <c r="AL15" s="90">
        <f>'增加值 (2001-2060, 2020RMB)'!AL15*$B$73</f>
        <v>1653.4199342644986</v>
      </c>
      <c r="AM15" s="90">
        <f>'增加值 (2001-2060, 2020RMB)'!AM15*$B$73</f>
        <v>1635.9759802672422</v>
      </c>
      <c r="AN15" s="90">
        <f>'增加值 (2001-2060, 2020RMB)'!AN15*$B$73</f>
        <v>1618.6057992621409</v>
      </c>
      <c r="AO15" s="101">
        <f>'增加值 (2001-2060, 2020RMB)'!AO15*$B$73</f>
        <v>1601.2180307035371</v>
      </c>
      <c r="AP15" s="90">
        <f>'增加值 (2001-2060, 2020RMB)'!AP15*$B$73</f>
        <v>1583.7253109486107</v>
      </c>
      <c r="AQ15" s="90">
        <f>'增加值 (2001-2060, 2020RMB)'!AQ15*$B$73</f>
        <v>1566.044305090388</v>
      </c>
      <c r="AR15" s="90">
        <f>'增加值 (2001-2060, 2020RMB)'!AR15*$B$73</f>
        <v>1548.0957840013652</v>
      </c>
      <c r="AS15" s="90">
        <f>'增加值 (2001-2060, 2020RMB)'!AS15*$B$73</f>
        <v>1529.8047424659085</v>
      </c>
      <c r="AT15" s="90">
        <f>'增加值 (2001-2060, 2020RMB)'!AT15*$B$73</f>
        <v>1511.1005541386933</v>
      </c>
      <c r="AU15" s="89">
        <f>'增加值 (2001-2060, 2020RMB)'!AU15*$B$73</f>
        <v>1491.9171588736081</v>
      </c>
      <c r="AV15" s="90">
        <f>'增加值 (2001-2060, 2020RMB)'!AV15*$B$73</f>
        <v>1472.1932777324801</v>
      </c>
      <c r="AW15" s="90">
        <f>'增加值 (2001-2060, 2020RMB)'!AW15*$B$73</f>
        <v>1451.872650717105</v>
      </c>
      <c r="AX15" s="90">
        <f>'增加值 (2001-2060, 2020RMB)'!AX15*$B$73</f>
        <v>1430.9042919821209</v>
      </c>
      <c r="AY15" s="101">
        <f>'增加值 (2001-2060, 2020RMB)'!AY15*$B$73</f>
        <v>1409.242756992802</v>
      </c>
      <c r="AZ15" s="89">
        <f>'增加值 (2001-2060, 2020RMB)'!AZ15*$B$73</f>
        <v>1386.8484158031922</v>
      </c>
      <c r="BA15" s="90">
        <f>'增加值 (2001-2060, 2020RMB)'!BA15*$B$73</f>
        <v>1363.6877263596211</v>
      </c>
      <c r="BB15" s="90">
        <f>'增加值 (2001-2060, 2020RMB)'!BB15*$B$73</f>
        <v>1339.7335014960208</v>
      </c>
      <c r="BC15" s="90">
        <f>'增加值 (2001-2060, 2020RMB)'!BC15*$B$73</f>
        <v>1314.9651630945575</v>
      </c>
      <c r="BD15" s="101">
        <f>'增加值 (2001-2060, 2020RMB)'!BD15*$B$73</f>
        <v>1289.3689767518781</v>
      </c>
      <c r="BE15" s="90">
        <f>'增加值 (2001-2060, 2020RMB)'!BE15*$B$73</f>
        <v>1262.9382602311459</v>
      </c>
      <c r="BF15" s="90">
        <f>'增加值 (2001-2060, 2020RMB)'!BF15*$B$73</f>
        <v>1235.6735590063467</v>
      </c>
      <c r="BG15" s="90">
        <f>'增加值 (2001-2060, 2020RMB)'!BG15*$B$73</f>
        <v>1207.5827823297598</v>
      </c>
      <c r="BH15" s="90">
        <f>'增加值 (2001-2060, 2020RMB)'!BH15*$B$73</f>
        <v>1178.6812934870957</v>
      </c>
      <c r="BI15" s="109">
        <f>'增加值 (2001-2060, 2020RMB)'!BI15*$B$73</f>
        <v>1148.9919482560936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(2001-2060, 2020RMB)'!I16*$B$73</f>
        <v>281.41760114748359</v>
      </c>
      <c r="J16" s="20">
        <f>'增加值 (2001-2060, 2020RMB)'!J16*$B$73</f>
        <v>334.25967698073606</v>
      </c>
      <c r="K16" s="21">
        <f>'增加值 (2001-2060, 2020RMB)'!K16*$B$73</f>
        <v>391.47300839708839</v>
      </c>
      <c r="L16" s="19">
        <f>'增加值 (2001-2060, 2020RMB)'!L16*$B$73</f>
        <v>451.39057847242503</v>
      </c>
      <c r="M16" s="20">
        <f>'增加值 (2001-2060, 2020RMB)'!M16*$B$73</f>
        <v>518.24351654025588</v>
      </c>
      <c r="N16" s="20">
        <f>'增加值 (2001-2060, 2020RMB)'!N16*$B$73</f>
        <v>566.15782799022406</v>
      </c>
      <c r="O16" s="20">
        <f>'增加值 (2001-2060, 2020RMB)'!O16*$B$73</f>
        <v>600.32741241287295</v>
      </c>
      <c r="P16" s="20">
        <f>'增加值 (2001-2060, 2020RMB)'!P16*$B$73</f>
        <v>583.77347861042574</v>
      </c>
      <c r="Q16" s="19">
        <f>'增加值 (2001-2060, 2020RMB)'!Q16*$B$73</f>
        <v>554.88373631663364</v>
      </c>
      <c r="R16" s="20">
        <f>'增加值 (2001-2060, 2020RMB)'!R16*$B$73</f>
        <v>545.93253708691338</v>
      </c>
      <c r="S16" s="20">
        <f>'增加值 (2001-2060, 2020RMB)'!S16*$B$73</f>
        <v>518.03577854326159</v>
      </c>
      <c r="T16" s="20">
        <f>'增加值 (2001-2060, 2020RMB)'!T16*$B$73</f>
        <v>534.93551856059025</v>
      </c>
      <c r="U16" s="21">
        <f>'增加值 (2001-2060, 2020RMB)'!U16*$B$73</f>
        <v>509.19798397796114</v>
      </c>
      <c r="V16" s="103">
        <f>'增加值 (2001-2060, 2020RMB)'!V16*$B$73</f>
        <v>548.19732663518835</v>
      </c>
      <c r="W16" s="103">
        <f>'增加值 (2001-2060, 2020RMB)'!W16*$B$73</f>
        <v>629.2703042869897</v>
      </c>
      <c r="X16" s="90">
        <f>'增加值 (2001-2060, 2020RMB)'!X16*$B$73</f>
        <v>627.55499308846561</v>
      </c>
      <c r="Y16" s="90">
        <f>'增加值 (2001-2060, 2020RMB)'!Y16*$B$73</f>
        <v>627.15599138431924</v>
      </c>
      <c r="Z16" s="90">
        <f>'增加值 (2001-2060, 2020RMB)'!Z16*$B$73</f>
        <v>627.61454877053109</v>
      </c>
      <c r="AA16" s="89">
        <f>'增加值 (2001-2060, 2020RMB)'!AA16*$B$73</f>
        <v>628.47567962082269</v>
      </c>
      <c r="AB16" s="90">
        <f>'增加值 (2001-2060, 2020RMB)'!AB16*$B$73</f>
        <v>629.28358516359754</v>
      </c>
      <c r="AC16" s="90">
        <f>'增加值 (2001-2060, 2020RMB)'!AC16*$B$73</f>
        <v>629.58038656296151</v>
      </c>
      <c r="AD16" s="90">
        <f>'增加值 (2001-2060, 2020RMB)'!AD16*$B$73</f>
        <v>628.90817818159769</v>
      </c>
      <c r="AE16" s="101">
        <f>'增加值 (2001-2060, 2020RMB)'!AE16*$B$73</f>
        <v>626.81440218195485</v>
      </c>
      <c r="AF16" s="90">
        <f>'增加值 (2001-2060, 2020RMB)'!AF16*$B$73</f>
        <v>622.99009849498566</v>
      </c>
      <c r="AG16" s="90">
        <f>'增加值 (2001-2060, 2020RMB)'!AG16*$B$73</f>
        <v>617.66082366759576</v>
      </c>
      <c r="AH16" s="90">
        <f>'增加值 (2001-2060, 2020RMB)'!AH16*$B$73</f>
        <v>611.18453785203053</v>
      </c>
      <c r="AI16" s="90">
        <f>'增加值 (2001-2060, 2020RMB)'!AI16*$B$73</f>
        <v>603.91345752843392</v>
      </c>
      <c r="AJ16" s="106">
        <f>'增加值 (2001-2060, 2020RMB)'!AJ16*$B$73</f>
        <v>596.18872543433929</v>
      </c>
      <c r="AK16" s="89">
        <f>'增加值 (2001-2060, 2020RMB)'!AK16*$B$73</f>
        <v>588.28367013089826</v>
      </c>
      <c r="AL16" s="90">
        <f>'增加值 (2001-2060, 2020RMB)'!AL16*$B$73</f>
        <v>580.24791607281884</v>
      </c>
      <c r="AM16" s="90">
        <f>'增加值 (2001-2060, 2020RMB)'!AM16*$B$73</f>
        <v>572.07708308680549</v>
      </c>
      <c r="AN16" s="90">
        <f>'增加值 (2001-2060, 2020RMB)'!AN16*$B$73</f>
        <v>563.76755732567267</v>
      </c>
      <c r="AO16" s="101">
        <f>'增加值 (2001-2060, 2020RMB)'!AO16*$B$73</f>
        <v>555.31650476181312</v>
      </c>
      <c r="AP16" s="90">
        <f>'增加值 (2001-2060, 2020RMB)'!AP16*$B$73</f>
        <v>546.72188345237555</v>
      </c>
      <c r="AQ16" s="90">
        <f>'增加值 (2001-2060, 2020RMB)'!AQ16*$B$73</f>
        <v>537.98245430193344</v>
      </c>
      <c r="AR16" s="90">
        <f>'增加值 (2001-2060, 2020RMB)'!AR16*$B$73</f>
        <v>529.09779005216183</v>
      </c>
      <c r="AS16" s="90">
        <f>'增加值 (2001-2060, 2020RMB)'!AS16*$B$73</f>
        <v>520.06828223366711</v>
      </c>
      <c r="AT16" s="90">
        <f>'增加值 (2001-2060, 2020RMB)'!AT16*$B$73</f>
        <v>510.895145823007</v>
      </c>
      <c r="AU16" s="89">
        <f>'增加值 (2001-2060, 2020RMB)'!AU16*$B$73</f>
        <v>501.58042135800451</v>
      </c>
      <c r="AV16" s="90">
        <f>'增加值 (2001-2060, 2020RMB)'!AV16*$B$73</f>
        <v>492.12697427696179</v>
      </c>
      <c r="AW16" s="90">
        <f>'增加值 (2001-2060, 2020RMB)'!AW16*$B$73</f>
        <v>482.53849126236565</v>
      </c>
      <c r="AX16" s="90">
        <f>'增加值 (2001-2060, 2020RMB)'!AX16*$B$73</f>
        <v>472.81947338715787</v>
      </c>
      <c r="AY16" s="101">
        <f>'增加值 (2001-2060, 2020RMB)'!AY16*$B$73</f>
        <v>462.97522588175735</v>
      </c>
      <c r="AZ16" s="89">
        <f>'增加值 (2001-2060, 2020RMB)'!AZ16*$B$73</f>
        <v>453.01184436256608</v>
      </c>
      <c r="BA16" s="90">
        <f>'增加值 (2001-2060, 2020RMB)'!BA16*$B$73</f>
        <v>442.93619738789192</v>
      </c>
      <c r="BB16" s="90">
        <f>'增加值 (2001-2060, 2020RMB)'!BB16*$B$73</f>
        <v>432.75590523470254</v>
      </c>
      <c r="BC16" s="90">
        <f>'增加值 (2001-2060, 2020RMB)'!BC16*$B$73</f>
        <v>422.4793148195065</v>
      </c>
      <c r="BD16" s="101">
        <f>'增加值 (2001-2060, 2020RMB)'!BD16*$B$73</f>
        <v>412.11547071859366</v>
      </c>
      <c r="BE16" s="90">
        <f>'增加值 (2001-2060, 2020RMB)'!BE16*$B$73</f>
        <v>401.67408227678004</v>
      </c>
      <c r="BF16" s="90">
        <f>'增加值 (2001-2060, 2020RMB)'!BF16*$B$73</f>
        <v>391.16548682933183</v>
      </c>
      <c r="BG16" s="90">
        <f>'增加值 (2001-2060, 2020RMB)'!BG16*$B$73</f>
        <v>380.60060909870504</v>
      </c>
      <c r="BH16" s="90">
        <f>'增加值 (2001-2060, 2020RMB)'!BH16*$B$73</f>
        <v>369.99091686569687</v>
      </c>
      <c r="BI16" s="109">
        <f>'增加值 (2001-2060, 2020RMB)'!BI16*$B$73</f>
        <v>359.34837305327153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(2001-2060, 2020RMB)'!I17*$B$73</f>
        <v>180.55744315966231</v>
      </c>
      <c r="J17" s="20">
        <f>'增加值 (2001-2060, 2020RMB)'!J17*$B$73</f>
        <v>205.04721531755015</v>
      </c>
      <c r="K17" s="21">
        <f>'增加值 (2001-2060, 2020RMB)'!K17*$B$73</f>
        <v>221.42629294097941</v>
      </c>
      <c r="L17" s="19">
        <f>'增加值 (2001-2060, 2020RMB)'!L17*$B$73</f>
        <v>245.74268226384467</v>
      </c>
      <c r="M17" s="20">
        <f>'增加值 (2001-2060, 2020RMB)'!M17*$B$73</f>
        <v>269.73914786371449</v>
      </c>
      <c r="N17" s="20">
        <f>'增加值 (2001-2060, 2020RMB)'!N17*$B$73</f>
        <v>280.58464392128678</v>
      </c>
      <c r="O17" s="20">
        <f>'增加值 (2001-2060, 2020RMB)'!O17*$B$73</f>
        <v>288.91075657785944</v>
      </c>
      <c r="P17" s="20">
        <f>'增加值 (2001-2060, 2020RMB)'!P17*$B$73</f>
        <v>285.87774026638181</v>
      </c>
      <c r="Q17" s="19">
        <f>'增加值 (2001-2060, 2020RMB)'!Q17*$B$73</f>
        <v>285.95841694819694</v>
      </c>
      <c r="R17" s="20">
        <f>'增加值 (2001-2060, 2020RMB)'!R17*$B$73</f>
        <v>279.02983095396297</v>
      </c>
      <c r="S17" s="20">
        <f>'增加值 (2001-2060, 2020RMB)'!S17*$B$73</f>
        <v>281.99704316943155</v>
      </c>
      <c r="T17" s="20">
        <f>'增加值 (2001-2060, 2020RMB)'!T17*$B$73</f>
        <v>280.04897528340433</v>
      </c>
      <c r="U17" s="21">
        <f>'增加值 (2001-2060, 2020RMB)'!U17*$B$73</f>
        <v>270.36761575125257</v>
      </c>
      <c r="V17" s="103">
        <f>'增加值 (2001-2060, 2020RMB)'!V17*$B$73</f>
        <v>276.71830453233645</v>
      </c>
      <c r="W17" s="103">
        <f>'增加值 (2001-2060, 2020RMB)'!W17*$B$73</f>
        <v>295.71646681740617</v>
      </c>
      <c r="X17" s="90">
        <f>'增加值 (2001-2060, 2020RMB)'!X17*$B$73</f>
        <v>292.27096508846336</v>
      </c>
      <c r="Y17" s="90">
        <f>'增加值 (2001-2060, 2020RMB)'!Y17*$B$73</f>
        <v>289.45973979555174</v>
      </c>
      <c r="Z17" s="90">
        <f>'增加值 (2001-2060, 2020RMB)'!Z17*$B$73</f>
        <v>287.08803366316289</v>
      </c>
      <c r="AA17" s="89">
        <f>'增加值 (2001-2060, 2020RMB)'!AA17*$B$73</f>
        <v>284.96960765839225</v>
      </c>
      <c r="AB17" s="90">
        <f>'增加值 (2001-2060, 2020RMB)'!AB17*$B$73</f>
        <v>282.92454716074337</v>
      </c>
      <c r="AC17" s="90">
        <f>'增加值 (2001-2060, 2020RMB)'!AC17*$B$73</f>
        <v>280.77823937924853</v>
      </c>
      <c r="AD17" s="90">
        <f>'增加值 (2001-2060, 2020RMB)'!AD17*$B$73</f>
        <v>278.36145400602294</v>
      </c>
      <c r="AE17" s="101">
        <f>'增加值 (2001-2060, 2020RMB)'!AE17*$B$73</f>
        <v>275.51146741723437</v>
      </c>
      <c r="AF17" s="90">
        <f>'增加值 (2001-2060, 2020RMB)'!AF17*$B$73</f>
        <v>272.12007627644601</v>
      </c>
      <c r="AG17" s="90">
        <f>'增加值 (2001-2060, 2020RMB)'!AG17*$B$73</f>
        <v>268.26890710620444</v>
      </c>
      <c r="AH17" s="90">
        <f>'增加值 (2001-2060, 2020RMB)'!AH17*$B$73</f>
        <v>264.08319472756187</v>
      </c>
      <c r="AI17" s="90">
        <f>'增加值 (2001-2060, 2020RMB)'!AI17*$B$73</f>
        <v>259.68309403040683</v>
      </c>
      <c r="AJ17" s="106">
        <f>'增加值 (2001-2060, 2020RMB)'!AJ17*$B$73</f>
        <v>255.18250283762939</v>
      </c>
      <c r="AK17" s="89">
        <f>'增加值 (2001-2060, 2020RMB)'!AK17*$B$73</f>
        <v>250.67103451820384</v>
      </c>
      <c r="AL17" s="90">
        <f>'增加值 (2001-2060, 2020RMB)'!AL17*$B$73</f>
        <v>246.16420081661659</v>
      </c>
      <c r="AM17" s="90">
        <f>'增加值 (2001-2060, 2020RMB)'!AM17*$B$73</f>
        <v>241.65983554253296</v>
      </c>
      <c r="AN17" s="90">
        <f>'增加值 (2001-2060, 2020RMB)'!AN17*$B$73</f>
        <v>237.15607588330016</v>
      </c>
      <c r="AO17" s="101">
        <f>'增加值 (2001-2060, 2020RMB)'!AO17*$B$73</f>
        <v>232.65135913370526</v>
      </c>
      <c r="AP17" s="90">
        <f>'增加值 (2001-2060, 2020RMB)'!AP17*$B$73</f>
        <v>228.14441931103229</v>
      </c>
      <c r="AQ17" s="90">
        <f>'增加值 (2001-2060, 2020RMB)'!AQ17*$B$73</f>
        <v>223.6342835765148</v>
      </c>
      <c r="AR17" s="90">
        <f>'增加值 (2001-2060, 2020RMB)'!AR17*$B$73</f>
        <v>219.12026838770549</v>
      </c>
      <c r="AS17" s="90">
        <f>'增加值 (2001-2060, 2020RMB)'!AS17*$B$73</f>
        <v>214.60197530997982</v>
      </c>
      <c r="AT17" s="90">
        <f>'增加值 (2001-2060, 2020RMB)'!AT17*$B$73</f>
        <v>210.07928641943343</v>
      </c>
      <c r="AU17" s="89">
        <f>'增加值 (2001-2060, 2020RMB)'!AU17*$B$73</f>
        <v>205.5523592338011</v>
      </c>
      <c r="AV17" s="90">
        <f>'增加值 (2001-2060, 2020RMB)'!AV17*$B$73</f>
        <v>201.02162111277477</v>
      </c>
      <c r="AW17" s="90">
        <f>'增加值 (2001-2060, 2020RMB)'!AW17*$B$73</f>
        <v>196.48776307424114</v>
      </c>
      <c r="AX17" s="90">
        <f>'增加值 (2001-2060, 2020RMB)'!AX17*$B$73</f>
        <v>191.951732978488</v>
      </c>
      <c r="AY17" s="101">
        <f>'增加值 (2001-2060, 2020RMB)'!AY17*$B$73</f>
        <v>187.41472803836936</v>
      </c>
      <c r="AZ17" s="89">
        <f>'增加值 (2001-2060, 2020RMB)'!AZ17*$B$73</f>
        <v>182.87818661976416</v>
      </c>
      <c r="BA17" s="90">
        <f>'增加值 (2001-2060, 2020RMB)'!BA17*$B$73</f>
        <v>178.34377930337163</v>
      </c>
      <c r="BB17" s="90">
        <f>'增加值 (2001-2060, 2020RMB)'!BB17*$B$73</f>
        <v>173.81339918599875</v>
      </c>
      <c r="BC17" s="90">
        <f>'增加值 (2001-2060, 2020RMB)'!BC17*$B$73</f>
        <v>169.2891514069178</v>
      </c>
      <c r="BD17" s="101">
        <f>'增加值 (2001-2060, 2020RMB)'!BD17*$B$73</f>
        <v>164.77334189262655</v>
      </c>
      <c r="BE17" s="90">
        <f>'增加值 (2001-2060, 2020RMB)'!BE17*$B$73</f>
        <v>160.26846532135193</v>
      </c>
      <c r="BF17" s="90">
        <f>'增加值 (2001-2060, 2020RMB)'!BF17*$B$73</f>
        <v>155.77719231686632</v>
      </c>
      <c r="BG17" s="90">
        <f>'增加值 (2001-2060, 2020RMB)'!BG17*$B$73</f>
        <v>151.30235588958911</v>
      </c>
      <c r="BH17" s="90">
        <f>'增加值 (2001-2060, 2020RMB)'!BH17*$B$73</f>
        <v>146.84693715142095</v>
      </c>
      <c r="BI17" s="109">
        <f>'增加值 (2001-2060, 2020RMB)'!BI17*$B$73</f>
        <v>142.41405033928595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(2001-2060, 2020RMB)'!I18*$B$73</f>
        <v>102.03795037952338</v>
      </c>
      <c r="J18" s="20">
        <f>'增加值 (2001-2060, 2020RMB)'!J18*$B$73</f>
        <v>116.26469469947607</v>
      </c>
      <c r="K18" s="21">
        <f>'增加值 (2001-2060, 2020RMB)'!K18*$B$73</f>
        <v>140.90712934413563</v>
      </c>
      <c r="L18" s="19">
        <f>'增加值 (2001-2060, 2020RMB)'!L18*$B$73</f>
        <v>167.34812806775255</v>
      </c>
      <c r="M18" s="20">
        <f>'增加值 (2001-2060, 2020RMB)'!M18*$B$73</f>
        <v>175.564430846253</v>
      </c>
      <c r="N18" s="20">
        <f>'增加值 (2001-2060, 2020RMB)'!N18*$B$73</f>
        <v>186.79289546330421</v>
      </c>
      <c r="O18" s="20">
        <f>'增加值 (2001-2060, 2020RMB)'!O18*$B$73</f>
        <v>193.05215160489129</v>
      </c>
      <c r="P18" s="20">
        <f>'增加值 (2001-2060, 2020RMB)'!P18*$B$73</f>
        <v>195.23791970177572</v>
      </c>
      <c r="Q18" s="19">
        <f>'增加值 (2001-2060, 2020RMB)'!Q18*$B$73</f>
        <v>198.72255310909739</v>
      </c>
      <c r="R18" s="20">
        <f>'增加值 (2001-2060, 2020RMB)'!R18*$B$73</f>
        <v>200.34440319082623</v>
      </c>
      <c r="S18" s="20">
        <f>'增加值 (2001-2060, 2020RMB)'!S18*$B$73</f>
        <v>202.27538939889473</v>
      </c>
      <c r="T18" s="20">
        <f>'增加值 (2001-2060, 2020RMB)'!T18*$B$73</f>
        <v>195.41728536645851</v>
      </c>
      <c r="U18" s="21">
        <f>'增加值 (2001-2060, 2020RMB)'!U18*$B$73</f>
        <v>187.90550446643661</v>
      </c>
      <c r="V18" s="20">
        <f>'增加值 (2001-2060, 2020RMB)'!V18*$B$73</f>
        <v>210.31859201206336</v>
      </c>
      <c r="W18" s="20">
        <f>'增加值 (2001-2060, 2020RMB)'!W18*$B$73</f>
        <v>211.08457143053002</v>
      </c>
      <c r="X18" s="90">
        <f>'增加值 (2001-2060, 2020RMB)'!X18*$B$73</f>
        <v>209.0300501807165</v>
      </c>
      <c r="Y18" s="90">
        <f>'增加值 (2001-2060, 2020RMB)'!Y18*$B$73</f>
        <v>207.46987342450163</v>
      </c>
      <c r="Z18" s="90">
        <f>'增加值 (2001-2060, 2020RMB)'!Z18*$B$73</f>
        <v>206.25007301549255</v>
      </c>
      <c r="AA18" s="89">
        <f>'增加值 (2001-2060, 2020RMB)'!AA18*$B$73</f>
        <v>205.22232342194863</v>
      </c>
      <c r="AB18" s="90">
        <f>'增加值 (2001-2060, 2020RMB)'!AB18*$B$73</f>
        <v>204.24205803314379</v>
      </c>
      <c r="AC18" s="90">
        <f>'增加值 (2001-2060, 2020RMB)'!AC18*$B$73</f>
        <v>203.16762919907686</v>
      </c>
      <c r="AD18" s="90">
        <f>'增加值 (2001-2060, 2020RMB)'!AD18*$B$73</f>
        <v>201.86046668360086</v>
      </c>
      <c r="AE18" s="101">
        <f>'增加值 (2001-2060, 2020RMB)'!AE18*$B$73</f>
        <v>200.18619596289793</v>
      </c>
      <c r="AF18" s="90">
        <f>'增加值 (2001-2060, 2020RMB)'!AF18*$B$73</f>
        <v>198.05453444815754</v>
      </c>
      <c r="AG18" s="90">
        <f>'增加值 (2001-2060, 2020RMB)'!AG18*$B$73</f>
        <v>195.53169482360877</v>
      </c>
      <c r="AH18" s="90">
        <f>'增加值 (2001-2060, 2020RMB)'!AH18*$B$73</f>
        <v>192.7206271836863</v>
      </c>
      <c r="AI18" s="90">
        <f>'增加值 (2001-2060, 2020RMB)'!AI18*$B$73</f>
        <v>189.72075597450041</v>
      </c>
      <c r="AJ18" s="106">
        <f>'增加值 (2001-2060, 2020RMB)'!AJ18*$B$73</f>
        <v>186.62681850442974</v>
      </c>
      <c r="AK18" s="89">
        <f>'增加值 (2001-2060, 2020RMB)'!AK18*$B$73</f>
        <v>183.51365653607795</v>
      </c>
      <c r="AL18" s="90">
        <f>'增加值 (2001-2060, 2020RMB)'!AL18*$B$73</f>
        <v>180.39434045557783</v>
      </c>
      <c r="AM18" s="90">
        <f>'增加值 (2001-2060, 2020RMB)'!AM18*$B$73</f>
        <v>177.26715931812993</v>
      </c>
      <c r="AN18" s="90">
        <f>'增加值 (2001-2060, 2020RMB)'!AN18*$B$73</f>
        <v>174.13063904564243</v>
      </c>
      <c r="AO18" s="101">
        <f>'增加值 (2001-2060, 2020RMB)'!AO18*$B$73</f>
        <v>170.98354148016909</v>
      </c>
      <c r="AP18" s="90">
        <f>'增加值 (2001-2060, 2020RMB)'!AP18*$B$73</f>
        <v>167.82486331592406</v>
      </c>
      <c r="AQ18" s="90">
        <f>'增加值 (2001-2060, 2020RMB)'!AQ18*$B$73</f>
        <v>164.65383483930404</v>
      </c>
      <c r="AR18" s="90">
        <f>'增加值 (2001-2060, 2020RMB)'!AR18*$B$73</f>
        <v>161.46991840865087</v>
      </c>
      <c r="AS18" s="90">
        <f>'增加值 (2001-2060, 2020RMB)'!AS18*$B$73</f>
        <v>158.27280660809623</v>
      </c>
      <c r="AT18" s="90">
        <f>'增加值 (2001-2060, 2020RMB)'!AT18*$B$73</f>
        <v>155.06242001279261</v>
      </c>
      <c r="AU18" s="89">
        <f>'增加值 (2001-2060, 2020RMB)'!AU18*$B$73</f>
        <v>151.83890450615257</v>
      </c>
      <c r="AV18" s="90">
        <f>'增加值 (2001-2060, 2020RMB)'!AV18*$B$73</f>
        <v>148.60262809346031</v>
      </c>
      <c r="AW18" s="90">
        <f>'增加值 (2001-2060, 2020RMB)'!AW18*$B$73</f>
        <v>145.35417716036372</v>
      </c>
      <c r="AX18" s="90">
        <f>'增加值 (2001-2060, 2020RMB)'!AX18*$B$73</f>
        <v>142.09435212934648</v>
      </c>
      <c r="AY18" s="101">
        <f>'增加值 (2001-2060, 2020RMB)'!AY18*$B$73</f>
        <v>138.82416247231188</v>
      </c>
      <c r="AZ18" s="89">
        <f>'增加值 (2001-2060, 2020RMB)'!AZ18*$B$73</f>
        <v>135.54482104287817</v>
      </c>
      <c r="BA18" s="90">
        <f>'增加值 (2001-2060, 2020RMB)'!BA18*$B$73</f>
        <v>132.25773769790777</v>
      </c>
      <c r="BB18" s="90">
        <f>'增加值 (2001-2060, 2020RMB)'!BB18*$B$73</f>
        <v>128.96451218411352</v>
      </c>
      <c r="BC18" s="90">
        <f>'增加值 (2001-2060, 2020RMB)'!BC18*$B$73</f>
        <v>125.66692627232872</v>
      </c>
      <c r="BD18" s="101">
        <f>'增加值 (2001-2060, 2020RMB)'!BD18*$B$73</f>
        <v>122.36693512912254</v>
      </c>
      <c r="BE18" s="90">
        <f>'增加值 (2001-2060, 2020RMB)'!BE18*$B$73</f>
        <v>119.06665792287552</v>
      </c>
      <c r="BF18" s="90">
        <f>'增加值 (2001-2060, 2020RMB)'!BF18*$B$73</f>
        <v>115.76836766914779</v>
      </c>
      <c r="BG18" s="90">
        <f>'增加值 (2001-2060, 2020RMB)'!BG18*$B$73</f>
        <v>112.4744803281052</v>
      </c>
      <c r="BH18" s="90">
        <f>'增加值 (2001-2060, 2020RMB)'!BH18*$B$73</f>
        <v>109.18754317488666</v>
      </c>
      <c r="BI18" s="109">
        <f>'增加值 (2001-2060, 2020RMB)'!BI18*$B$73</f>
        <v>105.91022247198781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(2001-2060, 2020RMB)'!I19*$B$73</f>
        <v>85.717112951651657</v>
      </c>
      <c r="J19" s="20">
        <f>'增加值 (2001-2060, 2020RMB)'!J19*$B$73</f>
        <v>97.654765552391325</v>
      </c>
      <c r="K19" s="21">
        <f>'增加值 (2001-2060, 2020RMB)'!K19*$B$73</f>
        <v>109.73871815817594</v>
      </c>
      <c r="L19" s="19">
        <f>'增加值 (2001-2060, 2020RMB)'!L19*$B$73</f>
        <v>123.65277982158658</v>
      </c>
      <c r="M19" s="20">
        <f>'增加值 (2001-2060, 2020RMB)'!M19*$B$73</f>
        <v>134.43243577545192</v>
      </c>
      <c r="N19" s="20">
        <f>'增加值 (2001-2060, 2020RMB)'!N19*$B$73</f>
        <v>134.21856221675833</v>
      </c>
      <c r="O19" s="20">
        <f>'增加值 (2001-2060, 2020RMB)'!O19*$B$73</f>
        <v>124.43271801437129</v>
      </c>
      <c r="P19" s="20">
        <f>'增加值 (2001-2060, 2020RMB)'!P19*$B$73</f>
        <v>104.00226953853614</v>
      </c>
      <c r="Q19" s="19">
        <f>'增加值 (2001-2060, 2020RMB)'!Q19*$B$73</f>
        <v>86.777594969769794</v>
      </c>
      <c r="R19" s="20">
        <f>'增加值 (2001-2060, 2020RMB)'!R19*$B$73</f>
        <v>105.31676501870939</v>
      </c>
      <c r="S19" s="20">
        <f>'增加值 (2001-2060, 2020RMB)'!S19*$B$73</f>
        <v>129.92618703400919</v>
      </c>
      <c r="T19" s="20">
        <f>'增加值 (2001-2060, 2020RMB)'!T19*$B$73</f>
        <v>152.45423045719491</v>
      </c>
      <c r="U19" s="21">
        <f>'增加值 (2001-2060, 2020RMB)'!U19*$B$73</f>
        <v>128.89647919768316</v>
      </c>
      <c r="V19" s="20">
        <f>'增加值 (2001-2060, 2020RMB)'!V19*$B$73</f>
        <v>141.72115138199769</v>
      </c>
      <c r="W19" s="20">
        <f>'增加值 (2001-2060, 2020RMB)'!W19*$B$73</f>
        <v>157.64154113199345</v>
      </c>
      <c r="X19" s="90">
        <f>'增加值 (2001-2060, 2020RMB)'!X19*$B$73</f>
        <v>168.1433576929945</v>
      </c>
      <c r="Y19" s="90">
        <f>'增加值 (2001-2060, 2020RMB)'!Y19*$B$73</f>
        <v>178.46500601743995</v>
      </c>
      <c r="Z19" s="90">
        <f>'增加值 (2001-2060, 2020RMB)'!Z19*$B$73</f>
        <v>188.5262760142264</v>
      </c>
      <c r="AA19" s="89">
        <f>'增加值 (2001-2060, 2020RMB)'!AA19*$B$73</f>
        <v>198.25188292485223</v>
      </c>
      <c r="AB19" s="90">
        <f>'增加值 (2001-2060, 2020RMB)'!AB19*$B$73</f>
        <v>207.57283537542284</v>
      </c>
      <c r="AC19" s="90">
        <f>'增加值 (2001-2060, 2020RMB)'!AC19*$B$73</f>
        <v>216.42759366768249</v>
      </c>
      <c r="AD19" s="90">
        <f>'增加值 (2001-2060, 2020RMB)'!AD19*$B$73</f>
        <v>224.76299542762092</v>
      </c>
      <c r="AE19" s="101">
        <f>'增加值 (2001-2060, 2020RMB)'!AE19*$B$73</f>
        <v>232.53493598837301</v>
      </c>
      <c r="AF19" s="90">
        <f>'增加值 (2001-2060, 2020RMB)'!AF19*$B$73</f>
        <v>239.7196679398738</v>
      </c>
      <c r="AG19" s="90">
        <f>'增加值 (2001-2060, 2020RMB)'!AG19*$B$73</f>
        <v>246.34898343242489</v>
      </c>
      <c r="AH19" s="90">
        <f>'增加值 (2001-2060, 2020RMB)'!AH19*$B$73</f>
        <v>252.48106405887989</v>
      </c>
      <c r="AI19" s="90">
        <f>'增加值 (2001-2060, 2020RMB)'!AI19*$B$73</f>
        <v>258.18859829806865</v>
      </c>
      <c r="AJ19" s="106">
        <f>'增加值 (2001-2060, 2020RMB)'!AJ19*$B$73</f>
        <v>263.5571475219063</v>
      </c>
      <c r="AK19" s="89">
        <f>'增加值 (2001-2060, 2020RMB)'!AK19*$B$73</f>
        <v>268.66301746881561</v>
      </c>
      <c r="AL19" s="90">
        <f>'增加值 (2001-2060, 2020RMB)'!AL19*$B$73</f>
        <v>273.5070388942982</v>
      </c>
      <c r="AM19" s="90">
        <f>'增加值 (2001-2060, 2020RMB)'!AM19*$B$73</f>
        <v>278.07081882551665</v>
      </c>
      <c r="AN19" s="90">
        <f>'增加值 (2001-2060, 2020RMB)'!AN19*$B$73</f>
        <v>282.33672388483586</v>
      </c>
      <c r="AO19" s="101">
        <f>'增加值 (2001-2060, 2020RMB)'!AO19*$B$73</f>
        <v>286.28799190670941</v>
      </c>
      <c r="AP19" s="90">
        <f>'增加值 (2001-2060, 2020RMB)'!AP19*$B$73</f>
        <v>289.90884002916653</v>
      </c>
      <c r="AQ19" s="90">
        <f>'增加值 (2001-2060, 2020RMB)'!AQ19*$B$73</f>
        <v>293.18456830113053</v>
      </c>
      <c r="AR19" s="90">
        <f>'增加值 (2001-2060, 2020RMB)'!AR19*$B$73</f>
        <v>296.10165786826167</v>
      </c>
      <c r="AS19" s="90">
        <f>'增加值 (2001-2060, 2020RMB)'!AS19*$B$73</f>
        <v>298.64786283216171</v>
      </c>
      <c r="AT19" s="90">
        <f>'增加值 (2001-2060, 2020RMB)'!AT19*$B$73</f>
        <v>300.8122949205067</v>
      </c>
      <c r="AU19" s="89">
        <f>'增加值 (2001-2060, 2020RMB)'!AU19*$B$73</f>
        <v>302.58550015864887</v>
      </c>
      <c r="AV19" s="90">
        <f>'增加值 (2001-2060, 2020RMB)'!AV19*$B$73</f>
        <v>303.95952679603067</v>
      </c>
      <c r="AW19" s="90">
        <f>'增加值 (2001-2060, 2020RMB)'!AW19*$B$73</f>
        <v>304.92798381277402</v>
      </c>
      <c r="AX19" s="90">
        <f>'增加值 (2001-2060, 2020RMB)'!AX19*$B$73</f>
        <v>305.48608941234949</v>
      </c>
      <c r="AY19" s="101">
        <f>'增加值 (2001-2060, 2020RMB)'!AY19*$B$73</f>
        <v>305.63070899441192</v>
      </c>
      <c r="AZ19" s="89">
        <f>'增加值 (2001-2060, 2020RMB)'!AZ19*$B$73</f>
        <v>305.3603821967576</v>
      </c>
      <c r="BA19" s="90">
        <f>'增加值 (2001-2060, 2020RMB)'!BA19*$B$73</f>
        <v>304.67533869581399</v>
      </c>
      <c r="BB19" s="90">
        <f>'增加值 (2001-2060, 2020RMB)'!BB19*$B$73</f>
        <v>303.57750255997763</v>
      </c>
      <c r="BC19" s="90">
        <f>'增加值 (2001-2060, 2020RMB)'!BC19*$B$73</f>
        <v>302.07048505817954</v>
      </c>
      <c r="BD19" s="101">
        <f>'增加值 (2001-2060, 2020RMB)'!BD19*$B$73</f>
        <v>300.15956593602294</v>
      </c>
      <c r="BE19" s="90">
        <f>'增加值 (2001-2060, 2020RMB)'!BE19*$B$73</f>
        <v>297.85166328232361</v>
      </c>
      <c r="BF19" s="90">
        <f>'增加值 (2001-2060, 2020RMB)'!BF19*$B$73</f>
        <v>295.15529221855758</v>
      </c>
      <c r="BG19" s="90">
        <f>'增加值 (2001-2060, 2020RMB)'!BG19*$B$73</f>
        <v>292.08051275122091</v>
      </c>
      <c r="BH19" s="90">
        <f>'增加值 (2001-2060, 2020RMB)'!BH19*$B$73</f>
        <v>288.6388672310606</v>
      </c>
      <c r="BI19" s="109">
        <f>'增加值 (2001-2060, 2020RMB)'!BI19*$B$73</f>
        <v>284.84330796233616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(2001-2060, 2020RMB)'!I20*$B$73</f>
        <v>0.57954863718673966</v>
      </c>
      <c r="J20" s="20">
        <f>'增加值 (2001-2060, 2020RMB)'!J20*$B$73</f>
        <v>0.78396292295007353</v>
      </c>
      <c r="K20" s="21">
        <f>'增加值 (2001-2060, 2020RMB)'!K20*$B$73</f>
        <v>0.91891072406341079</v>
      </c>
      <c r="L20" s="19">
        <f>'增加值 (2001-2060, 2020RMB)'!L20*$B$73</f>
        <v>1.0842791521723463</v>
      </c>
      <c r="M20" s="20">
        <f>'增加值 (2001-2060, 2020RMB)'!M20*$B$73</f>
        <v>1.0889994158201428</v>
      </c>
      <c r="N20" s="20">
        <f>'增加值 (2001-2060, 2020RMB)'!N20*$B$73</f>
        <v>1.1648549132551371</v>
      </c>
      <c r="O20" s="20">
        <f>'增加值 (2001-2060, 2020RMB)'!O20*$B$73</f>
        <v>1.0832759500273152</v>
      </c>
      <c r="P20" s="20">
        <f>'增加值 (2001-2060, 2020RMB)'!P20*$B$73</f>
        <v>1.0523770744126235</v>
      </c>
      <c r="Q20" s="19">
        <f>'增加值 (2001-2060, 2020RMB)'!Q20*$B$73</f>
        <v>0.91094818874093397</v>
      </c>
      <c r="R20" s="20">
        <f>'增加值 (2001-2060, 2020RMB)'!R20*$B$73</f>
        <v>1.0539272289753696</v>
      </c>
      <c r="S20" s="20">
        <f>'增加值 (2001-2060, 2020RMB)'!S20*$B$73</f>
        <v>1.0808756323636981</v>
      </c>
      <c r="T20" s="20">
        <f>'增加值 (2001-2060, 2020RMB)'!T20*$B$73</f>
        <v>1.0817459755270802</v>
      </c>
      <c r="U20" s="21">
        <f>'增加值 (2001-2060, 2020RMB)'!U20*$B$73</f>
        <v>1.0579535148456456</v>
      </c>
      <c r="V20" s="20">
        <f>'增加值 (2001-2060, 2020RMB)'!V20*$B$73</f>
        <v>0.98256465864026232</v>
      </c>
      <c r="W20" s="103">
        <f>'增加值 (2001-2060, 2020RMB)'!W20*$B$73</f>
        <v>1.2755981295838204</v>
      </c>
      <c r="X20" s="90">
        <f>'增加值 (2001-2060, 2020RMB)'!X20*$B$73</f>
        <v>1.3110326139604773</v>
      </c>
      <c r="Y20" s="90">
        <f>'增加值 (2001-2060, 2020RMB)'!Y20*$B$73</f>
        <v>1.3453381687502091</v>
      </c>
      <c r="Z20" s="90">
        <f>'增加值 (2001-2060, 2020RMB)'!Z20*$B$73</f>
        <v>1.3781040128505251</v>
      </c>
      <c r="AA20" s="89">
        <f>'增加值 (2001-2060, 2020RMB)'!AA20*$B$73</f>
        <v>1.4088972293869457</v>
      </c>
      <c r="AB20" s="90">
        <f>'增加值 (2001-2060, 2020RMB)'!AB20*$B$73</f>
        <v>1.4372676015904717</v>
      </c>
      <c r="AC20" s="90">
        <f>'增加值 (2001-2060, 2020RMB)'!AC20*$B$73</f>
        <v>1.4627536109320807</v>
      </c>
      <c r="AD20" s="90">
        <f>'增加值 (2001-2060, 2020RMB)'!AD20*$B$73</f>
        <v>1.4848895904655222</v>
      </c>
      <c r="AE20" s="101">
        <f>'增加值 (2001-2060, 2020RMB)'!AE20*$B$73</f>
        <v>1.5032139811092715</v>
      </c>
      <c r="AF20" s="90">
        <f>'增加值 (2001-2060, 2020RMB)'!AF20*$B$73</f>
        <v>1.5174366551233989</v>
      </c>
      <c r="AG20" s="90">
        <f>'增加值 (2001-2060, 2020RMB)'!AG20*$B$73</f>
        <v>1.5279314966575603</v>
      </c>
      <c r="AH20" s="90">
        <f>'增加值 (2001-2060, 2020RMB)'!AH20*$B$73</f>
        <v>1.5352758369909456</v>
      </c>
      <c r="AI20" s="90">
        <f>'增加值 (2001-2060, 2020RMB)'!AI20*$B$73</f>
        <v>1.540081962590798</v>
      </c>
      <c r="AJ20" s="106">
        <f>'增加值 (2001-2060, 2020RMB)'!AJ20*$B$73</f>
        <v>1.5429853841717673</v>
      </c>
      <c r="AK20" s="89">
        <f>'增加值 (2001-2060, 2020RMB)'!AK20*$B$73</f>
        <v>1.5445226527490901</v>
      </c>
      <c r="AL20" s="90">
        <f>'增加值 (2001-2060, 2020RMB)'!AL20*$B$73</f>
        <v>1.5447856806330482</v>
      </c>
      <c r="AM20" s="90">
        <f>'增加值 (2001-2060, 2020RMB)'!AM20*$B$73</f>
        <v>1.5437569491188785</v>
      </c>
      <c r="AN20" s="90">
        <f>'增加值 (2001-2060, 2020RMB)'!AN20*$B$73</f>
        <v>1.5414221960260732</v>
      </c>
      <c r="AO20" s="101">
        <f>'增加值 (2001-2060, 2020RMB)'!AO20*$B$73</f>
        <v>1.5377705465172857</v>
      </c>
      <c r="AP20" s="90">
        <f>'增加值 (2001-2060, 2020RMB)'!AP20*$B$73</f>
        <v>1.532794630810004</v>
      </c>
      <c r="AQ20" s="90">
        <f>'增加值 (2001-2060, 2020RMB)'!AQ20*$B$73</f>
        <v>1.5264906876361761</v>
      </c>
      <c r="AR20" s="90">
        <f>'增加值 (2001-2060, 2020RMB)'!AR20*$B$73</f>
        <v>1.5188586523673604</v>
      </c>
      <c r="AS20" s="90">
        <f>'增加值 (2001-2060, 2020RMB)'!AS20*$B$73</f>
        <v>1.509902228797299</v>
      </c>
      <c r="AT20" s="90">
        <f>'增加值 (2001-2060, 2020RMB)'!AT20*$B$73</f>
        <v>1.4996289436595371</v>
      </c>
      <c r="AU20" s="89">
        <f>'增加值 (2001-2060, 2020RMB)'!AU20*$B$73</f>
        <v>1.4880501830549471</v>
      </c>
      <c r="AV20" s="90">
        <f>'增加值 (2001-2060, 2020RMB)'!AV20*$B$73</f>
        <v>1.4751812100718944</v>
      </c>
      <c r="AW20" s="90">
        <f>'增加值 (2001-2060, 2020RMB)'!AW20*$B$73</f>
        <v>1.4610411629998896</v>
      </c>
      <c r="AX20" s="90">
        <f>'增加值 (2001-2060, 2020RMB)'!AX20*$B$73</f>
        <v>1.4456530336650009</v>
      </c>
      <c r="AY20" s="101">
        <f>'增加值 (2001-2060, 2020RMB)'!AY20*$B$73</f>
        <v>1.4290436255513266</v>
      </c>
      <c r="AZ20" s="89">
        <f>'增加值 (2001-2060, 2020RMB)'!AZ20*$B$73</f>
        <v>1.4112434915161181</v>
      </c>
      <c r="BA20" s="90">
        <f>'增加值 (2001-2060, 2020RMB)'!BA20*$B$73</f>
        <v>1.3922868510558268</v>
      </c>
      <c r="BB20" s="90">
        <f>'增加值 (2001-2060, 2020RMB)'!BB20*$B$73</f>
        <v>1.3722114872348767</v>
      </c>
      <c r="BC20" s="90">
        <f>'增加值 (2001-2060, 2020RMB)'!BC20*$B$73</f>
        <v>1.3510586235471047</v>
      </c>
      <c r="BD20" s="101">
        <f>'增加值 (2001-2060, 2020RMB)'!BD20*$B$73</f>
        <v>1.3288727811399623</v>
      </c>
      <c r="BE20" s="90">
        <f>'增加值 (2001-2060, 2020RMB)'!BE20*$B$73</f>
        <v>1.3057016169922002</v>
      </c>
      <c r="BF20" s="90">
        <f>'增加值 (2001-2060, 2020RMB)'!BF20*$B$73</f>
        <v>1.2815957437951977</v>
      </c>
      <c r="BG20" s="90">
        <f>'增加值 (2001-2060, 2020RMB)'!BG20*$B$73</f>
        <v>1.2566085324447502</v>
      </c>
      <c r="BH20" s="90">
        <f>'增加值 (2001-2060, 2020RMB)'!BH20*$B$73</f>
        <v>1.2307958982021014</v>
      </c>
      <c r="BI20" s="109">
        <f>'增加值 (2001-2060, 2020RMB)'!BI20*$B$73</f>
        <v>1.2042160717288677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(2001-2060, 2020RMB)'!I21*$B$73</f>
        <v>833.39094027453166</v>
      </c>
      <c r="J21" s="20">
        <f>'增加值 (2001-2060, 2020RMB)'!J21*$B$73</f>
        <v>915.6170524396332</v>
      </c>
      <c r="K21" s="21">
        <f>'增加值 (2001-2060, 2020RMB)'!K21*$B$73</f>
        <v>1022.5445517944347</v>
      </c>
      <c r="L21" s="19">
        <f>'增加值 (2001-2060, 2020RMB)'!L21*$B$73</f>
        <v>1121.0818054996585</v>
      </c>
      <c r="M21" s="20">
        <f>'增加值 (2001-2060, 2020RMB)'!M21*$B$73</f>
        <v>1212.4105737013122</v>
      </c>
      <c r="N21" s="20">
        <f>'增加值 (2001-2060, 2020RMB)'!N21*$B$73</f>
        <v>1260.0066459506525</v>
      </c>
      <c r="O21" s="20">
        <f>'增加值 (2001-2060, 2020RMB)'!O21*$B$73</f>
        <v>1301.0202924060955</v>
      </c>
      <c r="P21" s="20">
        <f>'增加值 (2001-2060, 2020RMB)'!P21*$B$73</f>
        <v>1302.1734929795896</v>
      </c>
      <c r="Q21" s="19">
        <f>'增加值 (2001-2060, 2020RMB)'!Q21*$B$73</f>
        <v>1348.2887559727169</v>
      </c>
      <c r="R21" s="20">
        <f>'增加值 (2001-2060, 2020RMB)'!R21*$B$73</f>
        <v>1457.5547709704783</v>
      </c>
      <c r="S21" s="20">
        <f>'增加值 (2001-2060, 2020RMB)'!S21*$B$73</f>
        <v>1536.9110032013343</v>
      </c>
      <c r="T21" s="20">
        <f>'增加值 (2001-2060, 2020RMB)'!T21*$B$73</f>
        <v>1509.993620350115</v>
      </c>
      <c r="U21" s="21">
        <f>'增加值 (2001-2060, 2020RMB)'!U21*$B$73</f>
        <v>1438.8034978249595</v>
      </c>
      <c r="V21" s="20">
        <f>'增加值 (2001-2060, 2020RMB)'!V21*$B$73</f>
        <v>1613.4179608362692</v>
      </c>
      <c r="W21" s="20">
        <f>'增加值 (2001-2060, 2020RMB)'!W21*$B$73</f>
        <v>1650.4342918518221</v>
      </c>
      <c r="X21" s="90">
        <f>'增加值 (2001-2060, 2020RMB)'!X21*$B$73</f>
        <v>1667.0414085334003</v>
      </c>
      <c r="Y21" s="90">
        <f>'增加值 (2001-2060, 2020RMB)'!Y21*$B$73</f>
        <v>1683.7812702705871</v>
      </c>
      <c r="Z21" s="90">
        <f>'增加值 (2001-2060, 2020RMB)'!Z21*$B$73</f>
        <v>1700.0385042894725</v>
      </c>
      <c r="AA21" s="89">
        <f>'增加值 (2001-2060, 2020RMB)'!AA21*$B$73</f>
        <v>1715.1744461363935</v>
      </c>
      <c r="AB21" s="90">
        <f>'增加值 (2001-2060, 2020RMB)'!AB21*$B$73</f>
        <v>1728.5301252564195</v>
      </c>
      <c r="AC21" s="90">
        <f>'增加值 (2001-2060, 2020RMB)'!AC21*$B$73</f>
        <v>1739.4317100413502</v>
      </c>
      <c r="AD21" s="90">
        <f>'增加值 (2001-2060, 2020RMB)'!AD21*$B$73</f>
        <v>1747.1984963738053</v>
      </c>
      <c r="AE21" s="101">
        <f>'增加值 (2001-2060, 2020RMB)'!AE21*$B$73</f>
        <v>1751.1534533119122</v>
      </c>
      <c r="AF21" s="90">
        <f>'增加值 (2001-2060, 2020RMB)'!AF21*$B$73</f>
        <v>1750.8375859940352</v>
      </c>
      <c r="AG21" s="90">
        <f>'增加值 (2001-2060, 2020RMB)'!AG21*$B$73</f>
        <v>1746.6247318688138</v>
      </c>
      <c r="AH21" s="90">
        <f>'增加值 (2001-2060, 2020RMB)'!AH21*$B$73</f>
        <v>1739.1128840348083</v>
      </c>
      <c r="AI21" s="90">
        <f>'增加值 (2001-2060, 2020RMB)'!AI21*$B$73</f>
        <v>1728.9112400857978</v>
      </c>
      <c r="AJ21" s="106">
        <f>'增加值 (2001-2060, 2020RMB)'!AJ21*$B$73</f>
        <v>1716.6300719961046</v>
      </c>
      <c r="AK21" s="89">
        <f>'增加值 (2001-2060, 2020RMB)'!AK21*$B$73</f>
        <v>1702.7854948820896</v>
      </c>
      <c r="AL21" s="90">
        <f>'增加值 (2001-2060, 2020RMB)'!AL21*$B$73</f>
        <v>1687.5381696257771</v>
      </c>
      <c r="AM21" s="90">
        <f>'增加值 (2001-2060, 2020RMB)'!AM21*$B$73</f>
        <v>1670.9625365100085</v>
      </c>
      <c r="AN21" s="90">
        <f>'增加值 (2001-2060, 2020RMB)'!AN21*$B$73</f>
        <v>1653.1348271522927</v>
      </c>
      <c r="AO21" s="101">
        <f>'增加值 (2001-2060, 2020RMB)'!AO21*$B$73</f>
        <v>1634.1326247422826</v>
      </c>
      <c r="AP21" s="90">
        <f>'增加值 (2001-2060, 2020RMB)'!AP21*$B$73</f>
        <v>1614.0344388720889</v>
      </c>
      <c r="AQ21" s="90">
        <f>'增加值 (2001-2060, 2020RMB)'!AQ21*$B$73</f>
        <v>1592.9192972995127</v>
      </c>
      <c r="AR21" s="90">
        <f>'增加值 (2001-2060, 2020RMB)'!AR21*$B$73</f>
        <v>1570.8663566800235</v>
      </c>
      <c r="AS21" s="90">
        <f>'增加值 (2001-2060, 2020RMB)'!AS21*$B$73</f>
        <v>1547.9545339994038</v>
      </c>
      <c r="AT21" s="90">
        <f>'增加值 (2001-2060, 2020RMB)'!AT21*$B$73</f>
        <v>1524.2621601392982</v>
      </c>
      <c r="AU21" s="89">
        <f>'增加值 (2001-2060, 2020RMB)'!AU21*$B$73</f>
        <v>1499.866656715438</v>
      </c>
      <c r="AV21" s="90">
        <f>'增加值 (2001-2060, 2020RMB)'!AV21*$B$73</f>
        <v>1474.8442370460923</v>
      </c>
      <c r="AW21" s="90">
        <f>'增加值 (2001-2060, 2020RMB)'!AW21*$B$73</f>
        <v>1449.2696318387054</v>
      </c>
      <c r="AX21" s="90">
        <f>'增加值 (2001-2060, 2020RMB)'!AX21*$B$73</f>
        <v>1423.2158399280361</v>
      </c>
      <c r="AY21" s="101">
        <f>'增加值 (2001-2060, 2020RMB)'!AY21*$B$73</f>
        <v>1396.7539041607372</v>
      </c>
      <c r="AZ21" s="89">
        <f>'增加值 (2001-2060, 2020RMB)'!AZ21*$B$73</f>
        <v>1369.9527123010612</v>
      </c>
      <c r="BA21" s="90">
        <f>'增加值 (2001-2060, 2020RMB)'!BA21*$B$73</f>
        <v>1342.8788226308156</v>
      </c>
      <c r="BB21" s="90">
        <f>'增加值 (2001-2060, 2020RMB)'!BB21*$B$73</f>
        <v>1315.5963137348133</v>
      </c>
      <c r="BC21" s="90">
        <f>'增加值 (2001-2060, 2020RMB)'!BC21*$B$73</f>
        <v>1288.1666578009042</v>
      </c>
      <c r="BD21" s="101">
        <f>'增加值 (2001-2060, 2020RMB)'!BD21*$B$73</f>
        <v>1260.6486166217264</v>
      </c>
      <c r="BE21" s="90">
        <f>'增加值 (2001-2060, 2020RMB)'!BE21*$B$73</f>
        <v>1233.0981593628585</v>
      </c>
      <c r="BF21" s="90">
        <f>'增加值 (2001-2060, 2020RMB)'!BF21*$B$73</f>
        <v>1205.5684010591342</v>
      </c>
      <c r="BG21" s="90">
        <f>'增加值 (2001-2060, 2020RMB)'!BG21*$B$73</f>
        <v>1178.1095607166442</v>
      </c>
      <c r="BH21" s="90">
        <f>'增加值 (2001-2060, 2020RMB)'!BH21*$B$73</f>
        <v>1150.7689378315836</v>
      </c>
      <c r="BI21" s="109">
        <f>'增加值 (2001-2060, 2020RMB)'!BI21*$B$73</f>
        <v>1123.5909060877329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(2001-2060, 2020RMB)'!I22*$B$73</f>
        <v>391.28880568769222</v>
      </c>
      <c r="J22" s="20">
        <f>'增加值 (2001-2060, 2020RMB)'!J22*$B$73</f>
        <v>423.21858349686204</v>
      </c>
      <c r="K22" s="21">
        <f>'增加值 (2001-2060, 2020RMB)'!K22*$B$73</f>
        <v>473.46484150296209</v>
      </c>
      <c r="L22" s="19">
        <f>'增加值 (2001-2060, 2020RMB)'!L22*$B$73</f>
        <v>532.73845955027809</v>
      </c>
      <c r="M22" s="20">
        <f>'增加值 (2001-2060, 2020RMB)'!M22*$B$73</f>
        <v>567.00897566965182</v>
      </c>
      <c r="N22" s="20">
        <f>'增加值 (2001-2060, 2020RMB)'!N22*$B$73</f>
        <v>592.50008564898212</v>
      </c>
      <c r="O22" s="20">
        <f>'增加值 (2001-2060, 2020RMB)'!O22*$B$73</f>
        <v>616.898584911184</v>
      </c>
      <c r="P22" s="20">
        <f>'增加值 (2001-2060, 2020RMB)'!P22*$B$73</f>
        <v>629.15051844987215</v>
      </c>
      <c r="Q22" s="19">
        <f>'增加值 (2001-2060, 2020RMB)'!Q22*$B$73</f>
        <v>668.00872114290121</v>
      </c>
      <c r="R22" s="20">
        <f>'增加值 (2001-2060, 2020RMB)'!R22*$B$73</f>
        <v>737.69629270652126</v>
      </c>
      <c r="S22" s="20">
        <f>'增加值 (2001-2060, 2020RMB)'!S22*$B$73</f>
        <v>783.73618171684529</v>
      </c>
      <c r="T22" s="20">
        <f>'增加值 (2001-2060, 2020RMB)'!T22*$B$73</f>
        <v>795.70204914280976</v>
      </c>
      <c r="U22" s="21">
        <f>'增加值 (2001-2060, 2020RMB)'!U22*$B$73</f>
        <v>781.27991692211458</v>
      </c>
      <c r="V22" s="20">
        <f>'增加值 (2001-2060, 2020RMB)'!V22*$B$73</f>
        <v>878.53711842257519</v>
      </c>
      <c r="W22" s="103">
        <f>'增加值 (2001-2060, 2020RMB)'!W22*$B$73</f>
        <v>912.97236037763207</v>
      </c>
      <c r="X22" s="90">
        <f>'增加值 (2001-2060, 2020RMB)'!X22*$B$73</f>
        <v>935.39069685369941</v>
      </c>
      <c r="Y22" s="90">
        <f>'增加值 (2001-2060, 2020RMB)'!Y22*$B$73</f>
        <v>957.13159492845341</v>
      </c>
      <c r="Z22" s="90">
        <f>'增加值 (2001-2060, 2020RMB)'!Z22*$B$73</f>
        <v>977.89736467568082</v>
      </c>
      <c r="AA22" s="89">
        <f>'增加值 (2001-2060, 2020RMB)'!AA22*$B$73</f>
        <v>997.37331168339279</v>
      </c>
      <c r="AB22" s="90">
        <f>'增加值 (2001-2060, 2020RMB)'!AB22*$B$73</f>
        <v>1015.2310248910521</v>
      </c>
      <c r="AC22" s="90">
        <f>'增加值 (2001-2060, 2020RMB)'!AC22*$B$73</f>
        <v>1031.1325992292957</v>
      </c>
      <c r="AD22" s="90">
        <f>'增加值 (2001-2060, 2020RMB)'!AD22*$B$73</f>
        <v>1044.7358038802276</v>
      </c>
      <c r="AE22" s="101">
        <f>'增加值 (2001-2060, 2020RMB)'!AE22*$B$73</f>
        <v>1055.7001711387356</v>
      </c>
      <c r="AF22" s="90">
        <f>'增加值 (2001-2060, 2020RMB)'!AF22*$B$73</f>
        <v>1063.8101662738477</v>
      </c>
      <c r="AG22" s="90">
        <f>'增加值 (2001-2060, 2020RMB)'!AG22*$B$73</f>
        <v>1069.3360241598216</v>
      </c>
      <c r="AH22" s="90">
        <f>'增加值 (2001-2060, 2020RMB)'!AH22*$B$73</f>
        <v>1072.6926726063855</v>
      </c>
      <c r="AI22" s="90">
        <f>'增加值 (2001-2060, 2020RMB)'!AI22*$B$73</f>
        <v>1074.3159487779719</v>
      </c>
      <c r="AJ22" s="106">
        <f>'增加值 (2001-2060, 2020RMB)'!AJ22*$B$73</f>
        <v>1074.6545030200998</v>
      </c>
      <c r="AK22" s="89">
        <f>'增加值 (2001-2060, 2020RMB)'!AK22*$B$73</f>
        <v>1074.0853002816946</v>
      </c>
      <c r="AL22" s="90">
        <f>'增加值 (2001-2060, 2020RMB)'!AL22*$B$73</f>
        <v>1072.6753510756296</v>
      </c>
      <c r="AM22" s="90">
        <f>'增加值 (2001-2060, 2020RMB)'!AM22*$B$73</f>
        <v>1070.4155187345682</v>
      </c>
      <c r="AN22" s="90">
        <f>'增加值 (2001-2060, 2020RMB)'!AN22*$B$73</f>
        <v>1067.2987715286201</v>
      </c>
      <c r="AO22" s="101">
        <f>'增加值 (2001-2060, 2020RMB)'!AO22*$B$73</f>
        <v>1063.3202601320752</v>
      </c>
      <c r="AP22" s="90">
        <f>'增加值 (2001-2060, 2020RMB)'!AP22*$B$73</f>
        <v>1058.4773867943411</v>
      </c>
      <c r="AQ22" s="90">
        <f>'增加值 (2001-2060, 2020RMB)'!AQ22*$B$73</f>
        <v>1052.7698655172676</v>
      </c>
      <c r="AR22" s="90">
        <f>'增加值 (2001-2060, 2020RMB)'!AR22*$B$73</f>
        <v>1046.1997725789445</v>
      </c>
      <c r="AS22" s="90">
        <f>'增加值 (2001-2060, 2020RMB)'!AS22*$B$73</f>
        <v>1038.7715867893683</v>
      </c>
      <c r="AT22" s="90">
        <f>'增加值 (2001-2060, 2020RMB)'!AT22*$B$73</f>
        <v>1030.4922189156728</v>
      </c>
      <c r="AU22" s="89">
        <f>'增加值 (2001-2060, 2020RMB)'!AU22*$B$73</f>
        <v>1021.3710297739215</v>
      </c>
      <c r="AV22" s="90">
        <f>'增加值 (2001-2060, 2020RMB)'!AV22*$B$73</f>
        <v>1011.4198365503504</v>
      </c>
      <c r="AW22" s="90">
        <f>'增加值 (2001-2060, 2020RMB)'!AW22*$B$73</f>
        <v>1000.6529069872732</v>
      </c>
      <c r="AX22" s="90">
        <f>'增加值 (2001-2060, 2020RMB)'!AX22*$B$73</f>
        <v>989.08694114686773</v>
      </c>
      <c r="AY22" s="101">
        <f>'增加值 (2001-2060, 2020RMB)'!AY22*$B$73</f>
        <v>976.74104054953045</v>
      </c>
      <c r="AZ22" s="89">
        <f>'增加值 (2001-2060, 2020RMB)'!AZ22*$B$73</f>
        <v>963.63666457159059</v>
      </c>
      <c r="BA22" s="90">
        <f>'增加值 (2001-2060, 2020RMB)'!BA22*$B$73</f>
        <v>949.79757407926559</v>
      </c>
      <c r="BB22" s="90">
        <f>'增加值 (2001-2060, 2020RMB)'!BB22*$B$73</f>
        <v>935.24976237109445</v>
      </c>
      <c r="BC22" s="90">
        <f>'增加值 (2001-2060, 2020RMB)'!BC22*$B$73</f>
        <v>920.02137359878304</v>
      </c>
      <c r="BD22" s="101">
        <f>'增加值 (2001-2060, 2020RMB)'!BD22*$B$73</f>
        <v>904.14260893556468</v>
      </c>
      <c r="BE22" s="90">
        <f>'增加值 (2001-2060, 2020RMB)'!BE22*$B$73</f>
        <v>887.64562086090609</v>
      </c>
      <c r="BF22" s="90">
        <f>'增加值 (2001-2060, 2020RMB)'!BF22*$B$73</f>
        <v>870.56439602956516</v>
      </c>
      <c r="BG22" s="90">
        <f>'增加值 (2001-2060, 2020RMB)'!BG22*$B$73</f>
        <v>852.93462729065607</v>
      </c>
      <c r="BH22" s="90">
        <f>'增加值 (2001-2060, 2020RMB)'!BH22*$B$73</f>
        <v>834.79357551752321</v>
      </c>
      <c r="BI22" s="109">
        <f>'增加值 (2001-2060, 2020RMB)'!BI22*$B$73</f>
        <v>816.1799220006335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(2001-2060, 2020RMB)'!I23*$B$73</f>
        <v>416.04114103076466</v>
      </c>
      <c r="J23" s="20">
        <f>'增加值 (2001-2060, 2020RMB)'!J23*$B$73</f>
        <v>451.96266195450079</v>
      </c>
      <c r="K23" s="21">
        <f>'增加值 (2001-2060, 2020RMB)'!K23*$B$73</f>
        <v>502.98809016179717</v>
      </c>
      <c r="L23" s="19">
        <f>'增加值 (2001-2060, 2020RMB)'!L23*$B$73</f>
        <v>574.6573651611958</v>
      </c>
      <c r="M23" s="20">
        <f>'增加值 (2001-2060, 2020RMB)'!M23*$B$73</f>
        <v>615.45397266684449</v>
      </c>
      <c r="N23" s="20">
        <f>'增加值 (2001-2060, 2020RMB)'!N23*$B$73</f>
        <v>644.29234645209567</v>
      </c>
      <c r="O23" s="20">
        <f>'增加值 (2001-2060, 2020RMB)'!O23*$B$73</f>
        <v>657.85186687048679</v>
      </c>
      <c r="P23" s="20">
        <f>'增加值 (2001-2060, 2020RMB)'!P23*$B$73</f>
        <v>672.16537230123561</v>
      </c>
      <c r="Q23" s="19">
        <f>'增加值 (2001-2060, 2020RMB)'!Q23*$B$73</f>
        <v>708.43265072745317</v>
      </c>
      <c r="R23" s="20">
        <f>'增加值 (2001-2060, 2020RMB)'!R23*$B$73</f>
        <v>782.33730119535221</v>
      </c>
      <c r="S23" s="20">
        <f>'增加值 (2001-2060, 2020RMB)'!S23*$B$73</f>
        <v>835.83708420068547</v>
      </c>
      <c r="T23" s="20">
        <f>'增加值 (2001-2060, 2020RMB)'!T23*$B$73</f>
        <v>855.85139170274385</v>
      </c>
      <c r="U23" s="21">
        <f>'增加值 (2001-2060, 2020RMB)'!U23*$B$73</f>
        <v>805.56639983284151</v>
      </c>
      <c r="V23" s="20">
        <f>'增加值 (2001-2060, 2020RMB)'!V23*$B$73</f>
        <v>927.65431597354814</v>
      </c>
      <c r="W23" s="20">
        <f>'增加值 (2001-2060, 2020RMB)'!W23*$B$73</f>
        <v>1001.7083980576186</v>
      </c>
      <c r="X23" s="90">
        <f>'增加值 (2001-2060, 2020RMB)'!X23*$B$73</f>
        <v>1030.8479995651032</v>
      </c>
      <c r="Y23" s="90">
        <f>'增加值 (2001-2060, 2020RMB)'!Y23*$B$73</f>
        <v>1059.048141316626</v>
      </c>
      <c r="Z23" s="90">
        <f>'增加值 (2001-2060, 2020RMB)'!Z23*$B$73</f>
        <v>1085.9868665744757</v>
      </c>
      <c r="AA23" s="89">
        <f>'增加值 (2001-2060, 2020RMB)'!AA23*$B$73</f>
        <v>1111.3255357118321</v>
      </c>
      <c r="AB23" s="90">
        <f>'增加值 (2001-2060, 2020RMB)'!AB23*$B$73</f>
        <v>1134.7126914688581</v>
      </c>
      <c r="AC23" s="90">
        <f>'增加值 (2001-2060, 2020RMB)'!AC23*$B$73</f>
        <v>1155.7887909543158</v>
      </c>
      <c r="AD23" s="90">
        <f>'增加值 (2001-2060, 2020RMB)'!AD23*$B$73</f>
        <v>1174.1917916553371</v>
      </c>
      <c r="AE23" s="101">
        <f>'增加值 (2001-2060, 2020RMB)'!AE23*$B$73</f>
        <v>1189.563544870678</v>
      </c>
      <c r="AF23" s="90">
        <f>'增加值 (2001-2060, 2020RMB)'!AF23*$B$73</f>
        <v>1201.679612341379</v>
      </c>
      <c r="AG23" s="90">
        <f>'增加值 (2001-2060, 2020RMB)'!AG23*$B$73</f>
        <v>1210.8322039574919</v>
      </c>
      <c r="AH23" s="90">
        <f>'增加值 (2001-2060, 2020RMB)'!AH23*$B$73</f>
        <v>1217.4736967759331</v>
      </c>
      <c r="AI23" s="90">
        <f>'增加值 (2001-2060, 2020RMB)'!AI23*$B$73</f>
        <v>1222.0857926133544</v>
      </c>
      <c r="AJ23" s="106">
        <f>'增加值 (2001-2060, 2020RMB)'!AJ23*$B$73</f>
        <v>1225.1701796152886</v>
      </c>
      <c r="AK23" s="89">
        <f>'增加值 (2001-2060, 2020RMB)'!AK23*$B$73</f>
        <v>1227.1512458256391</v>
      </c>
      <c r="AL23" s="90">
        <f>'增加值 (2001-2060, 2020RMB)'!AL23*$B$73</f>
        <v>1228.1004500293657</v>
      </c>
      <c r="AM23" s="90">
        <f>'增加值 (2001-2060, 2020RMB)'!AM23*$B$73</f>
        <v>1228.0023265266673</v>
      </c>
      <c r="AN23" s="90">
        <f>'增加值 (2001-2060, 2020RMB)'!AN23*$B$73</f>
        <v>1226.8440703965091</v>
      </c>
      <c r="AO23" s="101">
        <f>'增加值 (2001-2060, 2020RMB)'!AO23*$B$73</f>
        <v>1224.6156484051189</v>
      </c>
      <c r="AP23" s="90">
        <f>'增加值 (2001-2060, 2020RMB)'!AP23*$B$73</f>
        <v>1221.3098991111672</v>
      </c>
      <c r="AQ23" s="90">
        <f>'增加值 (2001-2060, 2020RMB)'!AQ23*$B$73</f>
        <v>1216.9226212071092</v>
      </c>
      <c r="AR23" s="90">
        <f>'增加值 (2001-2060, 2020RMB)'!AR23*$B$73</f>
        <v>1211.4526491886272</v>
      </c>
      <c r="AS23" s="90">
        <f>'增加值 (2001-2060, 2020RMB)'!AS23*$B$73</f>
        <v>1204.9019155060266</v>
      </c>
      <c r="AT23" s="90">
        <f>'增加值 (2001-2060, 2020RMB)'!AT23*$B$73</f>
        <v>1197.2754984235044</v>
      </c>
      <c r="AU23" s="89">
        <f>'增加值 (2001-2060, 2020RMB)'!AU23*$B$73</f>
        <v>1188.5816548933271</v>
      </c>
      <c r="AV23" s="90">
        <f>'增加值 (2001-2060, 2020RMB)'!AV23*$B$73</f>
        <v>1178.8318378424492</v>
      </c>
      <c r="AW23" s="90">
        <f>'增加值 (2001-2060, 2020RMB)'!AW23*$B$73</f>
        <v>1168.0406973677411</v>
      </c>
      <c r="AX23" s="90">
        <f>'增加值 (2001-2060, 2020RMB)'!AX23*$B$73</f>
        <v>1156.2260654426384</v>
      </c>
      <c r="AY23" s="101">
        <f>'增加值 (2001-2060, 2020RMB)'!AY23*$B$73</f>
        <v>1143.4089238516972</v>
      </c>
      <c r="AZ23" s="89">
        <f>'增加值 (2001-2060, 2020RMB)'!AZ23*$B$73</f>
        <v>1129.6133551891885</v>
      </c>
      <c r="BA23" s="90">
        <f>'增加值 (2001-2060, 2020RMB)'!BA23*$B$73</f>
        <v>1114.8664768829346</v>
      </c>
      <c r="BB23" s="90">
        <f>'增加值 (2001-2060, 2020RMB)'!BB23*$B$73</f>
        <v>1099.1983583333831</v>
      </c>
      <c r="BC23" s="90">
        <f>'增加值 (2001-2060, 2020RMB)'!BC23*$B$73</f>
        <v>1082.6419213898932</v>
      </c>
      <c r="BD23" s="101">
        <f>'增加值 (2001-2060, 2020RMB)'!BD23*$B$73</f>
        <v>1065.2328245195147</v>
      </c>
      <c r="BE23" s="90">
        <f>'增加值 (2001-2060, 2020RMB)'!BE23*$B$73</f>
        <v>1047.0093311573673</v>
      </c>
      <c r="BF23" s="90">
        <f>'增加值 (2001-2060, 2020RMB)'!BF23*$B$73</f>
        <v>1028.012162860246</v>
      </c>
      <c r="BG23" s="90">
        <f>'增加值 (2001-2060, 2020RMB)'!BG23*$B$73</f>
        <v>1008.2843380153492</v>
      </c>
      <c r="BH23" s="90">
        <f>'增加值 (2001-2060, 2020RMB)'!BH23*$B$73</f>
        <v>987.87099698202314</v>
      </c>
      <c r="BI23" s="109">
        <f>'增加值 (2001-2060, 2020RMB)'!BI23*$B$73</f>
        <v>966.81921466557105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(2001-2060, 2020RMB)'!I24*$B$73</f>
        <v>814.11627430874023</v>
      </c>
      <c r="J24" s="20">
        <f>'增加值 (2001-2060, 2020RMB)'!J24*$B$73</f>
        <v>835.01707948040792</v>
      </c>
      <c r="K24" s="21">
        <f>'增加值 (2001-2060, 2020RMB)'!K24*$B$73</f>
        <v>907.39414275234458</v>
      </c>
      <c r="L24" s="19">
        <f>'增加值 (2001-2060, 2020RMB)'!L24*$B$73</f>
        <v>981.75649437877132</v>
      </c>
      <c r="M24" s="20">
        <f>'增加值 (2001-2060, 2020RMB)'!M24*$B$73</f>
        <v>1021.5462277456062</v>
      </c>
      <c r="N24" s="20">
        <f>'增加值 (2001-2060, 2020RMB)'!N24*$B$73</f>
        <v>1040.3000235379272</v>
      </c>
      <c r="O24" s="20">
        <f>'增加值 (2001-2060, 2020RMB)'!O24*$B$73</f>
        <v>1079.148969615429</v>
      </c>
      <c r="P24" s="20">
        <f>'增加值 (2001-2060, 2020RMB)'!P24*$B$73</f>
        <v>1058.6057770282716</v>
      </c>
      <c r="Q24" s="19">
        <f>'增加值 (2001-2060, 2020RMB)'!Q24*$B$73</f>
        <v>947.33214392277785</v>
      </c>
      <c r="R24" s="20">
        <f>'增加值 (2001-2060, 2020RMB)'!R24*$B$73</f>
        <v>992.46075246780401</v>
      </c>
      <c r="S24" s="20">
        <f>'增加值 (2001-2060, 2020RMB)'!S24*$B$73</f>
        <v>1047.4832402189634</v>
      </c>
      <c r="T24" s="20">
        <f>'增加值 (2001-2060, 2020RMB)'!T24*$B$73</f>
        <v>1062.4659761973628</v>
      </c>
      <c r="U24" s="21">
        <f>'增加值 (2001-2060, 2020RMB)'!U24*$B$73</f>
        <v>1060.6811984790204</v>
      </c>
      <c r="V24" s="20">
        <f>'增加值 (2001-2060, 2020RMB)'!V24*$B$73</f>
        <v>1143.0228686473731</v>
      </c>
      <c r="W24" s="20">
        <f>'增加值 (2001-2060, 2020RMB)'!W24*$B$73</f>
        <v>1242.3975261070618</v>
      </c>
      <c r="X24" s="90">
        <f>'增加值 (2001-2060, 2020RMB)'!X24*$B$73</f>
        <v>1266.1110470649751</v>
      </c>
      <c r="Y24" s="90">
        <f>'增加值 (2001-2060, 2020RMB)'!Y24*$B$73</f>
        <v>1289.2570717048627</v>
      </c>
      <c r="Z24" s="90">
        <f>'增加值 (2001-2060, 2020RMB)'!Z24*$B$73</f>
        <v>1311.411432213077</v>
      </c>
      <c r="AA24" s="89">
        <f>'增加值 (2001-2060, 2020RMB)'!AA24*$B$73</f>
        <v>1332.1261150184846</v>
      </c>
      <c r="AB24" s="90">
        <f>'增加值 (2001-2060, 2020RMB)'!AB24*$B$73</f>
        <v>1350.9331792871217</v>
      </c>
      <c r="AC24" s="90">
        <f>'增加值 (2001-2060, 2020RMB)'!AC24*$B$73</f>
        <v>1367.3501984414022</v>
      </c>
      <c r="AD24" s="90">
        <f>'增加值 (2001-2060, 2020RMB)'!AD24*$B$73</f>
        <v>1380.8872721442676</v>
      </c>
      <c r="AE24" s="101">
        <f>'增加值 (2001-2060, 2020RMB)'!AE24*$B$73</f>
        <v>1391.0556008427643</v>
      </c>
      <c r="AF24" s="90">
        <f>'增加值 (2001-2060, 2020RMB)'!AF24*$B$73</f>
        <v>1397.5424045958582</v>
      </c>
      <c r="AG24" s="90">
        <f>'增加值 (2001-2060, 2020RMB)'!AG24*$B$73</f>
        <v>1400.7193400891229</v>
      </c>
      <c r="AH24" s="90">
        <f>'增加值 (2001-2060, 2020RMB)'!AH24*$B$73</f>
        <v>1401.1527993549132</v>
      </c>
      <c r="AI24" s="90">
        <f>'增加值 (2001-2060, 2020RMB)'!AI24*$B$73</f>
        <v>1399.42855823221</v>
      </c>
      <c r="AJ24" s="106">
        <f>'增加值 (2001-2060, 2020RMB)'!AJ24*$B$73</f>
        <v>1396.1415196343141</v>
      </c>
      <c r="AK24" s="89">
        <f>'增加值 (2001-2060, 2020RMB)'!AK24*$B$73</f>
        <v>1391.7873401168665</v>
      </c>
      <c r="AL24" s="90">
        <f>'增加值 (2001-2060, 2020RMB)'!AL24*$B$73</f>
        <v>1386.4583927696799</v>
      </c>
      <c r="AM24" s="90">
        <f>'增加值 (2001-2060, 2020RMB)'!AM24*$B$73</f>
        <v>1380.1482748759784</v>
      </c>
      <c r="AN24" s="90">
        <f>'增加值 (2001-2060, 2020RMB)'!AN24*$B$73</f>
        <v>1372.852964085916</v>
      </c>
      <c r="AO24" s="101">
        <f>'增加值 (2001-2060, 2020RMB)'!AO24*$B$73</f>
        <v>1364.570894764423</v>
      </c>
      <c r="AP24" s="90">
        <f>'增加值 (2001-2060, 2020RMB)'!AP24*$B$73</f>
        <v>1355.3030252782955</v>
      </c>
      <c r="AQ24" s="90">
        <f>'增加值 (2001-2060, 2020RMB)'!AQ24*$B$73</f>
        <v>1345.0528954935737</v>
      </c>
      <c r="AR24" s="90">
        <f>'增加值 (2001-2060, 2020RMB)'!AR24*$B$73</f>
        <v>1333.8266737927916</v>
      </c>
      <c r="AS24" s="90">
        <f>'增加值 (2001-2060, 2020RMB)'!AS24*$B$73</f>
        <v>1321.6331929680537</v>
      </c>
      <c r="AT24" s="90">
        <f>'增加值 (2001-2060, 2020RMB)'!AT24*$B$73</f>
        <v>1308.4839743995337</v>
      </c>
      <c r="AU24" s="89">
        <f>'增加值 (2001-2060, 2020RMB)'!AU24*$B$73</f>
        <v>1294.393239990226</v>
      </c>
      <c r="AV24" s="90">
        <f>'增加值 (2001-2060, 2020RMB)'!AV24*$B$73</f>
        <v>1279.3779113958446</v>
      </c>
      <c r="AW24" s="90">
        <f>'增加值 (2001-2060, 2020RMB)'!AW24*$B$73</f>
        <v>1263.4575961639598</v>
      </c>
      <c r="AX24" s="90">
        <f>'增加值 (2001-2060, 2020RMB)'!AX24*$B$73</f>
        <v>1246.6545604776857</v>
      </c>
      <c r="AY24" s="101">
        <f>'增加值 (2001-2060, 2020RMB)'!AY24*$B$73</f>
        <v>1228.9936882866346</v>
      </c>
      <c r="AZ24" s="89">
        <f>'增加值 (2001-2060, 2020RMB)'!AZ24*$B$73</f>
        <v>1210.502426700252</v>
      </c>
      <c r="BA24" s="90">
        <f>'增加值 (2001-2060, 2020RMB)'!BA24*$B$73</f>
        <v>1191.210717615875</v>
      </c>
      <c r="BB24" s="90">
        <f>'增加值 (2001-2060, 2020RMB)'!BB24*$B$73</f>
        <v>1171.1509156545919</v>
      </c>
      <c r="BC24" s="90">
        <f>'增加值 (2001-2060, 2020RMB)'!BC24*$B$73</f>
        <v>1150.3576925819468</v>
      </c>
      <c r="BD24" s="101">
        <f>'增加值 (2001-2060, 2020RMB)'!BD24*$B$73</f>
        <v>1128.8679284963093</v>
      </c>
      <c r="BE24" s="90">
        <f>'增加值 (2001-2060, 2020RMB)'!BE24*$B$73</f>
        <v>1106.7205901745936</v>
      </c>
      <c r="BF24" s="90">
        <f>'增加值 (2001-2060, 2020RMB)'!BF24*$B$73</f>
        <v>1083.9565970719325</v>
      </c>
      <c r="BG24" s="90">
        <f>'增加值 (2001-2060, 2020RMB)'!BG24*$B$73</f>
        <v>1060.6186755775159</v>
      </c>
      <c r="BH24" s="90">
        <f>'增加值 (2001-2060, 2020RMB)'!BH24*$B$73</f>
        <v>1036.7512022324458</v>
      </c>
      <c r="BI24" s="109">
        <f>'增加值 (2001-2060, 2020RMB)'!BI24*$B$73</f>
        <v>1012.4000367155437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(2001-2060, 2020RMB)'!I25*$B$73</f>
        <v>777.95991739521935</v>
      </c>
      <c r="J25" s="20">
        <f>'增加值 (2001-2060, 2020RMB)'!J25*$B$73</f>
        <v>800.14486261054606</v>
      </c>
      <c r="K25" s="21">
        <f>'增加值 (2001-2060, 2020RMB)'!K25*$B$73</f>
        <v>867.16819741371125</v>
      </c>
      <c r="L25" s="19">
        <f>'增加值 (2001-2060, 2020RMB)'!L25*$B$73</f>
        <v>902.40443183874095</v>
      </c>
      <c r="M25" s="20">
        <f>'增加值 (2001-2060, 2020RMB)'!M25*$B$73</f>
        <v>963.89151239458693</v>
      </c>
      <c r="N25" s="20">
        <f>'增加值 (2001-2060, 2020RMB)'!N25*$B$73</f>
        <v>995.32175969285993</v>
      </c>
      <c r="O25" s="20">
        <f>'增加值 (2001-2060, 2020RMB)'!O25*$B$73</f>
        <v>1018.1773917073065</v>
      </c>
      <c r="P25" s="20">
        <f>'增加值 (2001-2060, 2020RMB)'!P25*$B$73</f>
        <v>1033.569172982455</v>
      </c>
      <c r="Q25" s="19">
        <f>'增加值 (2001-2060, 2020RMB)'!Q25*$B$73</f>
        <v>1064.120195424287</v>
      </c>
      <c r="R25" s="20">
        <f>'增加值 (2001-2060, 2020RMB)'!R25*$B$73</f>
        <v>1120.1978705238769</v>
      </c>
      <c r="S25" s="20">
        <f>'增加值 (2001-2060, 2020RMB)'!S25*$B$73</f>
        <v>1126.5331937839655</v>
      </c>
      <c r="T25" s="20">
        <f>'增加值 (2001-2060, 2020RMB)'!T25*$B$73</f>
        <v>1100.2861515096881</v>
      </c>
      <c r="U25" s="21">
        <f>'增加值 (2001-2060, 2020RMB)'!U25*$B$73</f>
        <v>1071.8283979331518</v>
      </c>
      <c r="V25" s="20">
        <f>'增加值 (2001-2060, 2020RMB)'!V25*$B$73</f>
        <v>1131.5999339945606</v>
      </c>
      <c r="W25" s="20">
        <f>'增加值 (2001-2060, 2020RMB)'!W25*$B$73</f>
        <v>1118.4784851316513</v>
      </c>
      <c r="X25" s="90">
        <f>'增加值 (2001-2060, 2020RMB)'!X25*$B$73</f>
        <v>1107.3374983278889</v>
      </c>
      <c r="Y25" s="90">
        <f>'增加值 (2001-2060, 2020RMB)'!Y25*$B$73</f>
        <v>1098.7346705046207</v>
      </c>
      <c r="Z25" s="90">
        <f>'增加值 (2001-2060, 2020RMB)'!Z25*$B$73</f>
        <v>1091.8841933724143</v>
      </c>
      <c r="AA25" s="89">
        <f>'增加值 (2001-2060, 2020RMB)'!AA25*$B$73</f>
        <v>1086.029784087485</v>
      </c>
      <c r="AB25" s="90">
        <f>'增加值 (2001-2060, 2020RMB)'!AB25*$B$73</f>
        <v>1080.4353322368534</v>
      </c>
      <c r="AC25" s="90">
        <f>'增加值 (2001-2060, 2020RMB)'!AC25*$B$73</f>
        <v>1074.3806650759223</v>
      </c>
      <c r="AD25" s="90">
        <f>'增加值 (2001-2060, 2020RMB)'!AD25*$B$73</f>
        <v>1067.1621971451202</v>
      </c>
      <c r="AE25" s="101">
        <f>'增加值 (2001-2060, 2020RMB)'!AE25*$B$73</f>
        <v>1058.098264519846</v>
      </c>
      <c r="AF25" s="90">
        <f>'增加值 (2001-2060, 2020RMB)'!AF25*$B$73</f>
        <v>1046.7272046125502</v>
      </c>
      <c r="AG25" s="90">
        <f>'增加值 (2001-2060, 2020RMB)'!AG25*$B$73</f>
        <v>1033.3659384877683</v>
      </c>
      <c r="AH25" s="90">
        <f>'增加值 (2001-2060, 2020RMB)'!AH25*$B$73</f>
        <v>1018.5144982350494</v>
      </c>
      <c r="AI25" s="90">
        <f>'增加值 (2001-2060, 2020RMB)'!AI25*$B$73</f>
        <v>1002.6562199907981</v>
      </c>
      <c r="AJ25" s="106">
        <f>'增加值 (2001-2060, 2020RMB)'!AJ25*$B$73</f>
        <v>986.25217596262428</v>
      </c>
      <c r="AK25" s="89">
        <f>'增加值 (2001-2060, 2020RMB)'!AK25*$B$73</f>
        <v>969.66882334985587</v>
      </c>
      <c r="AL25" s="90">
        <f>'增加值 (2001-2060, 2020RMB)'!AL25*$B$73</f>
        <v>952.97914079447173</v>
      </c>
      <c r="AM25" s="90">
        <f>'增加值 (2001-2060, 2020RMB)'!AM25*$B$73</f>
        <v>936.18560445138371</v>
      </c>
      <c r="AN25" s="90">
        <f>'增加值 (2001-2060, 2020RMB)'!AN25*$B$73</f>
        <v>919.29145276232202</v>
      </c>
      <c r="AO25" s="101">
        <f>'增加值 (2001-2060, 2020RMB)'!AO25*$B$73</f>
        <v>902.30067581733897</v>
      </c>
      <c r="AP25" s="90">
        <f>'增加值 (2001-2060, 2020RMB)'!AP25*$B$73</f>
        <v>885.21800281387993</v>
      </c>
      <c r="AQ25" s="90">
        <f>'增加值 (2001-2060, 2020RMB)'!AQ25*$B$73</f>
        <v>868.04888752992792</v>
      </c>
      <c r="AR25" s="90">
        <f>'增加值 (2001-2060, 2020RMB)'!AR25*$B$73</f>
        <v>850.7994917393296</v>
      </c>
      <c r="AS25" s="90">
        <f>'增加值 (2001-2060, 2020RMB)'!AS25*$B$73</f>
        <v>833.47666650958888</v>
      </c>
      <c r="AT25" s="90">
        <f>'增加值 (2001-2060, 2020RMB)'!AT25*$B$73</f>
        <v>816.08793133554354</v>
      </c>
      <c r="AU25" s="89">
        <f>'增加值 (2001-2060, 2020RMB)'!AU25*$B$73</f>
        <v>798.6414510760959</v>
      </c>
      <c r="AV25" s="90">
        <f>'增加值 (2001-2060, 2020RMB)'!AV25*$B$73</f>
        <v>781.1460106756341</v>
      </c>
      <c r="AW25" s="90">
        <f>'增加值 (2001-2060, 2020RMB)'!AW25*$B$73</f>
        <v>763.61098766684438</v>
      </c>
      <c r="AX25" s="90">
        <f>'增加值 (2001-2060, 2020RMB)'!AX25*$B$73</f>
        <v>746.04632246723827</v>
      </c>
      <c r="AY25" s="101">
        <f>'增加值 (2001-2060, 2020RMB)'!AY25*$B$73</f>
        <v>728.46248649771735</v>
      </c>
      <c r="AZ25" s="89">
        <f>'增加值 (2001-2060, 2020RMB)'!AZ25*$B$73</f>
        <v>710.87044816796538</v>
      </c>
      <c r="BA25" s="90">
        <f>'增加值 (2001-2060, 2020RMB)'!BA25*$B$73</f>
        <v>693.28163679000556</v>
      </c>
      <c r="BB25" s="90">
        <f>'增加值 (2001-2060, 2020RMB)'!BB25*$B$73</f>
        <v>675.70790449811739</v>
      </c>
      <c r="BC25" s="90">
        <f>'增加值 (2001-2060, 2020RMB)'!BC25*$B$73</f>
        <v>658.16148627000973</v>
      </c>
      <c r="BD25" s="101">
        <f>'增加值 (2001-2060, 2020RMB)'!BD25*$B$73</f>
        <v>640.65495816082739</v>
      </c>
      <c r="BE25" s="90">
        <f>'增加值 (2001-2060, 2020RMB)'!BE25*$B$73</f>
        <v>623.20119387794375</v>
      </c>
      <c r="BF25" s="90">
        <f>'增加值 (2001-2060, 2020RMB)'!BF25*$B$73</f>
        <v>605.81331984045323</v>
      </c>
      <c r="BG25" s="90">
        <f>'增加值 (2001-2060, 2020RMB)'!BG25*$B$73</f>
        <v>588.50466888273343</v>
      </c>
      <c r="BH25" s="90">
        <f>'增加值 (2001-2060, 2020RMB)'!BH25*$B$73</f>
        <v>571.28873277615298</v>
      </c>
      <c r="BI25" s="109">
        <f>'增加值 (2001-2060, 2020RMB)'!BI25*$B$73</f>
        <v>554.1791137569096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(2001-2060, 2020RMB)'!I26*$B$73</f>
        <v>476.7254918794149</v>
      </c>
      <c r="J26" s="20">
        <f>'增加值 (2001-2060, 2020RMB)'!J26*$B$73</f>
        <v>496.64690042756814</v>
      </c>
      <c r="K26" s="21">
        <f>'增加值 (2001-2060, 2020RMB)'!K26*$B$73</f>
        <v>554.64626925052289</v>
      </c>
      <c r="L26" s="19">
        <f>'增加值 (2001-2060, 2020RMB)'!L26*$B$73</f>
        <v>616.08885280120433</v>
      </c>
      <c r="M26" s="20">
        <f>'增加值 (2001-2060, 2020RMB)'!M26*$B$73</f>
        <v>628.74162899988778</v>
      </c>
      <c r="N26" s="20">
        <f>'增加值 (2001-2060, 2020RMB)'!N26*$B$73</f>
        <v>640.28422178339451</v>
      </c>
      <c r="O26" s="20">
        <f>'增加值 (2001-2060, 2020RMB)'!O26*$B$73</f>
        <v>658.05639887173447</v>
      </c>
      <c r="P26" s="20">
        <f>'增加值 (2001-2060, 2020RMB)'!P26*$B$73</f>
        <v>651.77235477871579</v>
      </c>
      <c r="Q26" s="19">
        <f>'增加值 (2001-2060, 2020RMB)'!Q26*$B$73</f>
        <v>660.22500337453687</v>
      </c>
      <c r="R26" s="20">
        <f>'增加值 (2001-2060, 2020RMB)'!R26*$B$73</f>
        <v>707.04711262930834</v>
      </c>
      <c r="S26" s="20">
        <f>'增加值 (2001-2060, 2020RMB)'!S26*$B$73</f>
        <v>734.98204225344136</v>
      </c>
      <c r="T26" s="20">
        <f>'增加值 (2001-2060, 2020RMB)'!T26*$B$73</f>
        <v>715.02314991124069</v>
      </c>
      <c r="U26" s="21">
        <f>'增加值 (2001-2060, 2020RMB)'!U26*$B$73</f>
        <v>629.43608541742412</v>
      </c>
      <c r="V26" s="20">
        <f>'增加值 (2001-2060, 2020RMB)'!V26*$B$73</f>
        <v>711.06790152819349</v>
      </c>
      <c r="W26" s="20">
        <f>'增加值 (2001-2060, 2020RMB)'!W26*$B$73</f>
        <v>708.60132920643639</v>
      </c>
      <c r="X26" s="90">
        <f>'增加值 (2001-2060, 2020RMB)'!X26*$B$73</f>
        <v>703.38935756900651</v>
      </c>
      <c r="Y26" s="90">
        <f>'增加值 (2001-2060, 2020RMB)'!Y26*$B$73</f>
        <v>699.68507117750698</v>
      </c>
      <c r="Z26" s="90">
        <f>'增加值 (2001-2060, 2020RMB)'!Z26*$B$73</f>
        <v>696.99951928487621</v>
      </c>
      <c r="AA26" s="89">
        <f>'增加值 (2001-2060, 2020RMB)'!AA26*$B$73</f>
        <v>694.85706520830092</v>
      </c>
      <c r="AB26" s="90">
        <f>'增加值 (2001-2060, 2020RMB)'!AB26*$B$73</f>
        <v>692.79010670240984</v>
      </c>
      <c r="AC26" s="90">
        <f>'增加值 (2001-2060, 2020RMB)'!AC26*$B$73</f>
        <v>690.33699689271998</v>
      </c>
      <c r="AD26" s="90">
        <f>'增加值 (2001-2060, 2020RMB)'!AD26*$B$73</f>
        <v>687.04307268489708</v>
      </c>
      <c r="AE26" s="101">
        <f>'增加值 (2001-2060, 2020RMB)'!AE26*$B$73</f>
        <v>682.46470762402748</v>
      </c>
      <c r="AF26" s="90">
        <f>'增加值 (2001-2060, 2020RMB)'!AF26*$B$73</f>
        <v>676.29904440629093</v>
      </c>
      <c r="AG26" s="90">
        <f>'增加值 (2001-2060, 2020RMB)'!AG26*$B$73</f>
        <v>668.75038062042881</v>
      </c>
      <c r="AH26" s="90">
        <f>'增加值 (2001-2060, 2020RMB)'!AH26*$B$73</f>
        <v>660.14480002609071</v>
      </c>
      <c r="AI26" s="90">
        <f>'增加值 (2001-2060, 2020RMB)'!AI26*$B$73</f>
        <v>650.79989025745124</v>
      </c>
      <c r="AJ26" s="106">
        <f>'增加值 (2001-2060, 2020RMB)'!AJ26*$B$73</f>
        <v>641.02067782398774</v>
      </c>
      <c r="AK26" s="89">
        <f>'增加值 (2001-2060, 2020RMB)'!AK26*$B$73</f>
        <v>631.0515334548046</v>
      </c>
      <c r="AL26" s="90">
        <f>'增加值 (2001-2060, 2020RMB)'!AL26*$B$73</f>
        <v>620.94423002151007</v>
      </c>
      <c r="AM26" s="90">
        <f>'增加值 (2001-2060, 2020RMB)'!AM26*$B$73</f>
        <v>610.7040807908154</v>
      </c>
      <c r="AN26" s="90">
        <f>'增加值 (2001-2060, 2020RMB)'!AN26*$B$73</f>
        <v>600.33681865715209</v>
      </c>
      <c r="AO26" s="101">
        <f>'增加值 (2001-2060, 2020RMB)'!AO26*$B$73</f>
        <v>589.84858618396834</v>
      </c>
      <c r="AP26" s="90">
        <f>'增加值 (2001-2060, 2020RMB)'!AP26*$B$73</f>
        <v>579.24592419783733</v>
      </c>
      <c r="AQ26" s="90">
        <f>'增加值 (2001-2060, 2020RMB)'!AQ26*$B$73</f>
        <v>568.53575893122729</v>
      </c>
      <c r="AR26" s="90">
        <f>'增加值 (2001-2060, 2020RMB)'!AR26*$B$73</f>
        <v>557.72538771752397</v>
      </c>
      <c r="AS26" s="90">
        <f>'增加值 (2001-2060, 2020RMB)'!AS26*$B$73</f>
        <v>546.82246324995538</v>
      </c>
      <c r="AT26" s="90">
        <f>'增加值 (2001-2060, 2020RMB)'!AT26*$B$73</f>
        <v>535.83497642430075</v>
      </c>
      <c r="AU26" s="89">
        <f>'增加值 (2001-2060, 2020RMB)'!AU26*$B$73</f>
        <v>524.77123779373358</v>
      </c>
      <c r="AV26" s="90">
        <f>'增加值 (2001-2060, 2020RMB)'!AV26*$B$73</f>
        <v>513.63985767267491</v>
      </c>
      <c r="AW26" s="90">
        <f>'增加值 (2001-2060, 2020RMB)'!AW26*$B$73</f>
        <v>502.44972493520402</v>
      </c>
      <c r="AX26" s="90">
        <f>'增加值 (2001-2060, 2020RMB)'!AX26*$B$73</f>
        <v>491.20998456213118</v>
      </c>
      <c r="AY26" s="101">
        <f>'增加值 (2001-2060, 2020RMB)'!AY26*$B$73</f>
        <v>479.93001399951567</v>
      </c>
      <c r="AZ26" s="89">
        <f>'增加值 (2001-2060, 2020RMB)'!AZ26*$B$73</f>
        <v>468.61939839978305</v>
      </c>
      <c r="BA26" s="90">
        <f>'增加值 (2001-2060, 2020RMB)'!BA26*$B$73</f>
        <v>457.28790482491587</v>
      </c>
      <c r="BB26" s="90">
        <f>'增加值 (2001-2060, 2020RMB)'!BB26*$B$73</f>
        <v>445.94545549920548</v>
      </c>
      <c r="BC26" s="90">
        <f>'增加值 (2001-2060, 2020RMB)'!BC26*$B$73</f>
        <v>434.60210020674219</v>
      </c>
      <c r="BD26" s="101">
        <f>'增加值 (2001-2060, 2020RMB)'!BD26*$B$73</f>
        <v>423.26798793614364</v>
      </c>
      <c r="BE26" s="90">
        <f>'增加值 (2001-2060, 2020RMB)'!BE26*$B$73</f>
        <v>411.95333788185093</v>
      </c>
      <c r="BF26" s="90">
        <f>'增加值 (2001-2060, 2020RMB)'!BF26*$B$73</f>
        <v>400.66840991767396</v>
      </c>
      <c r="BG26" s="90">
        <f>'增加值 (2001-2060, 2020RMB)'!BG26*$B$73</f>
        <v>389.42347466397689</v>
      </c>
      <c r="BH26" s="90">
        <f>'增加值 (2001-2060, 2020RMB)'!BH26*$B$73</f>
        <v>378.22878327499473</v>
      </c>
      <c r="BI26" s="109">
        <f>'增加值 (2001-2060, 2020RMB)'!BI26*$B$73</f>
        <v>367.09453707713203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(2001-2060, 2020RMB)'!I27*$B$73</f>
        <v>317.40570200504726</v>
      </c>
      <c r="J27" s="20">
        <f>'增加值 (2001-2060, 2020RMB)'!J27*$B$73</f>
        <v>328.86416119741517</v>
      </c>
      <c r="K27" s="21">
        <f>'增加值 (2001-2060, 2020RMB)'!K27*$B$73</f>
        <v>372.06001518974961</v>
      </c>
      <c r="L27" s="19">
        <f>'增加值 (2001-2060, 2020RMB)'!L27*$B$73</f>
        <v>404.33843438097756</v>
      </c>
      <c r="M27" s="20">
        <f>'增加值 (2001-2060, 2020RMB)'!M27*$B$73</f>
        <v>414.56707567507476</v>
      </c>
      <c r="N27" s="20">
        <f>'增加值 (2001-2060, 2020RMB)'!N27*$B$73</f>
        <v>425.72220273226264</v>
      </c>
      <c r="O27" s="20">
        <f>'增加值 (2001-2060, 2020RMB)'!O27*$B$73</f>
        <v>433.45732712865822</v>
      </c>
      <c r="P27" s="20">
        <f>'增加值 (2001-2060, 2020RMB)'!P27*$B$73</f>
        <v>431.37419054235727</v>
      </c>
      <c r="Q27" s="19">
        <f>'增加值 (2001-2060, 2020RMB)'!Q27*$B$73</f>
        <v>435.28467205973448</v>
      </c>
      <c r="R27" s="20">
        <f>'增加值 (2001-2060, 2020RMB)'!R27*$B$73</f>
        <v>460.86717494499976</v>
      </c>
      <c r="S27" s="20">
        <f>'增加值 (2001-2060, 2020RMB)'!S27*$B$73</f>
        <v>480.45236428562674</v>
      </c>
      <c r="T27" s="20">
        <f>'增加值 (2001-2060, 2020RMB)'!T27*$B$73</f>
        <v>472.96421799246747</v>
      </c>
      <c r="U27" s="21">
        <f>'增加值 (2001-2060, 2020RMB)'!U27*$B$73</f>
        <v>403.99792185347974</v>
      </c>
      <c r="V27" s="20">
        <f>'增加值 (2001-2060, 2020RMB)'!V27*$B$73</f>
        <v>456.8132112388443</v>
      </c>
      <c r="W27" s="20">
        <f>'增加值 (2001-2060, 2020RMB)'!W27*$B$73</f>
        <v>462.18928676227665</v>
      </c>
      <c r="X27" s="90">
        <f>'增加值 (2001-2060, 2020RMB)'!X27*$B$73</f>
        <v>458.38532086698012</v>
      </c>
      <c r="Y27" s="90">
        <f>'增加值 (2001-2060, 2020RMB)'!Y27*$B$73</f>
        <v>455.40011965768286</v>
      </c>
      <c r="Z27" s="90">
        <f>'增加值 (2001-2060, 2020RMB)'!Z27*$B$73</f>
        <v>452.95559917067112</v>
      </c>
      <c r="AA27" s="89">
        <f>'增加值 (2001-2060, 2020RMB)'!AA27*$B$73</f>
        <v>450.78205516265245</v>
      </c>
      <c r="AB27" s="90">
        <f>'增加值 (2001-2060, 2020RMB)'!AB27*$B$73</f>
        <v>448.61577591294542</v>
      </c>
      <c r="AC27" s="90">
        <f>'增加值 (2001-2060, 2020RMB)'!AC27*$B$73</f>
        <v>446.19822837923613</v>
      </c>
      <c r="AD27" s="90">
        <f>'增加值 (2001-2060, 2020RMB)'!AD27*$B$73</f>
        <v>443.2767570110671</v>
      </c>
      <c r="AE27" s="101">
        <f>'增加值 (2001-2060, 2020RMB)'!AE27*$B$73</f>
        <v>439.60673559559416</v>
      </c>
      <c r="AF27" s="90">
        <f>'增加值 (2001-2060, 2020RMB)'!AF27*$B$73</f>
        <v>435.02596611620027</v>
      </c>
      <c r="AG27" s="90">
        <f>'增加值 (2001-2060, 2020RMB)'!AG27*$B$73</f>
        <v>429.66476688115586</v>
      </c>
      <c r="AH27" s="90">
        <f>'增加值 (2001-2060, 2020RMB)'!AH27*$B$73</f>
        <v>423.72202923874659</v>
      </c>
      <c r="AI27" s="90">
        <f>'增加值 (2001-2060, 2020RMB)'!AI27*$B$73</f>
        <v>417.39006010013884</v>
      </c>
      <c r="AJ27" s="106">
        <f>'增加值 (2001-2060, 2020RMB)'!AJ27*$B$73</f>
        <v>410.85250378334155</v>
      </c>
      <c r="AK27" s="89">
        <f>'增加值 (2001-2060, 2020RMB)'!AK27*$B$73</f>
        <v>404.25495443319971</v>
      </c>
      <c r="AL27" s="90">
        <f>'增加值 (2001-2060, 2020RMB)'!AL27*$B$73</f>
        <v>397.62370848938133</v>
      </c>
      <c r="AM27" s="90">
        <f>'增加值 (2001-2060, 2020RMB)'!AM27*$B$73</f>
        <v>390.95647505150134</v>
      </c>
      <c r="AN27" s="90">
        <f>'增加值 (2001-2060, 2020RMB)'!AN27*$B$73</f>
        <v>384.25141833972356</v>
      </c>
      <c r="AO27" s="101">
        <f>'增加值 (2001-2060, 2020RMB)'!AO27*$B$73</f>
        <v>377.50715700277902</v>
      </c>
      <c r="AP27" s="90">
        <f>'增加值 (2001-2060, 2020RMB)'!AP27*$B$73</f>
        <v>370.72276286516177</v>
      </c>
      <c r="AQ27" s="90">
        <f>'增加值 (2001-2060, 2020RMB)'!AQ27*$B$73</f>
        <v>363.89775899737231</v>
      </c>
      <c r="AR27" s="90">
        <f>'增加值 (2001-2060, 2020RMB)'!AR27*$B$73</f>
        <v>357.03211699769486</v>
      </c>
      <c r="AS27" s="90">
        <f>'增加值 (2001-2060, 2020RMB)'!AS27*$B$73</f>
        <v>350.12625337921116</v>
      </c>
      <c r="AT27" s="90">
        <f>'增加值 (2001-2060, 2020RMB)'!AT27*$B$73</f>
        <v>343.18102496175095</v>
      </c>
      <c r="AU27" s="89">
        <f>'增加值 (2001-2060, 2020RMB)'!AU27*$B$73</f>
        <v>336.19772317517459</v>
      </c>
      <c r="AV27" s="90">
        <f>'增加值 (2001-2060, 2020RMB)'!AV27*$B$73</f>
        <v>329.1780671879057</v>
      </c>
      <c r="AW27" s="90">
        <f>'增加值 (2001-2060, 2020RMB)'!AW27*$B$73</f>
        <v>322.12419578289473</v>
      </c>
      <c r="AX27" s="90">
        <f>'增加值 (2001-2060, 2020RMB)'!AX27*$B$73</f>
        <v>315.03865791229106</v>
      </c>
      <c r="AY27" s="101">
        <f>'增加值 (2001-2060, 2020RMB)'!AY27*$B$73</f>
        <v>307.92440187195342</v>
      </c>
      <c r="AZ27" s="89">
        <f>'增加值 (2001-2060, 2020RMB)'!AZ27*$B$73</f>
        <v>300.7847630475631</v>
      </c>
      <c r="BA27" s="90">
        <f>'增加值 (2001-2060, 2020RMB)'!BA27*$B$73</f>
        <v>293.62345019545126</v>
      </c>
      <c r="BB27" s="90">
        <f>'增加值 (2001-2060, 2020RMB)'!BB27*$B$73</f>
        <v>286.44453023330306</v>
      </c>
      <c r="BC27" s="90">
        <f>'增加值 (2001-2060, 2020RMB)'!BC27*$B$73</f>
        <v>279.25241152856688</v>
      </c>
      <c r="BD27" s="101">
        <f>'增加值 (2001-2060, 2020RMB)'!BD27*$B$73</f>
        <v>272.05182568561531</v>
      </c>
      <c r="BE27" s="90">
        <f>'增加值 (2001-2060, 2020RMB)'!BE27*$B$73</f>
        <v>264.8478078464039</v>
      </c>
      <c r="BF27" s="90">
        <f>'增加值 (2001-2060, 2020RMB)'!BF27*$B$73</f>
        <v>257.64567553343699</v>
      </c>
      <c r="BG27" s="90">
        <f>'增加值 (2001-2060, 2020RMB)'!BG27*$B$73</f>
        <v>250.4510060781858</v>
      </c>
      <c r="BH27" s="90">
        <f>'增加值 (2001-2060, 2020RMB)'!BH27*$B$73</f>
        <v>243.26961269258064</v>
      </c>
      <c r="BI27" s="109">
        <f>'增加值 (2001-2060, 2020RMB)'!BI27*$B$73</f>
        <v>236.10751925569267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(2001-2060, 2020RMB)'!I28*$B$73</f>
        <v>183.06258888169535</v>
      </c>
      <c r="J28" s="20">
        <f>'增加值 (2001-2060, 2020RMB)'!J28*$B$73</f>
        <v>204.24795840987005</v>
      </c>
      <c r="K28" s="21">
        <f>'增加值 (2001-2060, 2020RMB)'!K28*$B$73</f>
        <v>242.7781894886572</v>
      </c>
      <c r="L28" s="19">
        <f>'增加值 (2001-2060, 2020RMB)'!L28*$B$73</f>
        <v>282.2698285326012</v>
      </c>
      <c r="M28" s="20">
        <f>'增加值 (2001-2060, 2020RMB)'!M28*$B$73</f>
        <v>302.04027033522306</v>
      </c>
      <c r="N28" s="20">
        <f>'增加值 (2001-2060, 2020RMB)'!N28*$B$73</f>
        <v>320.49689172431061</v>
      </c>
      <c r="O28" s="20">
        <f>'增加值 (2001-2060, 2020RMB)'!O28*$B$73</f>
        <v>336.46002467903793</v>
      </c>
      <c r="P28" s="20">
        <f>'增加值 (2001-2060, 2020RMB)'!P28*$B$73</f>
        <v>339.31187379870977</v>
      </c>
      <c r="Q28" s="19">
        <f>'增加值 (2001-2060, 2020RMB)'!Q28*$B$73</f>
        <v>353.64619395247428</v>
      </c>
      <c r="R28" s="20">
        <f>'增加值 (2001-2060, 2020RMB)'!R28*$B$73</f>
        <v>380.15807784697552</v>
      </c>
      <c r="S28" s="20">
        <f>'增加值 (2001-2060, 2020RMB)'!S28*$B$73</f>
        <v>389.12148812811552</v>
      </c>
      <c r="T28" s="20">
        <f>'增加值 (2001-2060, 2020RMB)'!T28*$B$73</f>
        <v>383.43196789554264</v>
      </c>
      <c r="U28" s="21">
        <f>'增加值 (2001-2060, 2020RMB)'!U28*$B$73</f>
        <v>363.87101977345213</v>
      </c>
      <c r="V28" s="20">
        <f>'增加值 (2001-2060, 2020RMB)'!V28*$B$73</f>
        <v>418.25991064157745</v>
      </c>
      <c r="W28" s="20">
        <f>'增加值 (2001-2060, 2020RMB)'!W28*$B$73</f>
        <v>422.75738400977508</v>
      </c>
      <c r="X28" s="90">
        <f>'增加值 (2001-2060, 2020RMB)'!X28*$B$73</f>
        <v>425.68327551418082</v>
      </c>
      <c r="Y28" s="90">
        <f>'增加值 (2001-2060, 2020RMB)'!Y28*$B$73</f>
        <v>428.76569302795798</v>
      </c>
      <c r="Z28" s="90">
        <f>'增加值 (2001-2060, 2020RMB)'!Z28*$B$73</f>
        <v>431.82827973331814</v>
      </c>
      <c r="AA28" s="89">
        <f>'增加值 (2001-2060, 2020RMB)'!AA28*$B$73</f>
        <v>434.68964756258771</v>
      </c>
      <c r="AB28" s="90">
        <f>'增加值 (2001-2060, 2020RMB)'!AB28*$B$73</f>
        <v>437.163843246851</v>
      </c>
      <c r="AC28" s="90">
        <f>'增加值 (2001-2060, 2020RMB)'!AC28*$B$73</f>
        <v>439.06159377875719</v>
      </c>
      <c r="AD28" s="90">
        <f>'增加值 (2001-2060, 2020RMB)'!AD28*$B$73</f>
        <v>440.19235445406849</v>
      </c>
      <c r="AE28" s="101">
        <f>'增加值 (2001-2060, 2020RMB)'!AE28*$B$73</f>
        <v>440.36716315342733</v>
      </c>
      <c r="AF28" s="90">
        <f>'增加值 (2001-2060, 2020RMB)'!AF28*$B$73</f>
        <v>439.46278086532266</v>
      </c>
      <c r="AG28" s="90">
        <f>'增加值 (2001-2060, 2020RMB)'!AG28*$B$73</f>
        <v>437.60528241650547</v>
      </c>
      <c r="AH28" s="90">
        <f>'增加值 (2001-2060, 2020RMB)'!AH28*$B$73</f>
        <v>434.98535807894132</v>
      </c>
      <c r="AI28" s="90">
        <f>'增加值 (2001-2060, 2020RMB)'!AI28*$B$73</f>
        <v>431.7940862066967</v>
      </c>
      <c r="AJ28" s="106">
        <f>'增加值 (2001-2060, 2020RMB)'!AJ28*$B$73</f>
        <v>428.22010386325388</v>
      </c>
      <c r="AK28" s="89">
        <f>'增加值 (2001-2060, 2020RMB)'!AK28*$B$73</f>
        <v>424.41743623048114</v>
      </c>
      <c r="AL28" s="90">
        <f>'增加值 (2001-2060, 2020RMB)'!AL28*$B$73</f>
        <v>420.41603738915302</v>
      </c>
      <c r="AM28" s="90">
        <f>'增加值 (2001-2060, 2020RMB)'!AM28*$B$73</f>
        <v>416.215703285497</v>
      </c>
      <c r="AN28" s="90">
        <f>'增加值 (2001-2060, 2020RMB)'!AN28*$B$73</f>
        <v>411.81675989185175</v>
      </c>
      <c r="AO28" s="101">
        <f>'增加值 (2001-2060, 2020RMB)'!AO28*$B$73</f>
        <v>407.22007561697916</v>
      </c>
      <c r="AP28" s="90">
        <f>'增加值 (2001-2060, 2020RMB)'!AP28*$B$73</f>
        <v>402.42707192086817</v>
      </c>
      <c r="AQ28" s="90">
        <f>'增加值 (2001-2060, 2020RMB)'!AQ28*$B$73</f>
        <v>397.43973198848988</v>
      </c>
      <c r="AR28" s="90">
        <f>'增加值 (2001-2060, 2020RMB)'!AR28*$B$73</f>
        <v>392.26060732349919</v>
      </c>
      <c r="AS28" s="90">
        <f>'增加值 (2001-2060, 2020RMB)'!AS28*$B$73</f>
        <v>386.89282213092599</v>
      </c>
      <c r="AT28" s="90">
        <f>'增加值 (2001-2060, 2020RMB)'!AT28*$B$73</f>
        <v>381.34007536737596</v>
      </c>
      <c r="AU28" s="89">
        <f>'增加值 (2001-2060, 2020RMB)'!AU28*$B$73</f>
        <v>375.60664034826317</v>
      </c>
      <c r="AV28" s="90">
        <f>'增加值 (2001-2060, 2020RMB)'!AV28*$B$73</f>
        <v>369.69736181404892</v>
      </c>
      <c r="AW28" s="90">
        <f>'增加值 (2001-2060, 2020RMB)'!AW28*$B$73</f>
        <v>363.6176503713188</v>
      </c>
      <c r="AX28" s="90">
        <f>'增加值 (2001-2060, 2020RMB)'!AX28*$B$73</f>
        <v>357.37347423979992</v>
      </c>
      <c r="AY28" s="101">
        <f>'增加值 (2001-2060, 2020RMB)'!AY28*$B$73</f>
        <v>350.97134825295979</v>
      </c>
      <c r="AZ28" s="89">
        <f>'增加值 (2001-2060, 2020RMB)'!AZ28*$B$73</f>
        <v>344.41832007759291</v>
      </c>
      <c r="BA28" s="90">
        <f>'增加值 (2001-2060, 2020RMB)'!BA28*$B$73</f>
        <v>337.72195363666833</v>
      </c>
      <c r="BB28" s="90">
        <f>'增加值 (2001-2060, 2020RMB)'!BB28*$B$73</f>
        <v>330.89030973954351</v>
      </c>
      <c r="BC28" s="90">
        <f>'增加值 (2001-2060, 2020RMB)'!BC28*$B$73</f>
        <v>323.93192394430184</v>
      </c>
      <c r="BD28" s="101">
        <f>'增加值 (2001-2060, 2020RMB)'!BD28*$B$73</f>
        <v>316.85578169830495</v>
      </c>
      <c r="BE28" s="90">
        <f>'增加值 (2001-2060, 2020RMB)'!BE28*$B$73</f>
        <v>309.67129082482955</v>
      </c>
      <c r="BF28" s="90">
        <f>'增加值 (2001-2060, 2020RMB)'!BF28*$B$73</f>
        <v>302.38825144574753</v>
      </c>
      <c r="BG28" s="90">
        <f>'增加值 (2001-2060, 2020RMB)'!BG28*$B$73</f>
        <v>295.01682345233968</v>
      </c>
      <c r="BH28" s="90">
        <f>'增加值 (2001-2060, 2020RMB)'!BH28*$B$73</f>
        <v>287.56749165835402</v>
      </c>
      <c r="BI28" s="109">
        <f>'增加值 (2001-2060, 2020RMB)'!BI28*$B$73</f>
        <v>280.05102879100968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(2001-2060, 2020RMB)'!I29*$B$73</f>
        <v>129.81889472982971</v>
      </c>
      <c r="J29" s="20">
        <f>'增加值 (2001-2060, 2020RMB)'!J29*$B$73</f>
        <v>133.8900994239722</v>
      </c>
      <c r="K29" s="21">
        <f>'增加值 (2001-2060, 2020RMB)'!K29*$B$73</f>
        <v>155.6371038995149</v>
      </c>
      <c r="L29" s="19">
        <f>'增加值 (2001-2060, 2020RMB)'!L29*$B$73</f>
        <v>172.28007045156349</v>
      </c>
      <c r="M29" s="20">
        <f>'增加值 (2001-2060, 2020RMB)'!M29*$B$73</f>
        <v>182.37861258806183</v>
      </c>
      <c r="N29" s="20">
        <f>'增加值 (2001-2060, 2020RMB)'!N29*$B$73</f>
        <v>190.92434116214173</v>
      </c>
      <c r="O29" s="20">
        <f>'增加值 (2001-2060, 2020RMB)'!O29*$B$73</f>
        <v>198.96943926643203</v>
      </c>
      <c r="P29" s="20">
        <f>'增加值 (2001-2060, 2020RMB)'!P29*$B$73</f>
        <v>201.78849524439579</v>
      </c>
      <c r="Q29" s="19">
        <f>'增加值 (2001-2060, 2020RMB)'!Q29*$B$73</f>
        <v>209.91925901214057</v>
      </c>
      <c r="R29" s="20">
        <f>'增加值 (2001-2060, 2020RMB)'!R29*$B$73</f>
        <v>233.30569642673959</v>
      </c>
      <c r="S29" s="20">
        <f>'增加值 (2001-2060, 2020RMB)'!S29*$B$73</f>
        <v>245.31106464866127</v>
      </c>
      <c r="T29" s="20">
        <f>'增加值 (2001-2060, 2020RMB)'!T29*$B$73</f>
        <v>242.43382368782244</v>
      </c>
      <c r="U29" s="21">
        <f>'增加值 (2001-2060, 2020RMB)'!U29*$B$73</f>
        <v>224.20291022259102</v>
      </c>
      <c r="V29" s="20">
        <f>'增加值 (2001-2060, 2020RMB)'!V29*$B$73</f>
        <v>261.91706865328678</v>
      </c>
      <c r="W29" s="20">
        <f>'增加值 (2001-2060, 2020RMB)'!W29*$B$73</f>
        <v>248.2374641170465</v>
      </c>
      <c r="X29" s="90">
        <f>'增加值 (2001-2060, 2020RMB)'!X29*$B$73</f>
        <v>249.64391126380269</v>
      </c>
      <c r="Y29" s="90">
        <f>'增加值 (2001-2060, 2020RMB)'!Y29*$B$73</f>
        <v>251.16720168390739</v>
      </c>
      <c r="Z29" s="90">
        <f>'增加值 (2001-2060, 2020RMB)'!Z29*$B$73</f>
        <v>252.70097221597939</v>
      </c>
      <c r="AA29" s="89">
        <f>'增加值 (2001-2060, 2020RMB)'!AA29*$B$73</f>
        <v>254.13628423974524</v>
      </c>
      <c r="AB29" s="90">
        <f>'增加值 (2001-2060, 2020RMB)'!AB29*$B$73</f>
        <v>255.36181487102985</v>
      </c>
      <c r="AC29" s="90">
        <f>'增加值 (2001-2060, 2020RMB)'!AC29*$B$73</f>
        <v>256.26452740158049</v>
      </c>
      <c r="AD29" s="90">
        <f>'增加值 (2001-2060, 2020RMB)'!AD29*$B$73</f>
        <v>256.73083356018816</v>
      </c>
      <c r="AE29" s="101">
        <f>'增加值 (2001-2060, 2020RMB)'!AE29*$B$73</f>
        <v>256.64824901780918</v>
      </c>
      <c r="AF29" s="90">
        <f>'增加值 (2001-2060, 2020RMB)'!AF29*$B$73</f>
        <v>255.94329252253951</v>
      </c>
      <c r="AG29" s="90">
        <f>'增加值 (2001-2060, 2020RMB)'!AG29*$B$73</f>
        <v>254.68981577483675</v>
      </c>
      <c r="AH29" s="90">
        <f>'增加值 (2001-2060, 2020RMB)'!AH29*$B$73</f>
        <v>252.99951408045075</v>
      </c>
      <c r="AI29" s="90">
        <f>'增加值 (2001-2060, 2020RMB)'!AI29*$B$73</f>
        <v>250.98396565543601</v>
      </c>
      <c r="AJ29" s="106">
        <f>'增加值 (2001-2060, 2020RMB)'!AJ29*$B$73</f>
        <v>248.75301338108491</v>
      </c>
      <c r="AK29" s="89">
        <f>'增加值 (2001-2060, 2020RMB)'!AK29*$B$73</f>
        <v>246.39614603916124</v>
      </c>
      <c r="AL29" s="90">
        <f>'增加值 (2001-2060, 2020RMB)'!AL29*$B$73</f>
        <v>243.93076024046991</v>
      </c>
      <c r="AM29" s="90">
        <f>'增加值 (2001-2060, 2020RMB)'!AM29*$B$73</f>
        <v>241.35674521805774</v>
      </c>
      <c r="AN29" s="90">
        <f>'增加值 (2001-2060, 2020RMB)'!AN29*$B$73</f>
        <v>238.67428949945329</v>
      </c>
      <c r="AO29" s="101">
        <f>'增加值 (2001-2060, 2020RMB)'!AO29*$B$73</f>
        <v>235.88388758678448</v>
      </c>
      <c r="AP29" s="90">
        <f>'增加值 (2001-2060, 2020RMB)'!AP29*$B$73</f>
        <v>232.98634564661842</v>
      </c>
      <c r="AQ29" s="90">
        <f>'增加值 (2001-2060, 2020RMB)'!AQ29*$B$73</f>
        <v>229.98278612804788</v>
      </c>
      <c r="AR29" s="90">
        <f>'增加值 (2001-2060, 2020RMB)'!AR29*$B$73</f>
        <v>226.87465123114345</v>
      </c>
      <c r="AS29" s="90">
        <f>'增加值 (2001-2060, 2020RMB)'!AS29*$B$73</f>
        <v>223.66370515227314</v>
      </c>
      <c r="AT29" s="90">
        <f>'增加值 (2001-2060, 2020RMB)'!AT29*$B$73</f>
        <v>220.35203503801219</v>
      </c>
      <c r="AU29" s="89">
        <f>'增加值 (2001-2060, 2020RMB)'!AU29*$B$73</f>
        <v>216.9420505854232</v>
      </c>
      <c r="AV29" s="90">
        <f>'增加值 (2001-2060, 2020RMB)'!AV29*$B$73</f>
        <v>213.43648223332593</v>
      </c>
      <c r="AW29" s="90">
        <f>'增加值 (2001-2060, 2020RMB)'!AW29*$B$73</f>
        <v>209.83837789685126</v>
      </c>
      <c r="AX29" s="90">
        <f>'增加值 (2001-2060, 2020RMB)'!AX29*$B$73</f>
        <v>206.15109820599349</v>
      </c>
      <c r="AY29" s="101">
        <f>'增加值 (2001-2060, 2020RMB)'!AY29*$B$73</f>
        <v>202.37831021804055</v>
      </c>
      <c r="AZ29" s="89">
        <f>'增加值 (2001-2060, 2020RMB)'!AZ29*$B$73</f>
        <v>198.52397958360675</v>
      </c>
      <c r="BA29" s="90">
        <f>'增加值 (2001-2060, 2020RMB)'!BA29*$B$73</f>
        <v>194.59236115645945</v>
      </c>
      <c r="BB29" s="90">
        <f>'增加值 (2001-2060, 2020RMB)'!BB29*$B$73</f>
        <v>190.58798804835919</v>
      </c>
      <c r="BC29" s="90">
        <f>'增加值 (2001-2060, 2020RMB)'!BC29*$B$73</f>
        <v>186.51565914162413</v>
      </c>
      <c r="BD29" s="101">
        <f>'增加值 (2001-2060, 2020RMB)'!BD29*$B$73</f>
        <v>182.38042508401412</v>
      </c>
      <c r="BE29" s="90">
        <f>'增加值 (2001-2060, 2020RMB)'!BE29*$B$73</f>
        <v>178.18757280269185</v>
      </c>
      <c r="BF29" s="90">
        <f>'增加值 (2001-2060, 2020RMB)'!BF29*$B$73</f>
        <v>173.94260858635533</v>
      </c>
      <c r="BG29" s="90">
        <f>'增加值 (2001-2060, 2020RMB)'!BG29*$B$73</f>
        <v>169.65123979703236</v>
      </c>
      <c r="BH29" s="90">
        <f>'增加值 (2001-2060, 2020RMB)'!BH29*$B$73</f>
        <v>165.31935528536454</v>
      </c>
      <c r="BI29" s="109">
        <f>'增加值 (2001-2060, 2020RMB)'!BI29*$B$73</f>
        <v>160.95300459533291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(2001-2060, 2020RMB)'!I30*$B$73</f>
        <v>330.51097925239907</v>
      </c>
      <c r="J30" s="20">
        <f>'增加值 (2001-2060, 2020RMB)'!J30*$B$73</f>
        <v>346.82881592155036</v>
      </c>
      <c r="K30" s="21">
        <f>'增加值 (2001-2060, 2020RMB)'!K30*$B$73</f>
        <v>391.37387085407408</v>
      </c>
      <c r="L30" s="19">
        <f>'增加值 (2001-2060, 2020RMB)'!L30*$B$73</f>
        <v>430.21670812444341</v>
      </c>
      <c r="M30" s="20">
        <f>'增加值 (2001-2060, 2020RMB)'!M30*$B$73</f>
        <v>445.60519760051397</v>
      </c>
      <c r="N30" s="20">
        <f>'增加值 (2001-2060, 2020RMB)'!N30*$B$73</f>
        <v>458.865417905372</v>
      </c>
      <c r="O30" s="20">
        <f>'增加值 (2001-2060, 2020RMB)'!O30*$B$73</f>
        <v>468.52251694999666</v>
      </c>
      <c r="P30" s="20">
        <f>'增加值 (2001-2060, 2020RMB)'!P30*$B$73</f>
        <v>468.04882510911114</v>
      </c>
      <c r="Q30" s="19">
        <f>'增加值 (2001-2060, 2020RMB)'!Q30*$B$73</f>
        <v>483.71081514868058</v>
      </c>
      <c r="R30" s="20">
        <f>'增加值 (2001-2060, 2020RMB)'!R30*$B$73</f>
        <v>510.18094586861395</v>
      </c>
      <c r="S30" s="20">
        <f>'增加值 (2001-2060, 2020RMB)'!S30*$B$73</f>
        <v>513.06629433986552</v>
      </c>
      <c r="T30" s="20">
        <f>'增加值 (2001-2060, 2020RMB)'!T30*$B$73</f>
        <v>515.4581519234448</v>
      </c>
      <c r="U30" s="21">
        <f>'增加值 (2001-2060, 2020RMB)'!U30*$B$73</f>
        <v>504.61954407507056</v>
      </c>
      <c r="V30" s="20">
        <f>'增加值 (2001-2060, 2020RMB)'!V30*$B$73</f>
        <v>558.50495491767742</v>
      </c>
      <c r="W30" s="20">
        <f>'增加值 (2001-2060, 2020RMB)'!W30*$B$73</f>
        <v>563.9431107539109</v>
      </c>
      <c r="X30" s="90">
        <f>'增加值 (2001-2060, 2020RMB)'!X30*$B$73</f>
        <v>565.45236744996112</v>
      </c>
      <c r="Y30" s="90">
        <f>'增加值 (2001-2060, 2020RMB)'!Y30*$B$73</f>
        <v>567.92281417286699</v>
      </c>
      <c r="Z30" s="90">
        <f>'增加值 (2001-2060, 2020RMB)'!Z30*$B$73</f>
        <v>570.98351594272674</v>
      </c>
      <c r="AA30" s="89">
        <f>'增加值 (2001-2060, 2020RMB)'!AA30*$B$73</f>
        <v>574.25819595684777</v>
      </c>
      <c r="AB30" s="90">
        <f>'增加值 (2001-2060, 2020RMB)'!AB30*$B$73</f>
        <v>577.36256269446881</v>
      </c>
      <c r="AC30" s="90">
        <f>'增加值 (2001-2060, 2020RMB)'!AC30*$B$73</f>
        <v>579.90417191830534</v>
      </c>
      <c r="AD30" s="90">
        <f>'增加值 (2001-2060, 2020RMB)'!AD30*$B$73</f>
        <v>581.48491323627695</v>
      </c>
      <c r="AE30" s="101">
        <f>'增加值 (2001-2060, 2020RMB)'!AE30*$B$73</f>
        <v>581.70618852081202</v>
      </c>
      <c r="AF30" s="90">
        <f>'增加值 (2001-2060, 2020RMB)'!AF30*$B$73</f>
        <v>580.28578610851343</v>
      </c>
      <c r="AG30" s="90">
        <f>'增加值 (2001-2060, 2020RMB)'!AG30*$B$73</f>
        <v>577.39041000221687</v>
      </c>
      <c r="AH30" s="90">
        <f>'增加值 (2001-2060, 2020RMB)'!AH30*$B$73</f>
        <v>573.30343687913489</v>
      </c>
      <c r="AI30" s="90">
        <f>'增加值 (2001-2060, 2020RMB)'!AI30*$B$73</f>
        <v>568.30938830195646</v>
      </c>
      <c r="AJ30" s="106">
        <f>'增加值 (2001-2060, 2020RMB)'!AJ30*$B$73</f>
        <v>562.68894479530081</v>
      </c>
      <c r="AK30" s="89">
        <f>'增加值 (2001-2060, 2020RMB)'!AK30*$B$73</f>
        <v>556.67317212766693</v>
      </c>
      <c r="AL30" s="90">
        <f>'增加值 (2001-2060, 2020RMB)'!AL30*$B$73</f>
        <v>550.31856754845739</v>
      </c>
      <c r="AM30" s="90">
        <f>'增加值 (2001-2060, 2020RMB)'!AM30*$B$73</f>
        <v>543.63917258259494</v>
      </c>
      <c r="AN30" s="90">
        <f>'增加值 (2001-2060, 2020RMB)'!AN30*$B$73</f>
        <v>536.64953783616295</v>
      </c>
      <c r="AO30" s="101">
        <f>'增加值 (2001-2060, 2020RMB)'!AO30*$B$73</f>
        <v>529.36467141485866</v>
      </c>
      <c r="AP30" s="90">
        <f>'增加值 (2001-2060, 2020RMB)'!AP30*$B$73</f>
        <v>521.7999865801055</v>
      </c>
      <c r="AQ30" s="90">
        <f>'增加值 (2001-2060, 2020RMB)'!AQ30*$B$73</f>
        <v>513.97124889047711</v>
      </c>
      <c r="AR30" s="90">
        <f>'增加值 (2001-2060, 2020RMB)'!AR30*$B$73</f>
        <v>505.89452307364115</v>
      </c>
      <c r="AS30" s="90">
        <f>'增加值 (2001-2060, 2020RMB)'!AS30*$B$73</f>
        <v>497.58611987003815</v>
      </c>
      <c r="AT30" s="90">
        <f>'增加值 (2001-2060, 2020RMB)'!AT30*$B$73</f>
        <v>489.06254308429448</v>
      </c>
      <c r="AU30" s="89">
        <f>'增加值 (2001-2060, 2020RMB)'!AU30*$B$73</f>
        <v>480.34043707379129</v>
      </c>
      <c r="AV30" s="90">
        <f>'增加值 (2001-2060, 2020RMB)'!AV30*$B$73</f>
        <v>471.43653489610745</v>
      </c>
      <c r="AW30" s="90">
        <f>'增加值 (2001-2060, 2020RMB)'!AW30*$B$73</f>
        <v>462.36760732818209</v>
      </c>
      <c r="AX30" s="90">
        <f>'增加值 (2001-2060, 2020RMB)'!AX30*$B$73</f>
        <v>453.15041296021286</v>
      </c>
      <c r="AY30" s="101">
        <f>'增加值 (2001-2060, 2020RMB)'!AY30*$B$73</f>
        <v>443.80164955647012</v>
      </c>
      <c r="AZ30" s="89">
        <f>'增加值 (2001-2060, 2020RMB)'!AZ30*$B$73</f>
        <v>434.33790686361448</v>
      </c>
      <c r="BA30" s="90">
        <f>'增加值 (2001-2060, 2020RMB)'!BA30*$B$73</f>
        <v>424.77562103470922</v>
      </c>
      <c r="BB30" s="90">
        <f>'增加值 (2001-2060, 2020RMB)'!BB30*$B$73</f>
        <v>415.13103082414932</v>
      </c>
      <c r="BC30" s="90">
        <f>'增加值 (2001-2060, 2020RMB)'!BC30*$B$73</f>
        <v>405.4201356952488</v>
      </c>
      <c r="BD30" s="101">
        <f>'增加值 (2001-2060, 2020RMB)'!BD30*$B$73</f>
        <v>395.65865596820311</v>
      </c>
      <c r="BE30" s="90">
        <f>'增加值 (2001-2060, 2020RMB)'!BE30*$B$73</f>
        <v>385.86199512202296</v>
      </c>
      <c r="BF30" s="90">
        <f>'增加值 (2001-2060, 2020RMB)'!BF30*$B$73</f>
        <v>376.04520434947426</v>
      </c>
      <c r="BG30" s="90">
        <f>'增加值 (2001-2060, 2020RMB)'!BG30*$B$73</f>
        <v>366.22294944956349</v>
      </c>
      <c r="BH30" s="90">
        <f>'增加值 (2001-2060, 2020RMB)'!BH30*$B$73</f>
        <v>356.40948012750113</v>
      </c>
      <c r="BI30" s="109">
        <f>'增加值 (2001-2060, 2020RMB)'!BI30*$B$73</f>
        <v>346.61860175760563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(2001-2060, 2020RMB)'!I31*$B$73</f>
        <v>132.30534533453411</v>
      </c>
      <c r="J31" s="20">
        <f>'增加值 (2001-2060, 2020RMB)'!J31*$B$73</f>
        <v>136.45452673148776</v>
      </c>
      <c r="K31" s="21">
        <f>'增加值 (2001-2060, 2020RMB)'!K31*$B$73</f>
        <v>152.25743267504157</v>
      </c>
      <c r="L31" s="19">
        <f>'增加值 (2001-2060, 2020RMB)'!L31*$B$73</f>
        <v>166.63708022402926</v>
      </c>
      <c r="M31" s="20">
        <f>'增加值 (2001-2060, 2020RMB)'!M31*$B$73</f>
        <v>174.65983518420302</v>
      </c>
      <c r="N31" s="20">
        <f>'增加值 (2001-2060, 2020RMB)'!N31*$B$73</f>
        <v>185.6645251013515</v>
      </c>
      <c r="O31" s="20">
        <f>'增加值 (2001-2060, 2020RMB)'!O31*$B$73</f>
        <v>195.80201081827016</v>
      </c>
      <c r="P31" s="20">
        <f>'增加值 (2001-2060, 2020RMB)'!P31*$B$73</f>
        <v>198.2046721022628</v>
      </c>
      <c r="Q31" s="19">
        <f>'增加值 (2001-2060, 2020RMB)'!Q31*$B$73</f>
        <v>205.2239061979808</v>
      </c>
      <c r="R31" s="20">
        <f>'增加值 (2001-2060, 2020RMB)'!R31*$B$73</f>
        <v>228.50270875026825</v>
      </c>
      <c r="S31" s="20">
        <f>'增加值 (2001-2060, 2020RMB)'!S31*$B$73</f>
        <v>242.53612456989296</v>
      </c>
      <c r="T31" s="20">
        <f>'增加值 (2001-2060, 2020RMB)'!T31*$B$73</f>
        <v>239.69143073965321</v>
      </c>
      <c r="U31" s="21">
        <f>'增加值 (2001-2060, 2020RMB)'!U31*$B$73</f>
        <v>227.23159947633118</v>
      </c>
      <c r="V31" s="20">
        <f>'增加值 (2001-2060, 2020RMB)'!V31*$B$73</f>
        <v>263.08931594356079</v>
      </c>
      <c r="W31" s="20">
        <f>'增加值 (2001-2060, 2020RMB)'!W31*$B$73</f>
        <v>268.32355876398901</v>
      </c>
      <c r="X31" s="90">
        <f>'增加值 (2001-2060, 2020RMB)'!X31*$B$73</f>
        <v>273.33681113416378</v>
      </c>
      <c r="Y31" s="90">
        <f>'增加值 (2001-2060, 2020RMB)'!Y31*$B$73</f>
        <v>278.23371442434996</v>
      </c>
      <c r="Z31" s="90">
        <f>'增加值 (2001-2060, 2020RMB)'!Z31*$B$73</f>
        <v>282.92223867181605</v>
      </c>
      <c r="AA31" s="89">
        <f>'增加值 (2001-2060, 2020RMB)'!AA31*$B$73</f>
        <v>287.30521565162752</v>
      </c>
      <c r="AB31" s="90">
        <f>'增加值 (2001-2060, 2020RMB)'!AB31*$B$73</f>
        <v>291.28117402879411</v>
      </c>
      <c r="AC31" s="90">
        <f>'增加值 (2001-2060, 2020RMB)'!AC31*$B$73</f>
        <v>294.74550772278849</v>
      </c>
      <c r="AD31" s="90">
        <f>'增加值 (2001-2060, 2020RMB)'!AD31*$B$73</f>
        <v>297.59198817877308</v>
      </c>
      <c r="AE31" s="101">
        <f>'增加值 (2001-2060, 2020RMB)'!AE31*$B$73</f>
        <v>299.71461920189859</v>
      </c>
      <c r="AF31" s="90">
        <f>'增加值 (2001-2060, 2020RMB)'!AF31*$B$73</f>
        <v>301.04552469888182</v>
      </c>
      <c r="AG31" s="90">
        <f>'增加值 (2001-2060, 2020RMB)'!AG31*$B$73</f>
        <v>301.66501109495647</v>
      </c>
      <c r="AH31" s="90">
        <f>'增加值 (2001-2060, 2020RMB)'!AH31*$B$73</f>
        <v>301.69540746132839</v>
      </c>
      <c r="AI31" s="90">
        <f>'增加值 (2001-2060, 2020RMB)'!AI31*$B$73</f>
        <v>301.26308930429093</v>
      </c>
      <c r="AJ31" s="106">
        <f>'增加值 (2001-2060, 2020RMB)'!AJ31*$B$73</f>
        <v>300.49627618462415</v>
      </c>
      <c r="AK31" s="89">
        <f>'增加值 (2001-2060, 2020RMB)'!AK31*$B$73</f>
        <v>299.50172928093048</v>
      </c>
      <c r="AL31" s="90">
        <f>'增加值 (2001-2060, 2020RMB)'!AL31*$B$73</f>
        <v>298.29940020297198</v>
      </c>
      <c r="AM31" s="90">
        <f>'增加值 (2001-2060, 2020RMB)'!AM31*$B$73</f>
        <v>296.88798321395905</v>
      </c>
      <c r="AN31" s="90">
        <f>'增加值 (2001-2060, 2020RMB)'!AN31*$B$73</f>
        <v>295.26667945774756</v>
      </c>
      <c r="AO31" s="101">
        <f>'增加值 (2001-2060, 2020RMB)'!AO31*$B$73</f>
        <v>293.43521306057005</v>
      </c>
      <c r="AP31" s="90">
        <f>'增加值 (2001-2060, 2020RMB)'!AP31*$B$73</f>
        <v>291.39384530836526</v>
      </c>
      <c r="AQ31" s="90">
        <f>'增加值 (2001-2060, 2020RMB)'!AQ31*$B$73</f>
        <v>289.14338674521514</v>
      </c>
      <c r="AR31" s="90">
        <f>'增加值 (2001-2060, 2020RMB)'!AR31*$B$73</f>
        <v>286.68520704657726</v>
      </c>
      <c r="AS31" s="90">
        <f>'增加值 (2001-2060, 2020RMB)'!AS31*$B$73</f>
        <v>284.02124253078051</v>
      </c>
      <c r="AT31" s="90">
        <f>'增加值 (2001-2060, 2020RMB)'!AT31*$B$73</f>
        <v>281.15400118361248</v>
      </c>
      <c r="AU31" s="89">
        <f>'增加值 (2001-2060, 2020RMB)'!AU31*$B$73</f>
        <v>278.08656508375549</v>
      </c>
      <c r="AV31" s="90">
        <f>'增加值 (2001-2060, 2020RMB)'!AV31*$B$73</f>
        <v>274.82259013125798</v>
      </c>
      <c r="AW31" s="90">
        <f>'增加值 (2001-2060, 2020RMB)'!AW31*$B$73</f>
        <v>271.36630299711715</v>
      </c>
      <c r="AX31" s="90">
        <f>'增加值 (2001-2060, 2020RMB)'!AX31*$B$73</f>
        <v>267.72249522927825</v>
      </c>
      <c r="AY31" s="101">
        <f>'增加值 (2001-2060, 2020RMB)'!AY31*$B$73</f>
        <v>263.89651446882948</v>
      </c>
      <c r="AZ31" s="89">
        <f>'增加值 (2001-2060, 2020RMB)'!AZ31*$B$73</f>
        <v>259.89425274979749</v>
      </c>
      <c r="BA31" s="90">
        <f>'增加值 (2001-2060, 2020RMB)'!BA31*$B$73</f>
        <v>255.72213187650448</v>
      </c>
      <c r="BB31" s="90">
        <f>'增加值 (2001-2060, 2020RMB)'!BB31*$B$73</f>
        <v>251.38708589384828</v>
      </c>
      <c r="BC31" s="90">
        <f>'增加值 (2001-2060, 2020RMB)'!BC31*$B$73</f>
        <v>246.89654068789577</v>
      </c>
      <c r="BD31" s="101">
        <f>'增加值 (2001-2060, 2020RMB)'!BD31*$B$73</f>
        <v>242.25839077662116</v>
      </c>
      <c r="BE31" s="90">
        <f>'增加值 (2001-2060, 2020RMB)'!BE31*$B$73</f>
        <v>237.48097337331669</v>
      </c>
      <c r="BF31" s="90">
        <f>'增加值 (2001-2060, 2020RMB)'!BF31*$B$73</f>
        <v>232.57303982788366</v>
      </c>
      <c r="BG31" s="90">
        <f>'增加值 (2001-2060, 2020RMB)'!BG31*$B$73</f>
        <v>227.54372457367174</v>
      </c>
      <c r="BH31" s="90">
        <f>'增加值 (2001-2060, 2020RMB)'!BH31*$B$73</f>
        <v>222.40251172952986</v>
      </c>
      <c r="BI31" s="109">
        <f>'增加值 (2001-2060, 2020RMB)'!BI31*$B$73</f>
        <v>217.15919952802469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(2001-2060, 2020RMB)'!I32*$B$73</f>
        <v>170.42468956755869</v>
      </c>
      <c r="J32" s="20">
        <f>'增加值 (2001-2060, 2020RMB)'!J32*$B$73</f>
        <v>173.66913344109759</v>
      </c>
      <c r="K32" s="21">
        <f>'增加值 (2001-2060, 2020RMB)'!K32*$B$73</f>
        <v>191.42075515659477</v>
      </c>
      <c r="L32" s="19">
        <f>'增加值 (2001-2060, 2020RMB)'!L32*$B$73</f>
        <v>206.37225177144529</v>
      </c>
      <c r="M32" s="20">
        <f>'增加值 (2001-2060, 2020RMB)'!M32*$B$73</f>
        <v>217.87978028933472</v>
      </c>
      <c r="N32" s="20">
        <f>'增加值 (2001-2060, 2020RMB)'!N32*$B$73</f>
        <v>234.91924084417857</v>
      </c>
      <c r="O32" s="20">
        <f>'增加值 (2001-2060, 2020RMB)'!O32*$B$73</f>
        <v>255.85414158302899</v>
      </c>
      <c r="P32" s="20">
        <f>'增加值 (2001-2060, 2020RMB)'!P32*$B$73</f>
        <v>256.80911821767586</v>
      </c>
      <c r="Q32" s="19">
        <f>'增加值 (2001-2060, 2020RMB)'!Q32*$B$73</f>
        <v>258.63590484068948</v>
      </c>
      <c r="R32" s="20">
        <f>'增加值 (2001-2060, 2020RMB)'!R32*$B$73</f>
        <v>285.61715157751394</v>
      </c>
      <c r="S32" s="20">
        <f>'增加值 (2001-2060, 2020RMB)'!S32*$B$73</f>
        <v>306.57089441525198</v>
      </c>
      <c r="T32" s="20">
        <f>'增加值 (2001-2060, 2020RMB)'!T32*$B$73</f>
        <v>298.83694300207299</v>
      </c>
      <c r="U32" s="21">
        <f>'增加值 (2001-2060, 2020RMB)'!U32*$B$73</f>
        <v>271.73919261461918</v>
      </c>
      <c r="V32" s="20">
        <f>'增加值 (2001-2060, 2020RMB)'!V32*$B$73</f>
        <v>325.08880077316945</v>
      </c>
      <c r="W32" s="20">
        <f>'增加值 (2001-2060, 2020RMB)'!W32*$B$73</f>
        <v>321.64947440422594</v>
      </c>
      <c r="X32" s="90">
        <f>'增加值 (2001-2060, 2020RMB)'!X32*$B$73</f>
        <v>325.55259431855853</v>
      </c>
      <c r="Y32" s="90">
        <f>'增加值 (2001-2060, 2020RMB)'!Y32*$B$73</f>
        <v>329.45034706844962</v>
      </c>
      <c r="Z32" s="90">
        <f>'增加值 (2001-2060, 2020RMB)'!Z32*$B$73</f>
        <v>333.2213620787968</v>
      </c>
      <c r="AA32" s="89">
        <f>'增加值 (2001-2060, 2020RMB)'!AA32*$B$73</f>
        <v>336.73892484470349</v>
      </c>
      <c r="AB32" s="90">
        <f>'增加值 (2001-2060, 2020RMB)'!AB32*$B$73</f>
        <v>339.87168846429273</v>
      </c>
      <c r="AC32" s="90">
        <f>'增加值 (2001-2060, 2020RMB)'!AC32*$B$73</f>
        <v>342.48487952286251</v>
      </c>
      <c r="AD32" s="90">
        <f>'增加值 (2001-2060, 2020RMB)'!AD32*$B$73</f>
        <v>344.44201702424215</v>
      </c>
      <c r="AE32" s="101">
        <f>'增加值 (2001-2060, 2020RMB)'!AE32*$B$73</f>
        <v>345.60714766477878</v>
      </c>
      <c r="AF32" s="90">
        <f>'增加值 (2001-2060, 2020RMB)'!AF32*$B$73</f>
        <v>345.89225929700893</v>
      </c>
      <c r="AG32" s="90">
        <f>'增加值 (2001-2060, 2020RMB)'!AG32*$B$73</f>
        <v>345.39383232154972</v>
      </c>
      <c r="AH32" s="90">
        <f>'增加值 (2001-2060, 2020RMB)'!AH32*$B$73</f>
        <v>344.25804273026631</v>
      </c>
      <c r="AI32" s="90">
        <f>'增加值 (2001-2060, 2020RMB)'!AI32*$B$73</f>
        <v>342.63329976140483</v>
      </c>
      <c r="AJ32" s="106">
        <f>'增加值 (2001-2060, 2020RMB)'!AJ32*$B$73</f>
        <v>340.66786837669122</v>
      </c>
      <c r="AK32" s="89">
        <f>'增加值 (2001-2060, 2020RMB)'!AK32*$B$73</f>
        <v>338.48389663839856</v>
      </c>
      <c r="AL32" s="90">
        <f>'增加值 (2001-2060, 2020RMB)'!AL32*$B$73</f>
        <v>336.1049492185885</v>
      </c>
      <c r="AM32" s="90">
        <f>'增加值 (2001-2060, 2020RMB)'!AM32*$B$73</f>
        <v>333.53054383992765</v>
      </c>
      <c r="AN32" s="90">
        <f>'增加值 (2001-2060, 2020RMB)'!AN32*$B$73</f>
        <v>330.76067964483479</v>
      </c>
      <c r="AO32" s="101">
        <f>'增加值 (2001-2060, 2020RMB)'!AO32*$B$73</f>
        <v>327.7958502981823</v>
      </c>
      <c r="AP32" s="90">
        <f>'增加值 (2001-2060, 2020RMB)'!AP32*$B$73</f>
        <v>324.63705534896428</v>
      </c>
      <c r="AQ32" s="90">
        <f>'增加值 (2001-2060, 2020RMB)'!AQ32*$B$73</f>
        <v>321.28580971344564</v>
      </c>
      <c r="AR32" s="90">
        <f>'增加值 (2001-2060, 2020RMB)'!AR32*$B$73</f>
        <v>317.74415114907214</v>
      </c>
      <c r="AS32" s="90">
        <f>'增加值 (2001-2060, 2020RMB)'!AS32*$B$73</f>
        <v>314.0146455965974</v>
      </c>
      <c r="AT32" s="90">
        <f>'增加值 (2001-2060, 2020RMB)'!AT32*$B$73</f>
        <v>310.10039027747411</v>
      </c>
      <c r="AU32" s="89">
        <f>'增加值 (2001-2060, 2020RMB)'!AU32*$B$73</f>
        <v>306.00501444455921</v>
      </c>
      <c r="AV32" s="90">
        <f>'增加值 (2001-2060, 2020RMB)'!AV32*$B$73</f>
        <v>301.73267769656258</v>
      </c>
      <c r="AW32" s="90">
        <f>'增加值 (2001-2060, 2020RMB)'!AW32*$B$73</f>
        <v>297.28806578036472</v>
      </c>
      <c r="AX32" s="90">
        <f>'增加值 (2001-2060, 2020RMB)'!AX32*$B$73</f>
        <v>292.67638382031254</v>
      </c>
      <c r="AY32" s="101">
        <f>'增加值 (2001-2060, 2020RMB)'!AY32*$B$73</f>
        <v>287.90334692974795</v>
      </c>
      <c r="AZ32" s="89">
        <f>'增加值 (2001-2060, 2020RMB)'!AZ32*$B$73</f>
        <v>282.97516817726932</v>
      </c>
      <c r="BA32" s="90">
        <f>'增加值 (2001-2060, 2020RMB)'!BA32*$B$73</f>
        <v>277.89854389842964</v>
      </c>
      <c r="BB32" s="90">
        <f>'增加值 (2001-2060, 2020RMB)'!BB32*$B$73</f>
        <v>272.68063636262468</v>
      </c>
      <c r="BC32" s="90">
        <f>'增加值 (2001-2060, 2020RMB)'!BC32*$B$73</f>
        <v>267.32905382462468</v>
      </c>
      <c r="BD32" s="101">
        <f>'增加值 (2001-2060, 2020RMB)'!BD32*$B$73</f>
        <v>261.85182801047466</v>
      </c>
      <c r="BE32" s="90">
        <f>'增加值 (2001-2060, 2020RMB)'!BE32*$B$73</f>
        <v>256.2573891080342</v>
      </c>
      <c r="BF32" s="90">
        <f>'增加值 (2001-2060, 2020RMB)'!BF32*$B$73</f>
        <v>250.55453835315842</v>
      </c>
      <c r="BG32" s="90">
        <f>'增加值 (2001-2060, 2020RMB)'!BG32*$B$73</f>
        <v>244.75241832318071</v>
      </c>
      <c r="BH32" s="90">
        <f>'增加值 (2001-2060, 2020RMB)'!BH32*$B$73</f>
        <v>238.86048106972808</v>
      </c>
      <c r="BI32" s="109">
        <f>'增加值 (2001-2060, 2020RMB)'!BI32*$B$73</f>
        <v>232.88845424280598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(2001-2060, 2020RMB)'!I33*$B$73</f>
        <v>637.16698879349872</v>
      </c>
      <c r="J33" s="20">
        <f>'增加值 (2001-2060, 2020RMB)'!J33*$B$73</f>
        <v>635.4050592414402</v>
      </c>
      <c r="K33" s="21">
        <f>'增加值 (2001-2060, 2020RMB)'!K33*$B$73</f>
        <v>676.28810522775109</v>
      </c>
      <c r="L33" s="19">
        <f>'增加值 (2001-2060, 2020RMB)'!L33*$B$73</f>
        <v>699.21935440753566</v>
      </c>
      <c r="M33" s="20">
        <f>'增加值 (2001-2060, 2020RMB)'!M33*$B$73</f>
        <v>707.5885313743712</v>
      </c>
      <c r="N33" s="20">
        <f>'增加值 (2001-2060, 2020RMB)'!N33*$B$73</f>
        <v>713.18461791746836</v>
      </c>
      <c r="O33" s="20">
        <f>'增加值 (2001-2060, 2020RMB)'!O33*$B$73</f>
        <v>720.67276491046107</v>
      </c>
      <c r="P33" s="20">
        <f>'增加值 (2001-2060, 2020RMB)'!P33*$B$73</f>
        <v>734.30200114359138</v>
      </c>
      <c r="Q33" s="19">
        <f>'增加值 (2001-2060, 2020RMB)'!Q33*$B$73</f>
        <v>764.60618968075028</v>
      </c>
      <c r="R33" s="20">
        <f>'增加值 (2001-2060, 2020RMB)'!R33*$B$73</f>
        <v>811.09142498845029</v>
      </c>
      <c r="S33" s="20">
        <f>'增加值 (2001-2060, 2020RMB)'!S33*$B$73</f>
        <v>859.28912273215599</v>
      </c>
      <c r="T33" s="20">
        <f>'增加值 (2001-2060, 2020RMB)'!T33*$B$73</f>
        <v>869.92301724643733</v>
      </c>
      <c r="U33" s="21">
        <f>'增加值 (2001-2060, 2020RMB)'!U33*$B$73</f>
        <v>847.42336584085638</v>
      </c>
      <c r="V33" s="20">
        <f>'增加值 (2001-2060, 2020RMB)'!V33*$B$73</f>
        <v>889.38677171330733</v>
      </c>
      <c r="W33" s="20">
        <f>'增加值 (2001-2060, 2020RMB)'!W33*$B$73</f>
        <v>857.39068108754168</v>
      </c>
      <c r="X33" s="90">
        <f>'增加值 (2001-2060, 2020RMB)'!X33*$B$73</f>
        <v>855.76841399234615</v>
      </c>
      <c r="Y33" s="90">
        <f>'增加值 (2001-2060, 2020RMB)'!Y33*$B$73</f>
        <v>855.75218651441389</v>
      </c>
      <c r="Z33" s="90">
        <f>'增加值 (2001-2060, 2020RMB)'!Z33*$B$73</f>
        <v>856.76800178028122</v>
      </c>
      <c r="AA33" s="89">
        <f>'增加值 (2001-2060, 2020RMB)'!AA33*$B$73</f>
        <v>858.24464189127161</v>
      </c>
      <c r="AB33" s="90">
        <f>'增加值 (2001-2060, 2020RMB)'!AB33*$B$73</f>
        <v>859.6086765357727</v>
      </c>
      <c r="AC33" s="90">
        <f>'增加值 (2001-2060, 2020RMB)'!AC33*$B$73</f>
        <v>860.28330082882371</v>
      </c>
      <c r="AD33" s="90">
        <f>'增加值 (2001-2060, 2020RMB)'!AD33*$B$73</f>
        <v>859.69102601120369</v>
      </c>
      <c r="AE33" s="101">
        <f>'增加值 (2001-2060, 2020RMB)'!AE33*$B$73</f>
        <v>857.26023225758115</v>
      </c>
      <c r="AF33" s="90">
        <f>'增加值 (2001-2060, 2020RMB)'!AF33*$B$73</f>
        <v>852.59322974078452</v>
      </c>
      <c r="AG33" s="90">
        <f>'增加值 (2001-2060, 2020RMB)'!AG33*$B$73</f>
        <v>845.94266434269127</v>
      </c>
      <c r="AH33" s="90">
        <f>'增加值 (2001-2060, 2020RMB)'!AH33*$B$73</f>
        <v>837.72427925161526</v>
      </c>
      <c r="AI33" s="90">
        <f>'增加值 (2001-2060, 2020RMB)'!AI33*$B$73</f>
        <v>828.34962260571137</v>
      </c>
      <c r="AJ33" s="106">
        <f>'增加值 (2001-2060, 2020RMB)'!AJ33*$B$73</f>
        <v>818.21970651596416</v>
      </c>
      <c r="AK33" s="89">
        <f>'增加值 (2001-2060, 2020RMB)'!AK33*$B$73</f>
        <v>807.66078089778239</v>
      </c>
      <c r="AL33" s="90">
        <f>'增加值 (2001-2060, 2020RMB)'!AL33*$B$73</f>
        <v>796.74869399773183</v>
      </c>
      <c r="AM33" s="90">
        <f>'增加值 (2001-2060, 2020RMB)'!AM33*$B$73</f>
        <v>785.49853726004062</v>
      </c>
      <c r="AN33" s="90">
        <f>'增加值 (2001-2060, 2020RMB)'!AN33*$B$73</f>
        <v>773.92594122789922</v>
      </c>
      <c r="AO33" s="101">
        <f>'增加值 (2001-2060, 2020RMB)'!AO33*$B$73</f>
        <v>762.0470369491261</v>
      </c>
      <c r="AP33" s="90">
        <f>'增加值 (2001-2060, 2020RMB)'!AP33*$B$73</f>
        <v>749.87841579590258</v>
      </c>
      <c r="AQ33" s="90">
        <f>'增加值 (2001-2060, 2020RMB)'!AQ33*$B$73</f>
        <v>737.43708784390356</v>
      </c>
      <c r="AR33" s="90">
        <f>'增加值 (2001-2060, 2020RMB)'!AR33*$B$73</f>
        <v>724.7404389634529</v>
      </c>
      <c r="AS33" s="90">
        <f>'增加值 (2001-2060, 2020RMB)'!AS33*$B$73</f>
        <v>711.8061867819149</v>
      </c>
      <c r="AT33" s="90">
        <f>'增加值 (2001-2060, 2020RMB)'!AT33*$B$73</f>
        <v>698.65233568234373</v>
      </c>
      <c r="AU33" s="89">
        <f>'增加值 (2001-2060, 2020RMB)'!AU33*$B$73</f>
        <v>685.29713100837523</v>
      </c>
      <c r="AV33" s="90">
        <f>'增加值 (2001-2060, 2020RMB)'!AV33*$B$73</f>
        <v>671.75901264952847</v>
      </c>
      <c r="AW33" s="90">
        <f>'增加值 (2001-2060, 2020RMB)'!AW33*$B$73</f>
        <v>658.05656818427371</v>
      </c>
      <c r="AX33" s="90">
        <f>'增加值 (2001-2060, 2020RMB)'!AX33*$B$73</f>
        <v>644.20848576061394</v>
      </c>
      <c r="AY33" s="101">
        <f>'增加值 (2001-2060, 2020RMB)'!AY33*$B$73</f>
        <v>630.23350689528354</v>
      </c>
      <c r="AZ33" s="89">
        <f>'增加值 (2001-2060, 2020RMB)'!AZ33*$B$73</f>
        <v>616.15037937317015</v>
      </c>
      <c r="BA33" s="90">
        <f>'增加值 (2001-2060, 2020RMB)'!BA33*$B$73</f>
        <v>601.97781042803206</v>
      </c>
      <c r="BB33" s="90">
        <f>'增加值 (2001-2060, 2020RMB)'!BB33*$B$73</f>
        <v>587.73442038413464</v>
      </c>
      <c r="BC33" s="90">
        <f>'增加值 (2001-2060, 2020RMB)'!BC33*$B$73</f>
        <v>573.43869693604472</v>
      </c>
      <c r="BD33" s="101">
        <f>'增加值 (2001-2060, 2020RMB)'!BD33*$B$73</f>
        <v>559.10895024042998</v>
      </c>
      <c r="BE33" s="90">
        <f>'增加值 (2001-2060, 2020RMB)'!BE33*$B$73</f>
        <v>544.76326898948844</v>
      </c>
      <c r="BF33" s="90">
        <f>'增加值 (2001-2060, 2020RMB)'!BF33*$B$73</f>
        <v>530.41947763041253</v>
      </c>
      <c r="BG33" s="90">
        <f>'增加值 (2001-2060, 2020RMB)'!BG33*$B$73</f>
        <v>516.09509488928234</v>
      </c>
      <c r="BH33" s="90">
        <f>'增加值 (2001-2060, 2020RMB)'!BH33*$B$73</f>
        <v>501.80729375088504</v>
      </c>
      <c r="BI33" s="109">
        <f>'增加值 (2001-2060, 2020RMB)'!BI33*$B$73</f>
        <v>487.57286303831773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(2001-2060, 2020RMB)'!I34*$B$73</f>
        <v>1419.8380757555262</v>
      </c>
      <c r="J34" s="20">
        <f>'增加值 (2001-2060, 2020RMB)'!J34*$B$73</f>
        <v>1542.4286998947809</v>
      </c>
      <c r="K34" s="21">
        <f>'增加值 (2001-2060, 2020RMB)'!K34*$B$73</f>
        <v>1730.0458304753768</v>
      </c>
      <c r="L34" s="19">
        <f>'增加值 (2001-2060, 2020RMB)'!L34*$B$73</f>
        <v>1906.7354752745023</v>
      </c>
      <c r="M34" s="20">
        <f>'增加值 (2001-2060, 2020RMB)'!M34*$B$73</f>
        <v>2027.5786033384431</v>
      </c>
      <c r="N34" s="20">
        <f>'增加值 (2001-2060, 2020RMB)'!N34*$B$73</f>
        <v>2159.1813020087934</v>
      </c>
      <c r="O34" s="20">
        <f>'增加值 (2001-2060, 2020RMB)'!O34*$B$73</f>
        <v>2283.2851622002017</v>
      </c>
      <c r="P34" s="20">
        <f>'增加值 (2001-2060, 2020RMB)'!P34*$B$73</f>
        <v>2371.9558120290712</v>
      </c>
      <c r="Q34" s="19">
        <f>'增加值 (2001-2060, 2020RMB)'!Q34*$B$73</f>
        <v>2492.9925213528795</v>
      </c>
      <c r="R34" s="20">
        <f>'增加值 (2001-2060, 2020RMB)'!R34*$B$73</f>
        <v>2619.3229436382521</v>
      </c>
      <c r="S34" s="20">
        <f>'增加值 (2001-2060, 2020RMB)'!S34*$B$73</f>
        <v>2701.9460856533151</v>
      </c>
      <c r="T34" s="20">
        <f>'增加值 (2001-2060, 2020RMB)'!T34*$B$73</f>
        <v>2727.5678902198274</v>
      </c>
      <c r="U34" s="21">
        <f>'增加值 (2001-2060, 2020RMB)'!U34*$B$73</f>
        <v>2728.2631047167106</v>
      </c>
      <c r="V34" s="20">
        <f>'增加值 (2001-2060, 2020RMB)'!V34*$B$73</f>
        <v>3059.367524259646</v>
      </c>
      <c r="W34" s="20">
        <f>'增加值 (2001-2060, 2020RMB)'!W34*$B$73</f>
        <v>3312.9183905035534</v>
      </c>
      <c r="X34" s="90">
        <f>'增加值 (2001-2060, 2020RMB)'!X34*$B$73</f>
        <v>3376.0315521688508</v>
      </c>
      <c r="Y34" s="90">
        <f>'增加值 (2001-2060, 2020RMB)'!Y34*$B$73</f>
        <v>3443.8798570645395</v>
      </c>
      <c r="Z34" s="90">
        <f>'增加值 (2001-2060, 2020RMB)'!Z34*$B$73</f>
        <v>3514.3143410021685</v>
      </c>
      <c r="AA34" s="89">
        <f>'增加值 (2001-2060, 2020RMB)'!AA34*$B$73</f>
        <v>3585.0045818236035</v>
      </c>
      <c r="AB34" s="90">
        <f>'增加值 (2001-2060, 2020RMB)'!AB34*$B$73</f>
        <v>3653.4292706502688</v>
      </c>
      <c r="AC34" s="90">
        <f>'增加值 (2001-2060, 2020RMB)'!AC34*$B$73</f>
        <v>3716.8835272034999</v>
      </c>
      <c r="AD34" s="90">
        <f>'增加值 (2001-2060, 2020RMB)'!AD34*$B$73</f>
        <v>3772.5051434917382</v>
      </c>
      <c r="AE34" s="101">
        <f>'增加值 (2001-2060, 2020RMB)'!AE34*$B$73</f>
        <v>3817.3216009461266</v>
      </c>
      <c r="AF34" s="90">
        <f>'增加值 (2001-2060, 2020RMB)'!AF34*$B$73</f>
        <v>3849.0811381071294</v>
      </c>
      <c r="AG34" s="90">
        <f>'增加值 (2001-2060, 2020RMB)'!AG34*$B$73</f>
        <v>3868.6567331031479</v>
      </c>
      <c r="AH34" s="90">
        <f>'增加值 (2001-2060, 2020RMB)'!AH34*$B$73</f>
        <v>3877.8370277362233</v>
      </c>
      <c r="AI34" s="90">
        <f>'增加值 (2001-2060, 2020RMB)'!AI34*$B$73</f>
        <v>3878.5245880130801</v>
      </c>
      <c r="AJ34" s="106">
        <f>'增加值 (2001-2060, 2020RMB)'!AJ34*$B$73</f>
        <v>3872.688770398755</v>
      </c>
      <c r="AK34" s="89">
        <f>'增加值 (2001-2060, 2020RMB)'!AK34*$B$73</f>
        <v>3862.0130607344363</v>
      </c>
      <c r="AL34" s="90">
        <f>'增加值 (2001-2060, 2020RMB)'!AL34*$B$73</f>
        <v>3846.9322872105886</v>
      </c>
      <c r="AM34" s="90">
        <f>'增加值 (2001-2060, 2020RMB)'!AM34*$B$73</f>
        <v>3827.579376407668</v>
      </c>
      <c r="AN34" s="90">
        <f>'增加值 (2001-2060, 2020RMB)'!AN34*$B$73</f>
        <v>3804.1000251857386</v>
      </c>
      <c r="AO34" s="101">
        <f>'增加值 (2001-2060, 2020RMB)'!AO34*$B$73</f>
        <v>3776.651454399871</v>
      </c>
      <c r="AP34" s="90">
        <f>'增加值 (2001-2060, 2020RMB)'!AP34*$B$73</f>
        <v>3745.4011377608572</v>
      </c>
      <c r="AQ34" s="90">
        <f>'增加值 (2001-2060, 2020RMB)'!AQ34*$B$73</f>
        <v>3710.525517783025</v>
      </c>
      <c r="AR34" s="90">
        <f>'增加值 (2001-2060, 2020RMB)'!AR34*$B$73</f>
        <v>3672.2087202155603</v>
      </c>
      <c r="AS34" s="90">
        <f>'增加值 (2001-2060, 2020RMB)'!AS34*$B$73</f>
        <v>3630.6412777089968</v>
      </c>
      <c r="AT34" s="90">
        <f>'增加值 (2001-2060, 2020RMB)'!AT34*$B$73</f>
        <v>3586.0188727415307</v>
      </c>
      <c r="AU34" s="89">
        <f>'增加值 (2001-2060, 2020RMB)'!AU34*$B$73</f>
        <v>3538.5411090352732</v>
      </c>
      <c r="AV34" s="90">
        <f>'增加值 (2001-2060, 2020RMB)'!AV34*$B$73</f>
        <v>3488.4103198455427</v>
      </c>
      <c r="AW34" s="90">
        <f>'增加值 (2001-2060, 2020RMB)'!AW34*$B$73</f>
        <v>3435.8304206221237</v>
      </c>
      <c r="AX34" s="90">
        <f>'增加值 (2001-2060, 2020RMB)'!AX34*$B$73</f>
        <v>3381.005812633749</v>
      </c>
      <c r="AY34" s="101">
        <f>'增加值 (2001-2060, 2020RMB)'!AY34*$B$73</f>
        <v>3324.1403432300199</v>
      </c>
      <c r="AZ34" s="89">
        <f>'增加值 (2001-2060, 2020RMB)'!AZ34*$B$73</f>
        <v>3265.4363274999428</v>
      </c>
      <c r="BA34" s="90">
        <f>'增加值 (2001-2060, 2020RMB)'!BA34*$B$73</f>
        <v>3205.0936351861055</v>
      </c>
      <c r="BB34" s="90">
        <f>'增加值 (2001-2060, 2020RMB)'!BB34*$B$73</f>
        <v>3143.3088458367374</v>
      </c>
      <c r="BC34" s="90">
        <f>'增加值 (2001-2060, 2020RMB)'!BC34*$B$73</f>
        <v>3080.2744743355024</v>
      </c>
      <c r="BD34" s="101">
        <f>'增加值 (2001-2060, 2020RMB)'!BD34*$B$73</f>
        <v>3016.1782681465847</v>
      </c>
      <c r="BE34" s="90">
        <f>'增加值 (2001-2060, 2020RMB)'!BE34*$B$73</f>
        <v>2951.2025768589856</v>
      </c>
      <c r="BF34" s="90">
        <f>'增加值 (2001-2060, 2020RMB)'!BF34*$B$73</f>
        <v>2885.5237939124131</v>
      </c>
      <c r="BG34" s="90">
        <f>'增加值 (2001-2060, 2020RMB)'!BG34*$B$73</f>
        <v>2819.311869743306</v>
      </c>
      <c r="BH34" s="90">
        <f>'增加值 (2001-2060, 2020RMB)'!BH34*$B$73</f>
        <v>2752.7298950052905</v>
      </c>
      <c r="BI34" s="109">
        <f>'增加值 (2001-2060, 2020RMB)'!BI34*$B$73</f>
        <v>2685.9337519962496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(2001-2060, 2020RMB)'!I35*$B$73</f>
        <v>483.71746576031296</v>
      </c>
      <c r="J35" s="20">
        <f>'增加值 (2001-2060, 2020RMB)'!J35*$B$73</f>
        <v>526.39931856443491</v>
      </c>
      <c r="K35" s="21">
        <f>'增加值 (2001-2060, 2020RMB)'!K35*$B$73</f>
        <v>588.89561954508417</v>
      </c>
      <c r="L35" s="19">
        <f>'增加值 (2001-2060, 2020RMB)'!L35*$B$73</f>
        <v>667.14701885654767</v>
      </c>
      <c r="M35" s="20">
        <f>'增加值 (2001-2060, 2020RMB)'!M35*$B$73</f>
        <v>727.21213278788082</v>
      </c>
      <c r="N35" s="20">
        <f>'增加值 (2001-2060, 2020RMB)'!N35*$B$73</f>
        <v>784.08433283869726</v>
      </c>
      <c r="O35" s="20">
        <f>'增加值 (2001-2060, 2020RMB)'!O35*$B$73</f>
        <v>844.18584088878629</v>
      </c>
      <c r="P35" s="20">
        <f>'增加值 (2001-2060, 2020RMB)'!P35*$B$73</f>
        <v>880.17306998213451</v>
      </c>
      <c r="Q35" s="19">
        <f>'增加值 (2001-2060, 2020RMB)'!Q35*$B$73</f>
        <v>951.71412557052213</v>
      </c>
      <c r="R35" s="20">
        <f>'增加值 (2001-2060, 2020RMB)'!R35*$B$73</f>
        <v>1082.788275133966</v>
      </c>
      <c r="S35" s="20">
        <f>'增加值 (2001-2060, 2020RMB)'!S35*$B$73</f>
        <v>1182.709399569696</v>
      </c>
      <c r="T35" s="20">
        <f>'增加值 (2001-2060, 2020RMB)'!T35*$B$73</f>
        <v>1215.5909598218193</v>
      </c>
      <c r="U35" s="21">
        <f>'增加值 (2001-2060, 2020RMB)'!U35*$B$73</f>
        <v>1245.2987832640374</v>
      </c>
      <c r="V35" s="20">
        <f>'增加值 (2001-2060, 2020RMB)'!V35*$B$73</f>
        <v>1618.1465370188198</v>
      </c>
      <c r="W35" s="20">
        <f>'增加值 (2001-2060, 2020RMB)'!W35*$B$73</f>
        <v>1587.8769898349155</v>
      </c>
      <c r="X35" s="90">
        <f>'增加值 (2001-2060, 2020RMB)'!X35*$B$73</f>
        <v>1695.9523347659397</v>
      </c>
      <c r="Y35" s="90">
        <f>'增加值 (2001-2060, 2020RMB)'!Y35*$B$73</f>
        <v>1806.6730444367097</v>
      </c>
      <c r="Z35" s="90">
        <f>'增加值 (2001-2060, 2020RMB)'!Z35*$B$73</f>
        <v>1919.7507505879489</v>
      </c>
      <c r="AA35" s="89">
        <f>'增加值 (2001-2060, 2020RMB)'!AA35*$B$73</f>
        <v>2034.8842380209207</v>
      </c>
      <c r="AB35" s="90">
        <f>'增加值 (2001-2060, 2020RMB)'!AB35*$B$73</f>
        <v>2151.762687790273</v>
      </c>
      <c r="AC35" s="90">
        <f>'增加值 (2001-2060, 2020RMB)'!AC35*$B$73</f>
        <v>2270.0690223416295</v>
      </c>
      <c r="AD35" s="90">
        <f>'增加值 (2001-2060, 2020RMB)'!AD35*$B$73</f>
        <v>2389.4833001086818</v>
      </c>
      <c r="AE35" s="101">
        <f>'增加值 (2001-2060, 2020RMB)'!AE35*$B$73</f>
        <v>2509.6861081914726</v>
      </c>
      <c r="AF35" s="90">
        <f>'增加值 (2001-2060, 2020RMB)'!AF35*$B$73</f>
        <v>2630.3482088743081</v>
      </c>
      <c r="AG35" s="90">
        <f>'增加值 (2001-2060, 2020RMB)'!AG35*$B$73</f>
        <v>2751.0876677581568</v>
      </c>
      <c r="AH35" s="90">
        <f>'增加值 (2001-2060, 2020RMB)'!AH35*$B$73</f>
        <v>2871.5052720378776</v>
      </c>
      <c r="AI35" s="90">
        <f>'增加值 (2001-2060, 2020RMB)'!AI35*$B$73</f>
        <v>2991.2000792264153</v>
      </c>
      <c r="AJ35" s="106">
        <f>'增加值 (2001-2060, 2020RMB)'!AJ35*$B$73</f>
        <v>3109.7725258703199</v>
      </c>
      <c r="AK35" s="89">
        <f>'增加值 (2001-2060, 2020RMB)'!AK35*$B$73</f>
        <v>3226.836632594514</v>
      </c>
      <c r="AL35" s="90">
        <f>'增加值 (2001-2060, 2020RMB)'!AL35*$B$73</f>
        <v>3342.0530105269445</v>
      </c>
      <c r="AM35" s="90">
        <f>'增加值 (2001-2060, 2020RMB)'!AM35*$B$73</f>
        <v>3455.108741459906</v>
      </c>
      <c r="AN35" s="90">
        <f>'增加值 (2001-2060, 2020RMB)'!AN35*$B$73</f>
        <v>3565.7112229458253</v>
      </c>
      <c r="AO35" s="101">
        <f>'增加值 (2001-2060, 2020RMB)'!AO35*$B$73</f>
        <v>3673.5902035159484</v>
      </c>
      <c r="AP35" s="90">
        <f>'增加值 (2001-2060, 2020RMB)'!AP35*$B$73</f>
        <v>3778.4995275801598</v>
      </c>
      <c r="AQ35" s="90">
        <f>'增加值 (2001-2060, 2020RMB)'!AQ35*$B$73</f>
        <v>3880.2185818201524</v>
      </c>
      <c r="AR35" s="90">
        <f>'增加值 (2001-2060, 2020RMB)'!AR35*$B$73</f>
        <v>3978.5534401199529</v>
      </c>
      <c r="AS35" s="90">
        <f>'增加值 (2001-2060, 2020RMB)'!AS35*$B$73</f>
        <v>4073.3377090382687</v>
      </c>
      <c r="AT35" s="90">
        <f>'增加值 (2001-2060, 2020RMB)'!AT35*$B$73</f>
        <v>4164.433080433233</v>
      </c>
      <c r="AU35" s="89">
        <f>'增加值 (2001-2060, 2020RMB)'!AU35*$B$73</f>
        <v>4251.7296020351178</v>
      </c>
      <c r="AV35" s="90">
        <f>'增加值 (2001-2060, 2020RMB)'!AV35*$B$73</f>
        <v>4335.1456804715617</v>
      </c>
      <c r="AW35" s="90">
        <f>'增加值 (2001-2060, 2020RMB)'!AW35*$B$73</f>
        <v>4414.6278344491884</v>
      </c>
      <c r="AX35" s="90">
        <f>'增加值 (2001-2060, 2020RMB)'!AX35*$B$73</f>
        <v>4490.1502184620285</v>
      </c>
      <c r="AY35" s="101">
        <f>'增加值 (2001-2060, 2020RMB)'!AY35*$B$73</f>
        <v>4561.7139395254362</v>
      </c>
      <c r="AZ35" s="89">
        <f>'增加值 (2001-2060, 2020RMB)'!AZ35*$B$73</f>
        <v>4629.3461910297501</v>
      </c>
      <c r="BA35" s="90">
        <f>'增加值 (2001-2060, 2020RMB)'!BA35*$B$73</f>
        <v>4693.0992288898378</v>
      </c>
      <c r="BB35" s="90">
        <f>'增加值 (2001-2060, 2020RMB)'!BB35*$B$73</f>
        <v>4753.0492157624913</v>
      </c>
      <c r="BC35" s="90">
        <f>'增加值 (2001-2060, 2020RMB)'!BC35*$B$73</f>
        <v>4809.294959250301</v>
      </c>
      <c r="BD35" s="101">
        <f>'增加值 (2001-2060, 2020RMB)'!BD35*$B$73</f>
        <v>4861.9565697513663</v>
      </c>
      <c r="BE35" s="90">
        <f>'增加值 (2001-2060, 2020RMB)'!BE35*$B$73</f>
        <v>4911.174062997311</v>
      </c>
      <c r="BF35" s="90">
        <f>'增加值 (2001-2060, 2020RMB)'!BF35*$B$73</f>
        <v>4957.1059313984561</v>
      </c>
      <c r="BG35" s="90">
        <f>'增加值 (2001-2060, 2020RMB)'!BG35*$B$73</f>
        <v>4999.9277071380284</v>
      </c>
      <c r="BH35" s="90">
        <f>'增加值 (2001-2060, 2020RMB)'!BH35*$B$73</f>
        <v>5039.8305385806925</v>
      </c>
      <c r="BI35" s="109">
        <f>'增加值 (2001-2060, 2020RMB)'!BI35*$B$73</f>
        <v>5077.0198000359987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(2001-2060, 2020RMB)'!I36*$B$73</f>
        <v>118.34009269006653</v>
      </c>
      <c r="J36" s="20">
        <f>'增加值 (2001-2060, 2020RMB)'!J36*$B$73</f>
        <v>123.62182795184819</v>
      </c>
      <c r="K36" s="21">
        <f>'增加值 (2001-2060, 2020RMB)'!K36*$B$73</f>
        <v>133.37663196120397</v>
      </c>
      <c r="L36" s="19">
        <f>'增加值 (2001-2060, 2020RMB)'!L36*$B$73</f>
        <v>142.25650870419096</v>
      </c>
      <c r="M36" s="20">
        <f>'增加值 (2001-2060, 2020RMB)'!M36*$B$73</f>
        <v>153.16827823699467</v>
      </c>
      <c r="N36" s="20">
        <f>'增加值 (2001-2060, 2020RMB)'!N36*$B$73</f>
        <v>160.49079984258429</v>
      </c>
      <c r="O36" s="20">
        <f>'增加值 (2001-2060, 2020RMB)'!O36*$B$73</f>
        <v>166.94576669297967</v>
      </c>
      <c r="P36" s="20">
        <f>'增加值 (2001-2060, 2020RMB)'!P36*$B$73</f>
        <v>176.1215580414071</v>
      </c>
      <c r="Q36" s="19">
        <f>'增加值 (2001-2060, 2020RMB)'!Q36*$B$73</f>
        <v>182.35873919401584</v>
      </c>
      <c r="R36" s="20">
        <f>'增加值 (2001-2060, 2020RMB)'!R36*$B$73</f>
        <v>195.29133151703161</v>
      </c>
      <c r="S36" s="20">
        <f>'增加值 (2001-2060, 2020RMB)'!S36*$B$73</f>
        <v>209.22959491007907</v>
      </c>
      <c r="T36" s="20">
        <f>'增加值 (2001-2060, 2020RMB)'!T36*$B$73</f>
        <v>225.7383827465211</v>
      </c>
      <c r="U36" s="21">
        <f>'增加值 (2001-2060, 2020RMB)'!U36*$B$73</f>
        <v>223.1754643875409</v>
      </c>
      <c r="V36" s="20">
        <f>'增加值 (2001-2060, 2020RMB)'!V36*$B$73</f>
        <v>249.09839628267974</v>
      </c>
      <c r="W36" s="20">
        <f>'增加值 (2001-2060, 2020RMB)'!W36*$B$73</f>
        <v>255.82558027423454</v>
      </c>
      <c r="X36" s="90">
        <f>'增加值 (2001-2060, 2020RMB)'!X36*$B$73</f>
        <v>262.44032722337391</v>
      </c>
      <c r="Y36" s="90">
        <f>'增加值 (2001-2060, 2020RMB)'!Y36*$B$73</f>
        <v>269.4302854775483</v>
      </c>
      <c r="Z36" s="90">
        <f>'增加值 (2001-2060, 2020RMB)'!Z36*$B$73</f>
        <v>276.62759655943853</v>
      </c>
      <c r="AA36" s="89">
        <f>'增加值 (2001-2060, 2020RMB)'!AA36*$B$73</f>
        <v>283.84540012973201</v>
      </c>
      <c r="AB36" s="90">
        <f>'增加值 (2001-2060, 2020RMB)'!AB36*$B$73</f>
        <v>290.8770763095456</v>
      </c>
      <c r="AC36" s="90">
        <f>'增加值 (2001-2060, 2020RMB)'!AC36*$B$73</f>
        <v>297.49688592747771</v>
      </c>
      <c r="AD36" s="90">
        <f>'增加值 (2001-2060, 2020RMB)'!AD36*$B$73</f>
        <v>303.46223868220289</v>
      </c>
      <c r="AE36" s="101">
        <f>'增加值 (2001-2060, 2020RMB)'!AE36*$B$73</f>
        <v>308.51778853784327</v>
      </c>
      <c r="AF36" s="90">
        <f>'增加值 (2001-2060, 2020RMB)'!AF36*$B$73</f>
        <v>312.46466664106111</v>
      </c>
      <c r="AG36" s="90">
        <f>'增加值 (2001-2060, 2020RMB)'!AG36*$B$73</f>
        <v>315.36238122738314</v>
      </c>
      <c r="AH36" s="90">
        <f>'增加值 (2001-2060, 2020RMB)'!AH36*$B$73</f>
        <v>317.34967537414968</v>
      </c>
      <c r="AI36" s="90">
        <f>'增加值 (2001-2060, 2020RMB)'!AI36*$B$73</f>
        <v>318.57842823041483</v>
      </c>
      <c r="AJ36" s="106">
        <f>'增加值 (2001-2060, 2020RMB)'!AJ36*$B$73</f>
        <v>319.20945068059024</v>
      </c>
      <c r="AK36" s="89">
        <f>'增加值 (2001-2060, 2020RMB)'!AK36*$B$73</f>
        <v>319.38222450312861</v>
      </c>
      <c r="AL36" s="90">
        <f>'增加值 (2001-2060, 2020RMB)'!AL36*$B$73</f>
        <v>319.13204323174409</v>
      </c>
      <c r="AM36" s="90">
        <f>'增加值 (2001-2060, 2020RMB)'!AM36*$B$73</f>
        <v>318.46918966618853</v>
      </c>
      <c r="AN36" s="90">
        <f>'增加值 (2001-2060, 2020RMB)'!AN36*$B$73</f>
        <v>317.40549391284566</v>
      </c>
      <c r="AO36" s="101">
        <f>'增加值 (2001-2060, 2020RMB)'!AO36*$B$73</f>
        <v>315.9541987096087</v>
      </c>
      <c r="AP36" s="90">
        <f>'增加值 (2001-2060, 2020RMB)'!AP36*$B$73</f>
        <v>314.12981983040686</v>
      </c>
      <c r="AQ36" s="90">
        <f>'增加值 (2001-2060, 2020RMB)'!AQ36*$B$73</f>
        <v>311.94800321643049</v>
      </c>
      <c r="AR36" s="90">
        <f>'增加值 (2001-2060, 2020RMB)'!AR36*$B$73</f>
        <v>309.42538041684674</v>
      </c>
      <c r="AS36" s="90">
        <f>'增加值 (2001-2060, 2020RMB)'!AS36*$B$73</f>
        <v>306.57942384039791</v>
      </c>
      <c r="AT36" s="90">
        <f>'增加值 (2001-2060, 2020RMB)'!AT36*$B$73</f>
        <v>303.42830322330337</v>
      </c>
      <c r="AU36" s="89">
        <f>'增加值 (2001-2060, 2020RMB)'!AU36*$B$73</f>
        <v>299.99074461093295</v>
      </c>
      <c r="AV36" s="90">
        <f>'增加值 (2001-2060, 2020RMB)'!AV36*$B$73</f>
        <v>296.28589303343927</v>
      </c>
      <c r="AW36" s="90">
        <f>'增加值 (2001-2060, 2020RMB)'!AW36*$B$73</f>
        <v>292.33317993144937</v>
      </c>
      <c r="AX36" s="90">
        <f>'增加值 (2001-2060, 2020RMB)'!AX36*$B$73</f>
        <v>288.1521962594536</v>
      </c>
      <c r="AY36" s="101">
        <f>'增加值 (2001-2060, 2020RMB)'!AY36*$B$73</f>
        <v>283.76257206403989</v>
      </c>
      <c r="AZ36" s="89">
        <f>'增加值 (2001-2060, 2020RMB)'!AZ36*$B$73</f>
        <v>279.18386320365801</v>
      </c>
      <c r="BA36" s="90">
        <f>'增加值 (2001-2060, 2020RMB)'!BA36*$B$73</f>
        <v>274.43544574817224</v>
      </c>
      <c r="BB36" s="90">
        <f>'增加值 (2001-2060, 2020RMB)'!BB36*$B$73</f>
        <v>269.53641847172105</v>
      </c>
      <c r="BC36" s="90">
        <f>'增加值 (2001-2060, 2020RMB)'!BC36*$B$73</f>
        <v>264.50551373288255</v>
      </c>
      <c r="BD36" s="101">
        <f>'增加值 (2001-2060, 2020RMB)'!BD36*$B$73</f>
        <v>259.36101692310439</v>
      </c>
      <c r="BE36" s="90">
        <f>'增加值 (2001-2060, 2020RMB)'!BE36*$B$73</f>
        <v>254.12069455880231</v>
      </c>
      <c r="BF36" s="90">
        <f>'增加值 (2001-2060, 2020RMB)'!BF36*$B$73</f>
        <v>248.80173099532496</v>
      </c>
      <c r="BG36" s="90">
        <f>'增加值 (2001-2060, 2020RMB)'!BG36*$B$73</f>
        <v>243.42067365266178</v>
      </c>
      <c r="BH36" s="90">
        <f>'增加值 (2001-2060, 2020RMB)'!BH36*$B$73</f>
        <v>237.9933865637785</v>
      </c>
      <c r="BI36" s="109">
        <f>'增加值 (2001-2060, 2020RMB)'!BI36*$B$73</f>
        <v>232.53501198696085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(2001-2060, 2020RMB)'!I37*$B$73</f>
        <v>538.98023258366788</v>
      </c>
      <c r="J37" s="20">
        <f>'增加值 (2001-2060, 2020RMB)'!J37*$B$73</f>
        <v>572.48796307215707</v>
      </c>
      <c r="K37" s="21">
        <f>'增加值 (2001-2060, 2020RMB)'!K37*$B$73</f>
        <v>653.24298216813247</v>
      </c>
      <c r="L37" s="19">
        <f>'增加值 (2001-2060, 2020RMB)'!L37*$B$73</f>
        <v>708.3464748598501</v>
      </c>
      <c r="M37" s="20">
        <f>'增加值 (2001-2060, 2020RMB)'!M37*$B$73</f>
        <v>742.44987001693801</v>
      </c>
      <c r="N37" s="20">
        <f>'增加值 (2001-2060, 2020RMB)'!N37*$B$73</f>
        <v>780.76539254799661</v>
      </c>
      <c r="O37" s="20">
        <f>'增加值 (2001-2060, 2020RMB)'!O37*$B$73</f>
        <v>812.91644925741389</v>
      </c>
      <c r="P37" s="20">
        <f>'增加值 (2001-2060, 2020RMB)'!P37*$B$73</f>
        <v>832.14628132368648</v>
      </c>
      <c r="Q37" s="19">
        <f>'增加值 (2001-2060, 2020RMB)'!Q37*$B$73</f>
        <v>873.79715493180709</v>
      </c>
      <c r="R37" s="20">
        <f>'增加值 (2001-2060, 2020RMB)'!R37*$B$73</f>
        <v>940.18779422073999</v>
      </c>
      <c r="S37" s="20">
        <f>'增加值 (2001-2060, 2020RMB)'!S37*$B$73</f>
        <v>966.10022318768188</v>
      </c>
      <c r="T37" s="20">
        <f>'增加值 (2001-2060, 2020RMB)'!T37*$B$73</f>
        <v>976.19296521477702</v>
      </c>
      <c r="U37" s="21">
        <f>'增加值 (2001-2060, 2020RMB)'!U37*$B$73</f>
        <v>961.33243098481523</v>
      </c>
      <c r="V37" s="20">
        <f>'增加值 (2001-2060, 2020RMB)'!V37*$B$73</f>
        <v>1063.9875770412123</v>
      </c>
      <c r="W37" s="20">
        <f>'增加值 (2001-2060, 2020RMB)'!W37*$B$73</f>
        <v>1061.3776196365975</v>
      </c>
      <c r="X37" s="90">
        <f>'增加值 (2001-2060, 2020RMB)'!X37*$B$73</f>
        <v>1070.9375224902367</v>
      </c>
      <c r="Y37" s="90">
        <f>'增加值 (2001-2060, 2020RMB)'!Y37*$B$73</f>
        <v>1080.7198665547423</v>
      </c>
      <c r="Z37" s="90">
        <f>'增加值 (2001-2060, 2020RMB)'!Z37*$B$73</f>
        <v>1090.3002566934497</v>
      </c>
      <c r="AA37" s="89">
        <f>'增加值 (2001-2060, 2020RMB)'!AA37*$B$73</f>
        <v>1099.2393386800609</v>
      </c>
      <c r="AB37" s="90">
        <f>'增加值 (2001-2060, 2020RMB)'!AB37*$B$73</f>
        <v>1107.0844930587778</v>
      </c>
      <c r="AC37" s="90">
        <f>'增加值 (2001-2060, 2020RMB)'!AC37*$B$73</f>
        <v>1113.3733452131432</v>
      </c>
      <c r="AD37" s="90">
        <f>'增加值 (2001-2060, 2020RMB)'!AD37*$B$73</f>
        <v>1117.6391538235962</v>
      </c>
      <c r="AE37" s="101">
        <f>'增加值 (2001-2060, 2020RMB)'!AE37*$B$73</f>
        <v>1119.418089580249</v>
      </c>
      <c r="AF37" s="90">
        <f>'增加值 (2001-2060, 2020RMB)'!AF37*$B$73</f>
        <v>1118.4085074743016</v>
      </c>
      <c r="AG37" s="90">
        <f>'增加值 (2001-2060, 2020RMB)'!AG37*$B$73</f>
        <v>1114.9279234704088</v>
      </c>
      <c r="AH37" s="90">
        <f>'增加值 (2001-2060, 2020RMB)'!AH37*$B$73</f>
        <v>1109.4567779261477</v>
      </c>
      <c r="AI37" s="90">
        <f>'增加值 (2001-2060, 2020RMB)'!AI37*$B$73</f>
        <v>1102.4789924700142</v>
      </c>
      <c r="AJ37" s="106">
        <f>'增加值 (2001-2060, 2020RMB)'!AJ37*$B$73</f>
        <v>1094.4745648465353</v>
      </c>
      <c r="AK37" s="89">
        <f>'增加值 (2001-2060, 2020RMB)'!AK37*$B$73</f>
        <v>1085.8368486925731</v>
      </c>
      <c r="AL37" s="90">
        <f>'增加值 (2001-2060, 2020RMB)'!AL37*$B$73</f>
        <v>1076.6422369449856</v>
      </c>
      <c r="AM37" s="90">
        <f>'增加值 (2001-2060, 2020RMB)'!AM37*$B$73</f>
        <v>1066.8899658216028</v>
      </c>
      <c r="AN37" s="90">
        <f>'增加值 (2001-2060, 2020RMB)'!AN37*$B$73</f>
        <v>1056.5806967654157</v>
      </c>
      <c r="AO37" s="101">
        <f>'增加值 (2001-2060, 2020RMB)'!AO37*$B$73</f>
        <v>1045.7165521339982</v>
      </c>
      <c r="AP37" s="90">
        <f>'增加值 (2001-2060, 2020RMB)'!AP37*$B$73</f>
        <v>1034.3011459076693</v>
      </c>
      <c r="AQ37" s="90">
        <f>'增加值 (2001-2060, 2020RMB)'!AQ37*$B$73</f>
        <v>1022.3396090191317</v>
      </c>
      <c r="AR37" s="90">
        <f>'增加值 (2001-2060, 2020RMB)'!AR37*$B$73</f>
        <v>1009.8386089259018</v>
      </c>
      <c r="AS37" s="90">
        <f>'增加值 (2001-2060, 2020RMB)'!AS37*$B$73</f>
        <v>996.80636306949123</v>
      </c>
      <c r="AT37" s="90">
        <f>'增加值 (2001-2060, 2020RMB)'!AT37*$B$73</f>
        <v>983.25264589191374</v>
      </c>
      <c r="AU37" s="89">
        <f>'增加值 (2001-2060, 2020RMB)'!AU37*$B$73</f>
        <v>969.1887891110423</v>
      </c>
      <c r="AV37" s="90">
        <f>'增加值 (2001-2060, 2020RMB)'!AV37*$B$73</f>
        <v>954.62767499094593</v>
      </c>
      <c r="AW37" s="90">
        <f>'增加值 (2001-2060, 2020RMB)'!AW37*$B$73</f>
        <v>939.58372238206891</v>
      </c>
      <c r="AX37" s="90">
        <f>'增加值 (2001-2060, 2020RMB)'!AX37*$B$73</f>
        <v>924.07286534849482</v>
      </c>
      <c r="AY37" s="101">
        <f>'增加值 (2001-2060, 2020RMB)'!AY37*$B$73</f>
        <v>908.11252424537668</v>
      </c>
      <c r="AZ37" s="89">
        <f>'增加值 (2001-2060, 2020RMB)'!AZ37*$B$73</f>
        <v>891.72156915879089</v>
      </c>
      <c r="BA37" s="90">
        <f>'增加值 (2001-2060, 2020RMB)'!BA37*$B$73</f>
        <v>874.92027567230616</v>
      </c>
      <c r="BB37" s="90">
        <f>'增加值 (2001-2060, 2020RMB)'!BB37*$B$73</f>
        <v>857.73027297915462</v>
      </c>
      <c r="BC37" s="90">
        <f>'增加值 (2001-2060, 2020RMB)'!BC37*$B$73</f>
        <v>840.17448441570639</v>
      </c>
      <c r="BD37" s="101">
        <f>'增加值 (2001-2060, 2020RMB)'!BD37*$B$73</f>
        <v>822.27706055030762</v>
      </c>
      <c r="BE37" s="90">
        <f>'增加值 (2001-2060, 2020RMB)'!BE37*$B$73</f>
        <v>804.06330502119124</v>
      </c>
      <c r="BF37" s="90">
        <f>'增加值 (2001-2060, 2020RMB)'!BF37*$B$73</f>
        <v>785.55959337743116</v>
      </c>
      <c r="BG37" s="90">
        <f>'增加值 (2001-2060, 2020RMB)'!BG37*$B$73</f>
        <v>766.79328523708386</v>
      </c>
      <c r="BH37" s="90">
        <f>'增加值 (2001-2060, 2020RMB)'!BH37*$B$73</f>
        <v>747.7926301364663</v>
      </c>
      <c r="BI37" s="109">
        <f>'增加值 (2001-2060, 2020RMB)'!BI37*$B$73</f>
        <v>728.58666750295799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(2001-2060, 2020RMB)'!I38*$B$73</f>
        <v>969.86529677334454</v>
      </c>
      <c r="J38" s="20">
        <f>'增加值 (2001-2060, 2020RMB)'!J38*$B$73</f>
        <v>1054.5240750677958</v>
      </c>
      <c r="K38" s="21">
        <f>'增加值 (2001-2060, 2020RMB)'!K38*$B$73</f>
        <v>1231.9487832991067</v>
      </c>
      <c r="L38" s="19">
        <f>'增加值 (2001-2060, 2020RMB)'!L38*$B$73</f>
        <v>1401.566718147817</v>
      </c>
      <c r="M38" s="20">
        <f>'增加值 (2001-2060, 2020RMB)'!M38*$B$73</f>
        <v>1483.7223646090169</v>
      </c>
      <c r="N38" s="20">
        <f>'增加值 (2001-2060, 2020RMB)'!N38*$B$73</f>
        <v>1571.5684766320201</v>
      </c>
      <c r="O38" s="20">
        <f>'增加值 (2001-2060, 2020RMB)'!O38*$B$73</f>
        <v>1646.8308809364089</v>
      </c>
      <c r="P38" s="20">
        <f>'增加值 (2001-2060, 2020RMB)'!P38*$B$73</f>
        <v>1663.9142092848247</v>
      </c>
      <c r="Q38" s="19">
        <f>'增加值 (2001-2060, 2020RMB)'!Q38*$B$73</f>
        <v>1729.3353394650969</v>
      </c>
      <c r="R38" s="20">
        <f>'增加值 (2001-2060, 2020RMB)'!R38*$B$73</f>
        <v>1815.2175877512082</v>
      </c>
      <c r="S38" s="20">
        <f>'增加值 (2001-2060, 2020RMB)'!S38*$B$73</f>
        <v>1890.5503654260967</v>
      </c>
      <c r="T38" s="20">
        <f>'增加值 (2001-2060, 2020RMB)'!T38*$B$73</f>
        <v>1985.0357835637794</v>
      </c>
      <c r="U38" s="21">
        <f>'增加值 (2001-2060, 2020RMB)'!U38*$B$73</f>
        <v>1974.020219422028</v>
      </c>
      <c r="V38" s="20">
        <f>'增加值 (2001-2060, 2020RMB)'!V38*$B$73</f>
        <v>2219.755042611464</v>
      </c>
      <c r="W38" s="20">
        <f>'增加值 (2001-2060, 2020RMB)'!W38*$B$73</f>
        <v>2221.0746865680835</v>
      </c>
      <c r="X38" s="90">
        <f>'增加值 (2001-2060, 2020RMB)'!X38*$B$73</f>
        <v>2253.6613915661051</v>
      </c>
      <c r="Y38" s="90">
        <f>'增加值 (2001-2060, 2020RMB)'!Y38*$B$73</f>
        <v>2289.4738853292283</v>
      </c>
      <c r="Z38" s="90">
        <f>'增加值 (2001-2060, 2020RMB)'!Z38*$B$73</f>
        <v>2327.0755251137889</v>
      </c>
      <c r="AA38" s="89">
        <f>'增加值 (2001-2060, 2020RMB)'!AA38*$B$73</f>
        <v>2364.935199529531</v>
      </c>
      <c r="AB38" s="90">
        <f>'增加值 (2001-2060, 2020RMB)'!AB38*$B$73</f>
        <v>2401.4205467528823</v>
      </c>
      <c r="AC38" s="90">
        <f>'增加值 (2001-2060, 2020RMB)'!AC38*$B$73</f>
        <v>2434.8019257984006</v>
      </c>
      <c r="AD38" s="90">
        <f>'增加值 (2001-2060, 2020RMB)'!AD38*$B$73</f>
        <v>2463.268289921843</v>
      </c>
      <c r="AE38" s="101">
        <f>'增加值 (2001-2060, 2020RMB)'!AE38*$B$73</f>
        <v>2484.9559148265266</v>
      </c>
      <c r="AF38" s="90">
        <f>'增加值 (2001-2060, 2020RMB)'!AF38*$B$73</f>
        <v>2498.4784760185912</v>
      </c>
      <c r="AG38" s="90">
        <f>'增加值 (2001-2060, 2020RMB)'!AG38*$B$73</f>
        <v>2504.4529273171438</v>
      </c>
      <c r="AH38" s="90">
        <f>'增加值 (2001-2060, 2020RMB)'!AH38*$B$73</f>
        <v>2504.0655162209241</v>
      </c>
      <c r="AI38" s="90">
        <f>'增加值 (2001-2060, 2020RMB)'!AI38*$B$73</f>
        <v>2498.5570589771733</v>
      </c>
      <c r="AJ38" s="106">
        <f>'增加值 (2001-2060, 2020RMB)'!AJ38*$B$73</f>
        <v>2489.1945563432346</v>
      </c>
      <c r="AK38" s="89">
        <f>'增加值 (2001-2060, 2020RMB)'!AK38*$B$73</f>
        <v>2477.050755565273</v>
      </c>
      <c r="AL38" s="90">
        <f>'增加值 (2001-2060, 2020RMB)'!AL38*$B$73</f>
        <v>2462.4029492268955</v>
      </c>
      <c r="AM38" s="90">
        <f>'增加值 (2001-2060, 2020RMB)'!AM38*$B$73</f>
        <v>2445.3354564579695</v>
      </c>
      <c r="AN38" s="90">
        <f>'增加值 (2001-2060, 2020RMB)'!AN38*$B$73</f>
        <v>2425.9387056486948</v>
      </c>
      <c r="AO38" s="101">
        <f>'增加值 (2001-2060, 2020RMB)'!AO38*$B$73</f>
        <v>2404.308599140963</v>
      </c>
      <c r="AP38" s="90">
        <f>'增加值 (2001-2060, 2020RMB)'!AP38*$B$73</f>
        <v>2380.5458699844185</v>
      </c>
      <c r="AQ38" s="90">
        <f>'增加值 (2001-2060, 2020RMB)'!AQ38*$B$73</f>
        <v>2354.7554358918446</v>
      </c>
      <c r="AR38" s="90">
        <f>'增加值 (2001-2060, 2020RMB)'!AR38*$B$73</f>
        <v>2327.0457552896105</v>
      </c>
      <c r="AS38" s="90">
        <f>'增加值 (2001-2060, 2020RMB)'!AS38*$B$73</f>
        <v>2297.5281900834843</v>
      </c>
      <c r="AT38" s="90">
        <f>'增加值 (2001-2060, 2020RMB)'!AT38*$B$73</f>
        <v>2266.3163794539428</v>
      </c>
      <c r="AU38" s="89">
        <f>'增加值 (2001-2060, 2020RMB)'!AU38*$B$73</f>
        <v>2233.5256286632548</v>
      </c>
      <c r="AV38" s="90">
        <f>'增加值 (2001-2060, 2020RMB)'!AV38*$B$73</f>
        <v>2199.2723165051243</v>
      </c>
      <c r="AW38" s="90">
        <f>'增加值 (2001-2060, 2020RMB)'!AW38*$B$73</f>
        <v>2163.6733246612876</v>
      </c>
      <c r="AX38" s="90">
        <f>'增加值 (2001-2060, 2020RMB)'!AX38*$B$73</f>
        <v>2126.8454918537677</v>
      </c>
      <c r="AY38" s="101">
        <f>'增加值 (2001-2060, 2020RMB)'!AY38*$B$73</f>
        <v>2088.9050953011479</v>
      </c>
      <c r="AZ38" s="89">
        <f>'增加值 (2001-2060, 2020RMB)'!AZ38*$B$73</f>
        <v>2049.9673616069272</v>
      </c>
      <c r="BA38" s="90">
        <f>'增加值 (2001-2060, 2020RMB)'!BA38*$B$73</f>
        <v>2010.1460088319113</v>
      </c>
      <c r="BB38" s="90">
        <f>'增加值 (2001-2060, 2020RMB)'!BB38*$B$73</f>
        <v>1969.5528211347801</v>
      </c>
      <c r="BC38" s="90">
        <f>'增加值 (2001-2060, 2020RMB)'!BC38*$B$73</f>
        <v>1928.297257008644</v>
      </c>
      <c r="BD38" s="101">
        <f>'增加值 (2001-2060, 2020RMB)'!BD38*$B$73</f>
        <v>1886.4860917998139</v>
      </c>
      <c r="BE38" s="90">
        <f>'增加值 (2001-2060, 2020RMB)'!BE38*$B$73</f>
        <v>1844.2230948708161</v>
      </c>
      <c r="BF38" s="90">
        <f>'增加值 (2001-2060, 2020RMB)'!BF38*$B$73</f>
        <v>1801.6087414650324</v>
      </c>
      <c r="BG38" s="90">
        <f>'增加值 (2001-2060, 2020RMB)'!BG38*$B$73</f>
        <v>1758.7399590469684</v>
      </c>
      <c r="BH38" s="90">
        <f>'增加值 (2001-2060, 2020RMB)'!BH38*$B$73</f>
        <v>1715.7099076316324</v>
      </c>
      <c r="BI38" s="109">
        <f>'增加值 (2001-2060, 2020RMB)'!BI38*$B$73</f>
        <v>1672.6077933797244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(2001-2060, 2020RMB)'!I39*$B$73</f>
        <v>1827.2046823458188</v>
      </c>
      <c r="J39" s="20">
        <f>'增加值 (2001-2060, 2020RMB)'!J39*$B$73</f>
        <v>1903.5599257682049</v>
      </c>
      <c r="K39" s="21">
        <f>'增加值 (2001-2060, 2020RMB)'!K39*$B$73</f>
        <v>2063.0097206545961</v>
      </c>
      <c r="L39" s="19">
        <f>'增加值 (2001-2060, 2020RMB)'!L39*$B$73</f>
        <v>2174.5896799921866</v>
      </c>
      <c r="M39" s="20">
        <f>'增加值 (2001-2060, 2020RMB)'!M39*$B$73</f>
        <v>2266.8642920931907</v>
      </c>
      <c r="N39" s="20">
        <f>'增加值 (2001-2060, 2020RMB)'!N39*$B$73</f>
        <v>2366.6226269511294</v>
      </c>
      <c r="O39" s="20">
        <f>'增加值 (2001-2060, 2020RMB)'!O39*$B$73</f>
        <v>2409.6227812801817</v>
      </c>
      <c r="P39" s="20">
        <f>'增加值 (2001-2060, 2020RMB)'!P39*$B$73</f>
        <v>2409.4725996736911</v>
      </c>
      <c r="Q39" s="19">
        <f>'增加值 (2001-2060, 2020RMB)'!Q39*$B$73</f>
        <v>2311.3950984161133</v>
      </c>
      <c r="R39" s="20">
        <f>'增加值 (2001-2060, 2020RMB)'!R39*$B$73</f>
        <v>2346.6365941352378</v>
      </c>
      <c r="S39" s="20">
        <f>'增加值 (2001-2060, 2020RMB)'!S39*$B$73</f>
        <v>2500.100649793872</v>
      </c>
      <c r="T39" s="20">
        <f>'增加值 (2001-2060, 2020RMB)'!T39*$B$73</f>
        <v>2649.1551506544774</v>
      </c>
      <c r="U39" s="21">
        <f>'增加值 (2001-2060, 2020RMB)'!U39*$B$73</f>
        <v>2734.3994336154205</v>
      </c>
      <c r="V39" s="20">
        <f>'增加值 (2001-2060, 2020RMB)'!V39*$B$73</f>
        <v>2881.1917792140471</v>
      </c>
      <c r="W39" s="20">
        <f>'增加值 (2001-2060, 2020RMB)'!W39*$B$73</f>
        <v>2961.9284293936989</v>
      </c>
      <c r="X39" s="90">
        <f>'增加值 (2001-2060, 2020RMB)'!X39*$B$73</f>
        <v>3004.5455178851221</v>
      </c>
      <c r="Y39" s="90">
        <f>'增加值 (2001-2060, 2020RMB)'!Y39*$B$73</f>
        <v>3051.4725586620389</v>
      </c>
      <c r="Z39" s="90">
        <f>'增加值 (2001-2060, 2020RMB)'!Z39*$B$73</f>
        <v>3100.793782474911</v>
      </c>
      <c r="AA39" s="89">
        <f>'增加值 (2001-2060, 2020RMB)'!AA39*$B$73</f>
        <v>3150.4697687644434</v>
      </c>
      <c r="AB39" s="90">
        <f>'增加值 (2001-2060, 2020RMB)'!AB39*$B$73</f>
        <v>3198.3283397958248</v>
      </c>
      <c r="AC39" s="90">
        <f>'增加值 (2001-2060, 2020RMB)'!AC39*$B$73</f>
        <v>3242.0697582098669</v>
      </c>
      <c r="AD39" s="90">
        <f>'增加值 (2001-2060, 2020RMB)'!AD39*$B$73</f>
        <v>3279.2877339375818</v>
      </c>
      <c r="AE39" s="101">
        <f>'增加值 (2001-2060, 2020RMB)'!AE39*$B$73</f>
        <v>3307.5074873955077</v>
      </c>
      <c r="AF39" s="90">
        <f>'增加值 (2001-2060, 2020RMB)'!AF39*$B$73</f>
        <v>3324.8903408647607</v>
      </c>
      <c r="AG39" s="90">
        <f>'增加值 (2001-2060, 2020RMB)'!AG39*$B$73</f>
        <v>3332.2613345260179</v>
      </c>
      <c r="AH39" s="90">
        <f>'增加值 (2001-2060, 2020RMB)'!AH39*$B$73</f>
        <v>3331.2009567937744</v>
      </c>
      <c r="AI39" s="90">
        <f>'增加值 (2001-2060, 2020RMB)'!AI39*$B$73</f>
        <v>3323.3606721946467</v>
      </c>
      <c r="AJ39" s="106">
        <f>'增加值 (2001-2060, 2020RMB)'!AJ39*$B$73</f>
        <v>3310.4253475986648</v>
      </c>
      <c r="AK39" s="89">
        <f>'增加值 (2001-2060, 2020RMB)'!AK39*$B$73</f>
        <v>3293.8206327641701</v>
      </c>
      <c r="AL39" s="90">
        <f>'增加值 (2001-2060, 2020RMB)'!AL39*$B$73</f>
        <v>3273.9149312424997</v>
      </c>
      <c r="AM39" s="90">
        <f>'增加值 (2001-2060, 2020RMB)'!AM39*$B$73</f>
        <v>3250.8201179772518</v>
      </c>
      <c r="AN39" s="90">
        <f>'增加值 (2001-2060, 2020RMB)'!AN39*$B$73</f>
        <v>3224.6560274337121</v>
      </c>
      <c r="AO39" s="101">
        <f>'增加值 (2001-2060, 2020RMB)'!AO39*$B$73</f>
        <v>3195.5496228545289</v>
      </c>
      <c r="AP39" s="90">
        <f>'增加值 (2001-2060, 2020RMB)'!AP39*$B$73</f>
        <v>3163.6341554572418</v>
      </c>
      <c r="AQ39" s="90">
        <f>'增加值 (2001-2060, 2020RMB)'!AQ39*$B$73</f>
        <v>3129.0483202119399</v>
      </c>
      <c r="AR39" s="90">
        <f>'增加值 (2001-2060, 2020RMB)'!AR39*$B$73</f>
        <v>3091.9354145285138</v>
      </c>
      <c r="AS39" s="90">
        <f>'增加值 (2001-2060, 2020RMB)'!AS39*$B$73</f>
        <v>3052.4425058282836</v>
      </c>
      <c r="AT39" s="90">
        <f>'增加值 (2001-2060, 2020RMB)'!AT39*$B$73</f>
        <v>3010.7196135799591</v>
      </c>
      <c r="AU39" s="89">
        <f>'增加值 (2001-2060, 2020RMB)'!AU39*$B$73</f>
        <v>2966.9189109527169</v>
      </c>
      <c r="AV39" s="90">
        <f>'增加值 (2001-2060, 2020RMB)'!AV39*$B$73</f>
        <v>2921.193950786273</v>
      </c>
      <c r="AW39" s="90">
        <f>'增加值 (2001-2060, 2020RMB)'!AW39*$B$73</f>
        <v>2873.69892010591</v>
      </c>
      <c r="AX39" s="90">
        <f>'增加值 (2001-2060, 2020RMB)'!AX39*$B$73</f>
        <v>2824.587926926451</v>
      </c>
      <c r="AY39" s="101">
        <f>'增加值 (2001-2060, 2020RMB)'!AY39*$B$73</f>
        <v>2774.0143225991146</v>
      </c>
      <c r="AZ39" s="89">
        <f>'增加值 (2001-2060, 2020RMB)'!AZ39*$B$73</f>
        <v>2722.1300624646478</v>
      </c>
      <c r="BA39" s="90">
        <f>'增加值 (2001-2060, 2020RMB)'!BA39*$B$73</f>
        <v>2669.0851070914887</v>
      </c>
      <c r="BB39" s="90">
        <f>'增加值 (2001-2060, 2020RMB)'!BB39*$B$73</f>
        <v>2615.0268659027365</v>
      </c>
      <c r="BC39" s="90">
        <f>'增加值 (2001-2060, 2020RMB)'!BC39*$B$73</f>
        <v>2560.099684535825</v>
      </c>
      <c r="BD39" s="101">
        <f>'增加值 (2001-2060, 2020RMB)'!BD39*$B$73</f>
        <v>2504.4443768374267</v>
      </c>
      <c r="BE39" s="90">
        <f>'增加值 (2001-2060, 2020RMB)'!BE39*$B$73</f>
        <v>2448.1978019769308</v>
      </c>
      <c r="BF39" s="90">
        <f>'增加值 (2001-2060, 2020RMB)'!BF39*$B$73</f>
        <v>2391.4924867676118</v>
      </c>
      <c r="BG39" s="90">
        <f>'增加值 (2001-2060, 2020RMB)'!BG39*$B$73</f>
        <v>2334.4562929173771</v>
      </c>
      <c r="BH39" s="90">
        <f>'增加值 (2001-2060, 2020RMB)'!BH39*$B$73</f>
        <v>2277.2121285935286</v>
      </c>
      <c r="BI39" s="109">
        <f>'增加值 (2001-2060, 2020RMB)'!BI39*$B$73</f>
        <v>2219.8777033780507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(2001-2060, 2020RMB)'!I40*$B$73</f>
        <v>769.84623647460489</v>
      </c>
      <c r="J40" s="20">
        <f>'增加值 (2001-2060, 2020RMB)'!J40*$B$73</f>
        <v>823.17988973695537</v>
      </c>
      <c r="K40" s="21">
        <f>'增加值 (2001-2060, 2020RMB)'!K40*$B$73</f>
        <v>904.92316398079311</v>
      </c>
      <c r="L40" s="19">
        <f>'增加值 (2001-2060, 2020RMB)'!L40*$B$73</f>
        <v>987.77824611982282</v>
      </c>
      <c r="M40" s="20">
        <f>'增加值 (2001-2060, 2020RMB)'!M40*$B$73</f>
        <v>1064.486024295582</v>
      </c>
      <c r="N40" s="20">
        <f>'增加值 (2001-2060, 2020RMB)'!N40*$B$73</f>
        <v>1158.858418673603</v>
      </c>
      <c r="O40" s="20">
        <f>'增加值 (2001-2060, 2020RMB)'!O40*$B$73</f>
        <v>1248.7980808928194</v>
      </c>
      <c r="P40" s="20">
        <f>'增加值 (2001-2060, 2020RMB)'!P40*$B$73</f>
        <v>1318.6201486481377</v>
      </c>
      <c r="Q40" s="19">
        <f>'增加值 (2001-2060, 2020RMB)'!Q40*$B$73</f>
        <v>1366.6046763825284</v>
      </c>
      <c r="R40" s="20">
        <f>'增加值 (2001-2060, 2020RMB)'!R40*$B$73</f>
        <v>1404.0405883388651</v>
      </c>
      <c r="S40" s="20">
        <f>'增加值 (2001-2060, 2020RMB)'!S40*$B$73</f>
        <v>1507.0452757650496</v>
      </c>
      <c r="T40" s="20">
        <f>'增加值 (2001-2060, 2020RMB)'!T40*$B$73</f>
        <v>1586.7231090068576</v>
      </c>
      <c r="U40" s="21">
        <f>'增加值 (2001-2060, 2020RMB)'!U40*$B$73</f>
        <v>1573.3130836256189</v>
      </c>
      <c r="V40" s="20">
        <f>'增加值 (2001-2060, 2020RMB)'!V40*$B$73</f>
        <v>1702.0033119290772</v>
      </c>
      <c r="W40" s="20">
        <f>'增加值 (2001-2060, 2020RMB)'!W40*$B$73</f>
        <v>1818.8547619421211</v>
      </c>
      <c r="X40" s="90">
        <f>'增加值 (2001-2060, 2020RMB)'!X40*$B$73</f>
        <v>1853.6504285671717</v>
      </c>
      <c r="Y40" s="90">
        <f>'增加值 (2001-2060, 2020RMB)'!Y40*$B$73</f>
        <v>1891.0456361885756</v>
      </c>
      <c r="Z40" s="90">
        <f>'增加值 (2001-2060, 2020RMB)'!Z40*$B$73</f>
        <v>1929.8604586170125</v>
      </c>
      <c r="AA40" s="89">
        <f>'增加值 (2001-2060, 2020RMB)'!AA40*$B$73</f>
        <v>1968.8149361327064</v>
      </c>
      <c r="AB40" s="90">
        <f>'增加值 (2001-2060, 2020RMB)'!AB40*$B$73</f>
        <v>2006.5239021078164</v>
      </c>
      <c r="AC40" s="90">
        <f>'增加值 (2001-2060, 2020RMB)'!AC40*$B$73</f>
        <v>2041.5010102087547</v>
      </c>
      <c r="AD40" s="90">
        <f>'增加值 (2001-2060, 2020RMB)'!AD40*$B$73</f>
        <v>2072.1731662552488</v>
      </c>
      <c r="AE40" s="101">
        <f>'增加值 (2001-2060, 2020RMB)'!AE40*$B$73</f>
        <v>2096.9063821490449</v>
      </c>
      <c r="AF40" s="90">
        <f>'增加值 (2001-2060, 2020RMB)'!AF40*$B$73</f>
        <v>2114.462459449283</v>
      </c>
      <c r="AG40" s="90">
        <f>'增加值 (2001-2060, 2020RMB)'!AG40*$B$73</f>
        <v>2125.3201330430047</v>
      </c>
      <c r="AH40" s="90">
        <f>'增加值 (2001-2060, 2020RMB)'!AH40*$B$73</f>
        <v>2130.4615390795875</v>
      </c>
      <c r="AI40" s="90">
        <f>'增加值 (2001-2060, 2020RMB)'!AI40*$B$73</f>
        <v>2130.9317006271481</v>
      </c>
      <c r="AJ40" s="106">
        <f>'增加值 (2001-2060, 2020RMB)'!AJ40*$B$73</f>
        <v>2127.8126025280358</v>
      </c>
      <c r="AK40" s="89">
        <f>'增加值 (2001-2060, 2020RMB)'!AK40*$B$73</f>
        <v>2122.0293292887404</v>
      </c>
      <c r="AL40" s="90">
        <f>'增加值 (2001-2060, 2020RMB)'!AL40*$B$73</f>
        <v>2113.8207960235695</v>
      </c>
      <c r="AM40" s="90">
        <f>'增加值 (2001-2060, 2020RMB)'!AM40*$B$73</f>
        <v>2103.2600269950358</v>
      </c>
      <c r="AN40" s="90">
        <f>'增加值 (2001-2060, 2020RMB)'!AN40*$B$73</f>
        <v>2090.427098258132</v>
      </c>
      <c r="AO40" s="101">
        <f>'增加值 (2001-2060, 2020RMB)'!AO40*$B$73</f>
        <v>2075.4084503200847</v>
      </c>
      <c r="AP40" s="90">
        <f>'增加值 (2001-2060, 2020RMB)'!AP40*$B$73</f>
        <v>2058.2961869818155</v>
      </c>
      <c r="AQ40" s="90">
        <f>'增加值 (2001-2060, 2020RMB)'!AQ40*$B$73</f>
        <v>2039.1873669672893</v>
      </c>
      <c r="AR40" s="90">
        <f>'增加值 (2001-2060, 2020RMB)'!AR40*$B$73</f>
        <v>2018.1832946449722</v>
      </c>
      <c r="AS40" s="90">
        <f>'增加值 (2001-2060, 2020RMB)'!AS40*$B$73</f>
        <v>1995.3888157894194</v>
      </c>
      <c r="AT40" s="90">
        <f>'增加值 (2001-2060, 2020RMB)'!AT40*$B$73</f>
        <v>1970.9116239288735</v>
      </c>
      <c r="AU40" s="89">
        <f>'增加值 (2001-2060, 2020RMB)'!AU40*$B$73</f>
        <v>1944.8615823849698</v>
      </c>
      <c r="AV40" s="90">
        <f>'增加值 (2001-2060, 2020RMB)'!AV40*$B$73</f>
        <v>1917.3500666422021</v>
      </c>
      <c r="AW40" s="90">
        <f>'增加值 (2001-2060, 2020RMB)'!AW40*$B$73</f>
        <v>1888.4893311952571</v>
      </c>
      <c r="AX40" s="90">
        <f>'增加值 (2001-2060, 2020RMB)'!AX40*$B$73</f>
        <v>1858.3919045202385</v>
      </c>
      <c r="AY40" s="101">
        <f>'增加值 (2001-2060, 2020RMB)'!AY40*$B$73</f>
        <v>1827.1700153079703</v>
      </c>
      <c r="AZ40" s="89">
        <f>'增加值 (2001-2060, 2020RMB)'!AZ40*$B$73</f>
        <v>1794.9350525914656</v>
      </c>
      <c r="BA40" s="90">
        <f>'增加值 (2001-2060, 2020RMB)'!BA40*$B$73</f>
        <v>1761.7970619012001</v>
      </c>
      <c r="BB40" s="90">
        <f>'增加值 (2001-2060, 2020RMB)'!BB40*$B$73</f>
        <v>1727.86427909692</v>
      </c>
      <c r="BC40" s="90">
        <f>'增加值 (2001-2060, 2020RMB)'!BC40*$B$73</f>
        <v>1693.2427030583237</v>
      </c>
      <c r="BD40" s="101">
        <f>'增加值 (2001-2060, 2020RMB)'!BD40*$B$73</f>
        <v>1658.0357079732632</v>
      </c>
      <c r="BE40" s="90">
        <f>'增加值 (2001-2060, 2020RMB)'!BE40*$B$73</f>
        <v>1622.3436955450939</v>
      </c>
      <c r="BF40" s="90">
        <f>'增加值 (2001-2060, 2020RMB)'!BF40*$B$73</f>
        <v>1586.2637870527915</v>
      </c>
      <c r="BG40" s="90">
        <f>'增加值 (2001-2060, 2020RMB)'!BG40*$B$73</f>
        <v>1549.8895548414353</v>
      </c>
      <c r="BH40" s="90">
        <f>'增加值 (2001-2060, 2020RMB)'!BH40*$B$73</f>
        <v>1513.3107924975993</v>
      </c>
      <c r="BI40" s="109">
        <f>'增加值 (2001-2060, 2020RMB)'!BI40*$B$73</f>
        <v>1476.6133226754812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(2001-2060, 2020RMB)'!I41*$B$73</f>
        <v>825.35203982323162</v>
      </c>
      <c r="J41" s="20">
        <f>'增加值 (2001-2060, 2020RMB)'!J41*$B$73</f>
        <v>860.62424293328729</v>
      </c>
      <c r="K41" s="21">
        <f>'增加值 (2001-2060, 2020RMB)'!K41*$B$73</f>
        <v>994.5601714893121</v>
      </c>
      <c r="L41" s="19">
        <f>'增加值 (2001-2060, 2020RMB)'!L41*$B$73</f>
        <v>1125.7598991764332</v>
      </c>
      <c r="M41" s="20">
        <f>'增加值 (2001-2060, 2020RMB)'!M41*$B$73</f>
        <v>1202.4657387811435</v>
      </c>
      <c r="N41" s="20">
        <f>'增加值 (2001-2060, 2020RMB)'!N41*$B$73</f>
        <v>1283.9402712372946</v>
      </c>
      <c r="O41" s="20">
        <f>'增加值 (2001-2060, 2020RMB)'!O41*$B$73</f>
        <v>1373.7400086801558</v>
      </c>
      <c r="P41" s="20">
        <f>'增加值 (2001-2060, 2020RMB)'!P41*$B$73</f>
        <v>1399.7199374534182</v>
      </c>
      <c r="Q41" s="19">
        <f>'增加值 (2001-2060, 2020RMB)'!Q41*$B$73</f>
        <v>1477.9749989056179</v>
      </c>
      <c r="R41" s="20">
        <f>'增加值 (2001-2060, 2020RMB)'!R41*$B$73</f>
        <v>1594.7588110067843</v>
      </c>
      <c r="S41" s="20">
        <f>'增加值 (2001-2060, 2020RMB)'!S41*$B$73</f>
        <v>1648.2392055673163</v>
      </c>
      <c r="T41" s="20">
        <f>'增加值 (2001-2060, 2020RMB)'!T41*$B$73</f>
        <v>1681.3499544976607</v>
      </c>
      <c r="U41" s="21">
        <f>'增加值 (2001-2060, 2020RMB)'!U41*$B$73</f>
        <v>1711.0551127601359</v>
      </c>
      <c r="V41" s="20">
        <f>'增加值 (2001-2060, 2020RMB)'!V41*$B$73</f>
        <v>2066.5774519172019</v>
      </c>
      <c r="W41" s="20">
        <f>'增加值 (2001-2060, 2020RMB)'!W41*$B$73</f>
        <v>2090.8982819264734</v>
      </c>
      <c r="X41" s="90">
        <f>'增加值 (2001-2060, 2020RMB)'!X41*$B$73</f>
        <v>2165.4388820720865</v>
      </c>
      <c r="Y41" s="90">
        <f>'增加值 (2001-2060, 2020RMB)'!Y41*$B$73</f>
        <v>2244.354319615391</v>
      </c>
      <c r="Z41" s="90">
        <f>'增加值 (2001-2060, 2020RMB)'!Z41*$B$73</f>
        <v>2326.6218838573363</v>
      </c>
      <c r="AA41" s="89">
        <f>'增加值 (2001-2060, 2020RMB)'!AA41*$B$73</f>
        <v>2411.0461705143707</v>
      </c>
      <c r="AB41" s="90">
        <f>'增加值 (2001-2060, 2020RMB)'!AB41*$B$73</f>
        <v>2496.2438519135676</v>
      </c>
      <c r="AC41" s="90">
        <f>'增加值 (2001-2060, 2020RMB)'!AC41*$B$73</f>
        <v>2580.6356048201669</v>
      </c>
      <c r="AD41" s="90">
        <f>'增加值 (2001-2060, 2020RMB)'!AD41*$B$73</f>
        <v>2662.4471121205784</v>
      </c>
      <c r="AE41" s="101">
        <f>'增加值 (2001-2060, 2020RMB)'!AE41*$B$73</f>
        <v>2739.7211013476035</v>
      </c>
      <c r="AF41" s="90">
        <f>'增加值 (2001-2060, 2020RMB)'!AF41*$B$73</f>
        <v>2810.7408561178054</v>
      </c>
      <c r="AG41" s="90">
        <f>'增加值 (2001-2060, 2020RMB)'!AG41*$B$73</f>
        <v>2875.3369523792112</v>
      </c>
      <c r="AH41" s="90">
        <f>'增加值 (2001-2060, 2020RMB)'!AH41*$B$73</f>
        <v>2933.8382520503346</v>
      </c>
      <c r="AI41" s="90">
        <f>'增加值 (2001-2060, 2020RMB)'!AI41*$B$73</f>
        <v>2986.6825450573565</v>
      </c>
      <c r="AJ41" s="106">
        <f>'增加值 (2001-2060, 2020RMB)'!AJ41*$B$73</f>
        <v>3034.4042044718549</v>
      </c>
      <c r="AK41" s="89">
        <f>'增加值 (2001-2060, 2020RMB)'!AK41*$B$73</f>
        <v>3077.501510542178</v>
      </c>
      <c r="AL41" s="90">
        <f>'增加值 (2001-2060, 2020RMB)'!AL41*$B$73</f>
        <v>3116.0516112349715</v>
      </c>
      <c r="AM41" s="90">
        <f>'增加值 (2001-2060, 2020RMB)'!AM41*$B$73</f>
        <v>3150.0438061228601</v>
      </c>
      <c r="AN41" s="90">
        <f>'增加值 (2001-2060, 2020RMB)'!AN41*$B$73</f>
        <v>3179.4952997357568</v>
      </c>
      <c r="AO41" s="101">
        <f>'增加值 (2001-2060, 2020RMB)'!AO41*$B$73</f>
        <v>3204.4498813986961</v>
      </c>
      <c r="AP41" s="90">
        <f>'增加值 (2001-2060, 2020RMB)'!AP41*$B$73</f>
        <v>3224.9764025192658</v>
      </c>
      <c r="AQ41" s="90">
        <f>'增加值 (2001-2060, 2020RMB)'!AQ41*$B$73</f>
        <v>3241.1670848094595</v>
      </c>
      <c r="AR41" s="90">
        <f>'增加值 (2001-2060, 2020RMB)'!AR41*$B$73</f>
        <v>3253.1356931147639</v>
      </c>
      <c r="AS41" s="90">
        <f>'增加值 (2001-2060, 2020RMB)'!AS41*$B$73</f>
        <v>3261.0156060820018</v>
      </c>
      <c r="AT41" s="90">
        <f>'增加值 (2001-2060, 2020RMB)'!AT41*$B$73</f>
        <v>3264.9578168944386</v>
      </c>
      <c r="AU41" s="89">
        <f>'增加值 (2001-2060, 2020RMB)'!AU41*$B$73</f>
        <v>3265.128894812492</v>
      </c>
      <c r="AV41" s="90">
        <f>'增加值 (2001-2060, 2020RMB)'!AV41*$B$73</f>
        <v>3261.7089363593959</v>
      </c>
      <c r="AW41" s="90">
        <f>'增加值 (2001-2060, 2020RMB)'!AW41*$B$73</f>
        <v>3254.8895327623486</v>
      </c>
      <c r="AX41" s="90">
        <f>'增加值 (2001-2060, 2020RMB)'!AX41*$B$73</f>
        <v>3244.8717777805332</v>
      </c>
      <c r="AY41" s="101">
        <f>'增加值 (2001-2060, 2020RMB)'!AY41*$B$73</f>
        <v>3231.8643373977757</v>
      </c>
      <c r="AZ41" s="89">
        <f>'增加值 (2001-2060, 2020RMB)'!AZ41*$B$73</f>
        <v>3216.081600100536</v>
      </c>
      <c r="BA41" s="90">
        <f>'增加值 (2001-2060, 2020RMB)'!BA41*$B$73</f>
        <v>3197.7419236684364</v>
      </c>
      <c r="BB41" s="90">
        <f>'增加值 (2001-2060, 2020RMB)'!BB41*$B$73</f>
        <v>3177.0659916330524</v>
      </c>
      <c r="BC41" s="90">
        <f>'增加值 (2001-2060, 2020RMB)'!BC41*$B$73</f>
        <v>3154.2752898638182</v>
      </c>
      <c r="BD41" s="101">
        <f>'增加值 (2001-2060, 2020RMB)'!BD41*$B$73</f>
        <v>3129.5907111618644</v>
      </c>
      <c r="BE41" s="90">
        <f>'增加值 (2001-2060, 2020RMB)'!BE41*$B$73</f>
        <v>3103.2312933200824</v>
      </c>
      <c r="BF41" s="90">
        <f>'增加值 (2001-2060, 2020RMB)'!BF41*$B$73</f>
        <v>3075.4130938699068</v>
      </c>
      <c r="BG41" s="90">
        <f>'增加值 (2001-2060, 2020RMB)'!BG41*$B$73</f>
        <v>3046.3482027035502</v>
      </c>
      <c r="BH41" s="90">
        <f>'增加值 (2001-2060, 2020RMB)'!BH41*$B$73</f>
        <v>3016.2438919501951</v>
      </c>
      <c r="BI41" s="109">
        <f>'增加值 (2001-2060, 2020RMB)'!BI41*$B$73</f>
        <v>2985.3019009039663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(2001-2060, 2020RMB)'!I42*$B$73</f>
        <v>957.48912910180843</v>
      </c>
      <c r="J42" s="20">
        <f>'增加值 (2001-2060, 2020RMB)'!J42*$B$73</f>
        <v>1007.4847756088832</v>
      </c>
      <c r="K42" s="21">
        <f>'增加值 (2001-2060, 2020RMB)'!K42*$B$73</f>
        <v>1190.6924414462044</v>
      </c>
      <c r="L42" s="19">
        <f>'增加值 (2001-2060, 2020RMB)'!L42*$B$73</f>
        <v>1343.1889625419417</v>
      </c>
      <c r="M42" s="20">
        <f>'增加值 (2001-2060, 2020RMB)'!M42*$B$73</f>
        <v>1386.1188711991374</v>
      </c>
      <c r="N42" s="20">
        <f>'增加值 (2001-2060, 2020RMB)'!N42*$B$73</f>
        <v>1437.9007595991709</v>
      </c>
      <c r="O42" s="20">
        <f>'增加值 (2001-2060, 2020RMB)'!O42*$B$73</f>
        <v>1504.0047055880304</v>
      </c>
      <c r="P42" s="20">
        <f>'增加值 (2001-2060, 2020RMB)'!P42*$B$73</f>
        <v>1468.2394548218376</v>
      </c>
      <c r="Q42" s="19">
        <f>'增加值 (2001-2060, 2020RMB)'!Q42*$B$73</f>
        <v>1517.3701234262553</v>
      </c>
      <c r="R42" s="20">
        <f>'增加值 (2001-2060, 2020RMB)'!R42*$B$73</f>
        <v>1697.1667887148062</v>
      </c>
      <c r="S42" s="20">
        <f>'增加值 (2001-2060, 2020RMB)'!S42*$B$73</f>
        <v>1811.5369065308341</v>
      </c>
      <c r="T42" s="20">
        <f>'增加值 (2001-2060, 2020RMB)'!T42*$B$73</f>
        <v>1821.7287125216355</v>
      </c>
      <c r="U42" s="21">
        <f>'增加值 (2001-2060, 2020RMB)'!U42*$B$73</f>
        <v>1852.1517291354023</v>
      </c>
      <c r="V42" s="20">
        <f>'增加值 (2001-2060, 2020RMB)'!V42*$B$73</f>
        <v>2167.5672054910888</v>
      </c>
      <c r="W42" s="20">
        <f>'增加值 (2001-2060, 2020RMB)'!W42*$B$73</f>
        <v>2175.4614760435193</v>
      </c>
      <c r="X42" s="90">
        <f>'增加值 (2001-2060, 2020RMB)'!X42*$B$73</f>
        <v>2257.2379475511198</v>
      </c>
      <c r="Y42" s="90">
        <f>'增加值 (2001-2060, 2020RMB)'!Y42*$B$73</f>
        <v>2343.7395977963793</v>
      </c>
      <c r="Z42" s="90">
        <f>'增加值 (2001-2060, 2020RMB)'!Z42*$B$73</f>
        <v>2433.9153518955118</v>
      </c>
      <c r="AA42" s="89">
        <f>'增加值 (2001-2060, 2020RMB)'!AA42*$B$73</f>
        <v>2526.5256339895682</v>
      </c>
      <c r="AB42" s="90">
        <f>'增加值 (2001-2060, 2020RMB)'!AB42*$B$73</f>
        <v>2620.1255552257735</v>
      </c>
      <c r="AC42" s="90">
        <f>'增加值 (2001-2060, 2020RMB)'!AC42*$B$73</f>
        <v>2713.055518439176</v>
      </c>
      <c r="AD42" s="90">
        <f>'增加值 (2001-2060, 2020RMB)'!AD42*$B$73</f>
        <v>2803.4413297976566</v>
      </c>
      <c r="AE42" s="101">
        <f>'增加值 (2001-2060, 2020RMB)'!AE42*$B$73</f>
        <v>2889.2059705480447</v>
      </c>
      <c r="AF42" s="90">
        <f>'增加值 (2001-2060, 2020RMB)'!AF42*$B$73</f>
        <v>2968.5123509962536</v>
      </c>
      <c r="AG42" s="90">
        <f>'增加值 (2001-2060, 2020RMB)'!AG42*$B$73</f>
        <v>3041.1360001151838</v>
      </c>
      <c r="AH42" s="90">
        <f>'增加值 (2001-2060, 2020RMB)'!AH42*$B$73</f>
        <v>3107.3759870944727</v>
      </c>
      <c r="AI42" s="90">
        <f>'增加值 (2001-2060, 2020RMB)'!AI42*$B$73</f>
        <v>3167.6493812529015</v>
      </c>
      <c r="AJ42" s="106">
        <f>'增加值 (2001-2060, 2020RMB)'!AJ42*$B$73</f>
        <v>3222.4789994403322</v>
      </c>
      <c r="AK42" s="89">
        <f>'增加值 (2001-2060, 2020RMB)'!AK42*$B$73</f>
        <v>3272.3565534294844</v>
      </c>
      <c r="AL42" s="90">
        <f>'增加值 (2001-2060, 2020RMB)'!AL42*$B$73</f>
        <v>3317.3435191596609</v>
      </c>
      <c r="AM42" s="90">
        <f>'增加值 (2001-2060, 2020RMB)'!AM42*$B$73</f>
        <v>3357.4135515279195</v>
      </c>
      <c r="AN42" s="90">
        <f>'增加值 (2001-2060, 2020RMB)'!AN42*$B$73</f>
        <v>3392.5718604052968</v>
      </c>
      <c r="AO42" s="101">
        <f>'增加值 (2001-2060, 2020RMB)'!AO42*$B$73</f>
        <v>3422.8538378432486</v>
      </c>
      <c r="AP42" s="90">
        <f>'增加值 (2001-2060, 2020RMB)'!AP42*$B$73</f>
        <v>3448.323440594078</v>
      </c>
      <c r="AQ42" s="90">
        <f>'增加值 (2001-2060, 2020RMB)'!AQ42*$B$73</f>
        <v>3469.071366247279</v>
      </c>
      <c r="AR42" s="90">
        <f>'增加值 (2001-2060, 2020RMB)'!AR42*$B$73</f>
        <v>3485.2130617768894</v>
      </c>
      <c r="AS42" s="90">
        <f>'增加值 (2001-2060, 2020RMB)'!AS42*$B$73</f>
        <v>3496.8866030194722</v>
      </c>
      <c r="AT42" s="90">
        <f>'增加值 (2001-2060, 2020RMB)'!AT42*$B$73</f>
        <v>3504.2504826375202</v>
      </c>
      <c r="AU42" s="89">
        <f>'增加值 (2001-2060, 2020RMB)'!AU42*$B$73</f>
        <v>3507.4813425550706</v>
      </c>
      <c r="AV42" s="90">
        <f>'增加值 (2001-2060, 2020RMB)'!AV42*$B$73</f>
        <v>3506.7716847741162</v>
      </c>
      <c r="AW42" s="90">
        <f>'增加值 (2001-2060, 2020RMB)'!AW42*$B$73</f>
        <v>3502.3275919876746</v>
      </c>
      <c r="AX42" s="90">
        <f>'增加值 (2001-2060, 2020RMB)'!AX42*$B$73</f>
        <v>3494.3664865922847</v>
      </c>
      <c r="AY42" s="101">
        <f>'增加值 (2001-2060, 2020RMB)'!AY42*$B$73</f>
        <v>3483.1149536615994</v>
      </c>
      <c r="AZ42" s="89">
        <f>'增加值 (2001-2060, 2020RMB)'!AZ42*$B$73</f>
        <v>3468.8066502612351</v>
      </c>
      <c r="BA42" s="90">
        <f>'增加值 (2001-2060, 2020RMB)'!BA42*$B$73</f>
        <v>3451.6803202424512</v>
      </c>
      <c r="BB42" s="90">
        <f>'增加值 (2001-2060, 2020RMB)'!BB42*$B$73</f>
        <v>3431.9779304232884</v>
      </c>
      <c r="BC42" s="90">
        <f>'增加值 (2001-2060, 2020RMB)'!BC42*$B$73</f>
        <v>3409.9429409125655</v>
      </c>
      <c r="BD42" s="101">
        <f>'增加值 (2001-2060, 2020RMB)'!BD42*$B$73</f>
        <v>3385.818719310631</v>
      </c>
      <c r="BE42" s="90">
        <f>'增加值 (2001-2060, 2020RMB)'!BE42*$B$73</f>
        <v>3359.8471056768399</v>
      </c>
      <c r="BF42" s="90">
        <f>'增加值 (2001-2060, 2020RMB)'!BF42*$B$73</f>
        <v>3332.2671325221777</v>
      </c>
      <c r="BG42" s="90">
        <f>'增加值 (2001-2060, 2020RMB)'!BG42*$B$73</f>
        <v>3303.3139016951973</v>
      </c>
      <c r="BH42" s="90">
        <f>'增加值 (2001-2060, 2020RMB)'!BH42*$B$73</f>
        <v>3273.2176178982386</v>
      </c>
      <c r="BI42" s="109">
        <f>'增加值 (2001-2060, 2020RMB)'!BI42*$B$73</f>
        <v>3242.202776711174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(2001-2060, 2020RMB)'!I43*$B$73</f>
        <v>636.84917179891238</v>
      </c>
      <c r="J43" s="20">
        <f>'增加值 (2001-2060, 2020RMB)'!J43*$B$73</f>
        <v>682.17640383462935</v>
      </c>
      <c r="K43" s="21">
        <f>'增加值 (2001-2060, 2020RMB)'!K43*$B$73</f>
        <v>798.94066636712569</v>
      </c>
      <c r="L43" s="19">
        <f>'增加值 (2001-2060, 2020RMB)'!L43*$B$73</f>
        <v>919.68852177451481</v>
      </c>
      <c r="M43" s="20">
        <f>'增加值 (2001-2060, 2020RMB)'!M43*$B$73</f>
        <v>953.46054365731106</v>
      </c>
      <c r="N43" s="20">
        <f>'增加值 (2001-2060, 2020RMB)'!N43*$B$73</f>
        <v>982.73916071012547</v>
      </c>
      <c r="O43" s="20">
        <f>'增加值 (2001-2060, 2020RMB)'!O43*$B$73</f>
        <v>1007.190217386193</v>
      </c>
      <c r="P43" s="20">
        <f>'增加值 (2001-2060, 2020RMB)'!P43*$B$73</f>
        <v>988.01686580060073</v>
      </c>
      <c r="Q43" s="19">
        <f>'增加值 (2001-2060, 2020RMB)'!Q43*$B$73</f>
        <v>1028.7917095739863</v>
      </c>
      <c r="R43" s="20">
        <f>'增加值 (2001-2060, 2020RMB)'!R43*$B$73</f>
        <v>1164.2331935578331</v>
      </c>
      <c r="S43" s="20">
        <f>'增加值 (2001-2060, 2020RMB)'!S43*$B$73</f>
        <v>1285.5808657429811</v>
      </c>
      <c r="T43" s="20">
        <f>'增加值 (2001-2060, 2020RMB)'!T43*$B$73</f>
        <v>1325.0409909702028</v>
      </c>
      <c r="U43" s="21">
        <f>'增加值 (2001-2060, 2020RMB)'!U43*$B$73</f>
        <v>1362.5508537800022</v>
      </c>
      <c r="V43" s="20">
        <f>'增加值 (2001-2060, 2020RMB)'!V43*$B$73</f>
        <v>1597.4262241195795</v>
      </c>
      <c r="W43" s="20">
        <f>'增加值 (2001-2060, 2020RMB)'!W43*$B$73</f>
        <v>1681.134442521691</v>
      </c>
      <c r="X43" s="90">
        <f>'增加值 (2001-2060, 2020RMB)'!X43*$B$73</f>
        <v>1778.3876855353312</v>
      </c>
      <c r="Y43" s="90">
        <f>'增加值 (2001-2060, 2020RMB)'!Y43*$B$73</f>
        <v>1881.4227610945145</v>
      </c>
      <c r="Z43" s="90">
        <f>'增加值 (2001-2060, 2020RMB)'!Z43*$B$73</f>
        <v>1989.5579943697951</v>
      </c>
      <c r="AA43" s="89">
        <f>'增加值 (2001-2060, 2020RMB)'!AA43*$B$73</f>
        <v>2101.8967258939069</v>
      </c>
      <c r="AB43" s="90">
        <f>'增加值 (2001-2060, 2020RMB)'!AB43*$B$73</f>
        <v>2217.3028172372037</v>
      </c>
      <c r="AC43" s="90">
        <f>'增加值 (2001-2060, 2020RMB)'!AC43*$B$73</f>
        <v>2334.3813863501973</v>
      </c>
      <c r="AD43" s="90">
        <f>'增加值 (2001-2060, 2020RMB)'!AD43*$B$73</f>
        <v>2451.467191757873</v>
      </c>
      <c r="AE43" s="101">
        <f>'增加值 (2001-2060, 2020RMB)'!AE43*$B$73</f>
        <v>2566.6233051290237</v>
      </c>
      <c r="AF43" s="90">
        <f>'增加值 (2001-2060, 2020RMB)'!AF43*$B$73</f>
        <v>2677.9950404846127</v>
      </c>
      <c r="AG43" s="90">
        <f>'增加值 (2001-2060, 2020RMB)'!AG43*$B$73</f>
        <v>2784.9720559714597</v>
      </c>
      <c r="AH43" s="90">
        <f>'增加值 (2001-2060, 2020RMB)'!AH43*$B$73</f>
        <v>2887.3718291773166</v>
      </c>
      <c r="AI43" s="90">
        <f>'增加值 (2001-2060, 2020RMB)'!AI43*$B$73</f>
        <v>2985.1265603812799</v>
      </c>
      <c r="AJ43" s="106">
        <f>'增加值 (2001-2060, 2020RMB)'!AJ43*$B$73</f>
        <v>3078.2812997888823</v>
      </c>
      <c r="AK43" s="89">
        <f>'增加值 (2001-2060, 2020RMB)'!AK43*$B$73</f>
        <v>3166.9055685795133</v>
      </c>
      <c r="AL43" s="90">
        <f>'增加值 (2001-2060, 2020RMB)'!AL43*$B$73</f>
        <v>3250.8160536476521</v>
      </c>
      <c r="AM43" s="90">
        <f>'增加值 (2001-2060, 2020RMB)'!AM43*$B$73</f>
        <v>3329.7968643648082</v>
      </c>
      <c r="AN43" s="90">
        <f>'增加值 (2001-2060, 2020RMB)'!AN43*$B$73</f>
        <v>3403.6801038822755</v>
      </c>
      <c r="AO43" s="101">
        <f>'增加值 (2001-2060, 2020RMB)'!AO43*$B$73</f>
        <v>3472.3458382289232</v>
      </c>
      <c r="AP43" s="90">
        <f>'增加值 (2001-2060, 2020RMB)'!AP43*$B$73</f>
        <v>3535.7214401032984</v>
      </c>
      <c r="AQ43" s="90">
        <f>'增加值 (2001-2060, 2020RMB)'!AQ43*$B$73</f>
        <v>3593.7803637045577</v>
      </c>
      <c r="AR43" s="90">
        <f>'增加值 (2001-2060, 2020RMB)'!AR43*$B$73</f>
        <v>3646.540414363466</v>
      </c>
      <c r="AS43" s="90">
        <f>'增加值 (2001-2060, 2020RMB)'!AS43*$B$73</f>
        <v>3694.0615820008657</v>
      </c>
      <c r="AT43" s="90">
        <f>'增加值 (2001-2060, 2020RMB)'!AT43*$B$73</f>
        <v>3736.4435106338215</v>
      </c>
      <c r="AU43" s="89">
        <f>'增加值 (2001-2060, 2020RMB)'!AU43*$B$73</f>
        <v>3773.8226773991992</v>
      </c>
      <c r="AV43" s="90">
        <f>'增加值 (2001-2060, 2020RMB)'!AV43*$B$73</f>
        <v>3806.3693540496452</v>
      </c>
      <c r="AW43" s="90">
        <f>'增加值 (2001-2060, 2020RMB)'!AW43*$B$73</f>
        <v>3834.2844218081091</v>
      </c>
      <c r="AX43" s="90">
        <f>'增加值 (2001-2060, 2020RMB)'!AX43*$B$73</f>
        <v>3857.7961070780066</v>
      </c>
      <c r="AY43" s="101">
        <f>'增加值 (2001-2060, 2020RMB)'!AY43*$B$73</f>
        <v>3877.1567010428712</v>
      </c>
      <c r="AZ43" s="89">
        <f>'增加值 (2001-2060, 2020RMB)'!AZ43*$B$73</f>
        <v>3892.6393209001167</v>
      </c>
      <c r="BA43" s="90">
        <f>'增加值 (2001-2060, 2020RMB)'!BA43*$B$73</f>
        <v>3904.5347646003793</v>
      </c>
      <c r="BB43" s="90">
        <f>'增加值 (2001-2060, 2020RMB)'!BB43*$B$73</f>
        <v>3913.1485047379147</v>
      </c>
      <c r="BC43" s="90">
        <f>'增加值 (2001-2060, 2020RMB)'!BC43*$B$73</f>
        <v>3918.7978608692842</v>
      </c>
      <c r="BD43" s="101">
        <f>'增加值 (2001-2060, 2020RMB)'!BD43*$B$73</f>
        <v>3921.809383219027</v>
      </c>
      <c r="BE43" s="90">
        <f>'增加值 (2001-2060, 2020RMB)'!BE43*$B$73</f>
        <v>3922.5164746262731</v>
      </c>
      <c r="BF43" s="90">
        <f>'增加值 (2001-2060, 2020RMB)'!BF43*$B$73</f>
        <v>3921.2572718379961</v>
      </c>
      <c r="BG43" s="90">
        <f>'增加值 (2001-2060, 2020RMB)'!BG43*$B$73</f>
        <v>3918.3728019753794</v>
      </c>
      <c r="BH43" s="90">
        <f>'增加值 (2001-2060, 2020RMB)'!BH43*$B$73</f>
        <v>3914.2054252823</v>
      </c>
      <c r="BI43" s="109">
        <f>'增加值 (2001-2060, 2020RMB)'!BI43*$B$73</f>
        <v>3909.0975711751457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(2001-2060, 2020RMB)'!I44*$B$73</f>
        <v>1184.6348046443532</v>
      </c>
      <c r="J44" s="20">
        <f>'增加值 (2001-2060, 2020RMB)'!J44*$B$73</f>
        <v>1329.5903424186711</v>
      </c>
      <c r="K44" s="21">
        <f>'增加值 (2001-2060, 2020RMB)'!K44*$B$73</f>
        <v>1580.4100986226067</v>
      </c>
      <c r="L44" s="19">
        <f>'增加值 (2001-2060, 2020RMB)'!L44*$B$73</f>
        <v>1700.8156350918027</v>
      </c>
      <c r="M44" s="20">
        <f>'增加值 (2001-2060, 2020RMB)'!M44*$B$73</f>
        <v>1755.1757153883541</v>
      </c>
      <c r="N44" s="20">
        <f>'增加值 (2001-2060, 2020RMB)'!N44*$B$73</f>
        <v>1915.783500409816</v>
      </c>
      <c r="O44" s="20">
        <f>'增加值 (2001-2060, 2020RMB)'!O44*$B$73</f>
        <v>2053.4482547886432</v>
      </c>
      <c r="P44" s="20">
        <f>'增加值 (2001-2060, 2020RMB)'!P44*$B$73</f>
        <v>2078.6458541383354</v>
      </c>
      <c r="Q44" s="19">
        <f>'增加值 (2001-2060, 2020RMB)'!Q44*$B$73</f>
        <v>2342.9399942398995</v>
      </c>
      <c r="R44" s="20">
        <f>'增加值 (2001-2060, 2020RMB)'!R44*$B$73</f>
        <v>2660.8766392878988</v>
      </c>
      <c r="S44" s="20">
        <f>'增加值 (2001-2060, 2020RMB)'!S44*$B$73</f>
        <v>2779.2531419745264</v>
      </c>
      <c r="T44" s="20">
        <f>'增加值 (2001-2060, 2020RMB)'!T44*$B$73</f>
        <v>2727.8977768813766</v>
      </c>
      <c r="U44" s="21">
        <f>'增加值 (2001-2060, 2020RMB)'!U44*$B$73</f>
        <v>2813.0369617424208</v>
      </c>
      <c r="V44" s="20">
        <f>'增加值 (2001-2060, 2020RMB)'!V44*$B$73</f>
        <v>3089.9937233622504</v>
      </c>
      <c r="W44" s="20">
        <f>'增加值 (2001-2060, 2020RMB)'!W44*$B$73</f>
        <v>3336.6660504229862</v>
      </c>
      <c r="X44" s="90">
        <f>'增加值 (2001-2060, 2020RMB)'!X44*$B$73</f>
        <v>3458.7746359362827</v>
      </c>
      <c r="Y44" s="90">
        <f>'增加值 (2001-2060, 2020RMB)'!Y44*$B$73</f>
        <v>3587.9912361826609</v>
      </c>
      <c r="Z44" s="90">
        <f>'增加值 (2001-2060, 2020RMB)'!Z44*$B$73</f>
        <v>3722.6934768683855</v>
      </c>
      <c r="AA44" s="89">
        <f>'增加值 (2001-2060, 2020RMB)'!AA44*$B$73</f>
        <v>3860.9767921580237</v>
      </c>
      <c r="AB44" s="90">
        <f>'增加值 (2001-2060, 2020RMB)'!AB44*$B$73</f>
        <v>4000.6294139137713</v>
      </c>
      <c r="AC44" s="90">
        <f>'增加值 (2001-2060, 2020RMB)'!AC44*$B$73</f>
        <v>4139.1187608683204</v>
      </c>
      <c r="AD44" s="90">
        <f>'增加值 (2001-2060, 2020RMB)'!AD44*$B$73</f>
        <v>4273.5923577542853</v>
      </c>
      <c r="AE44" s="101">
        <f>'增加值 (2001-2060, 2020RMB)'!AE44*$B$73</f>
        <v>4400.8964994409553</v>
      </c>
      <c r="AF44" s="90">
        <f>'增加值 (2001-2060, 2020RMB)'!AF44*$B$73</f>
        <v>4518.2536928514555</v>
      </c>
      <c r="AG44" s="90">
        <f>'增加值 (2001-2060, 2020RMB)'!AG44*$B$73</f>
        <v>4625.3577653171606</v>
      </c>
      <c r="AH44" s="90">
        <f>'增加值 (2001-2060, 2020RMB)'!AH44*$B$73</f>
        <v>4722.7015879824357</v>
      </c>
      <c r="AI44" s="90">
        <f>'增加值 (2001-2060, 2020RMB)'!AI44*$B$73</f>
        <v>4810.9553945338621</v>
      </c>
      <c r="AJ44" s="106">
        <f>'增加值 (2001-2060, 2020RMB)'!AJ44*$B$73</f>
        <v>4890.9475112968275</v>
      </c>
      <c r="AK44" s="89">
        <f>'增加值 (2001-2060, 2020RMB)'!AK44*$B$73</f>
        <v>4963.4534916904404</v>
      </c>
      <c r="AL44" s="90">
        <f>'增加值 (2001-2060, 2020RMB)'!AL44*$B$73</f>
        <v>5028.5827063650477</v>
      </c>
      <c r="AM44" s="90">
        <f>'增加值 (2001-2060, 2020RMB)'!AM44*$B$73</f>
        <v>5086.3069844931961</v>
      </c>
      <c r="AN44" s="90">
        <f>'增加值 (2001-2060, 2020RMB)'!AN44*$B$73</f>
        <v>5136.6445542965203</v>
      </c>
      <c r="AO44" s="101">
        <f>'增加值 (2001-2060, 2020RMB)'!AO44*$B$73</f>
        <v>5179.6579338613092</v>
      </c>
      <c r="AP44" s="90">
        <f>'增加值 (2001-2060, 2020RMB)'!AP44*$B$73</f>
        <v>5215.4514739585647</v>
      </c>
      <c r="AQ44" s="90">
        <f>'增加值 (2001-2060, 2020RMB)'!AQ44*$B$73</f>
        <v>5244.1686088750148</v>
      </c>
      <c r="AR44" s="90">
        <f>'增加值 (2001-2060, 2020RMB)'!AR44*$B$73</f>
        <v>5265.9888717704489</v>
      </c>
      <c r="AS44" s="90">
        <f>'增加值 (2001-2060, 2020RMB)'!AS44*$B$73</f>
        <v>5281.1247304998324</v>
      </c>
      <c r="AT44" s="90">
        <f>'增加值 (2001-2060, 2020RMB)'!AT44*$B$73</f>
        <v>5289.8182982884109</v>
      </c>
      <c r="AU44" s="89">
        <f>'增加值 (2001-2060, 2020RMB)'!AU44*$B$73</f>
        <v>5292.3379712512069</v>
      </c>
      <c r="AV44" s="90">
        <f>'增加值 (2001-2060, 2020RMB)'!AV44*$B$73</f>
        <v>5288.9750416371444</v>
      </c>
      <c r="AW44" s="90">
        <f>'增加值 (2001-2060, 2020RMB)'!AW44*$B$73</f>
        <v>5280.0403319903462</v>
      </c>
      <c r="AX44" s="90">
        <f>'增加值 (2001-2060, 2020RMB)'!AX44*$B$73</f>
        <v>5265.860891289748</v>
      </c>
      <c r="AY44" s="101">
        <f>'增加值 (2001-2060, 2020RMB)'!AY44*$B$73</f>
        <v>5246.7767896856321</v>
      </c>
      <c r="AZ44" s="89">
        <f>'增加值 (2001-2060, 2020RMB)'!AZ44*$B$73</f>
        <v>5223.1380438209453</v>
      </c>
      <c r="BA44" s="90">
        <f>'增加值 (2001-2060, 2020RMB)'!BA44*$B$73</f>
        <v>5195.301700019585</v>
      </c>
      <c r="BB44" s="90">
        <f>'增加值 (2001-2060, 2020RMB)'!BB44*$B$73</f>
        <v>5163.6290979472951</v>
      </c>
      <c r="BC44" s="90">
        <f>'增加值 (2001-2060, 2020RMB)'!BC44*$B$73</f>
        <v>5128.4833327923234</v>
      </c>
      <c r="BD44" s="101">
        <f>'增加值 (2001-2060, 2020RMB)'!BD44*$B$73</f>
        <v>5090.2269296503755</v>
      </c>
      <c r="BE44" s="90">
        <f>'增加值 (2001-2060, 2020RMB)'!BE44*$B$73</f>
        <v>5049.219739695518</v>
      </c>
      <c r="BF44" s="90">
        <f>'增加值 (2001-2060, 2020RMB)'!BF44*$B$73</f>
        <v>5005.8170639260388</v>
      </c>
      <c r="BG44" s="90">
        <f>'增加值 (2001-2060, 2020RMB)'!BG44*$B$73</f>
        <v>4960.368006829458</v>
      </c>
      <c r="BH44" s="90">
        <f>'增加值 (2001-2060, 2020RMB)'!BH44*$B$73</f>
        <v>4913.2140592416854</v>
      </c>
      <c r="BI44" s="109">
        <f>'增加值 (2001-2060, 2020RMB)'!BI44*$B$73</f>
        <v>4864.6879069944071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(2001-2060, 2020RMB)'!I45*$B$73</f>
        <v>439.16700116624838</v>
      </c>
      <c r="J45" s="20">
        <f>'增加值 (2001-2060, 2020RMB)'!J45*$B$73</f>
        <v>492.90481857395127</v>
      </c>
      <c r="K45" s="21">
        <f>'增加值 (2001-2060, 2020RMB)'!K45*$B$73</f>
        <v>585.88854632995037</v>
      </c>
      <c r="L45" s="19">
        <f>'增加值 (2001-2060, 2020RMB)'!L45*$B$73</f>
        <v>630.52520411484909</v>
      </c>
      <c r="M45" s="20">
        <f>'增加值 (2001-2060, 2020RMB)'!M45*$B$73</f>
        <v>627.86780663475895</v>
      </c>
      <c r="N45" s="20">
        <f>'增加值 (2001-2060, 2020RMB)'!N45*$B$73</f>
        <v>625.07955852316729</v>
      </c>
      <c r="O45" s="20">
        <f>'增加值 (2001-2060, 2020RMB)'!O45*$B$73</f>
        <v>675.39018356764871</v>
      </c>
      <c r="P45" s="20">
        <f>'增加值 (2001-2060, 2020RMB)'!P45*$B$73</f>
        <v>684.31855733125531</v>
      </c>
      <c r="Q45" s="19">
        <f>'增加值 (2001-2060, 2020RMB)'!Q45*$B$73</f>
        <v>689.18639066633614</v>
      </c>
      <c r="R45" s="20">
        <f>'增加值 (2001-2060, 2020RMB)'!R45*$B$73</f>
        <v>740.85280156929605</v>
      </c>
      <c r="S45" s="20">
        <f>'增加值 (2001-2060, 2020RMB)'!S45*$B$73</f>
        <v>776.76236454005254</v>
      </c>
      <c r="T45" s="20">
        <f>'增加值 (2001-2060, 2020RMB)'!T45*$B$73</f>
        <v>804.34925709304082</v>
      </c>
      <c r="U45" s="21">
        <f>'增加值 (2001-2060, 2020RMB)'!U45*$B$73</f>
        <v>775.76461349021258</v>
      </c>
      <c r="V45" s="20">
        <f>'增加值 (2001-2060, 2020RMB)'!V45*$B$73</f>
        <v>875.56611675062425</v>
      </c>
      <c r="W45" s="20">
        <f>'增加值 (2001-2060, 2020RMB)'!W45*$B$73</f>
        <v>910.77433504394821</v>
      </c>
      <c r="X45" s="90">
        <f>'增加值 (2001-2060, 2020RMB)'!X45*$B$73</f>
        <v>933.73227995411605</v>
      </c>
      <c r="Y45" s="90">
        <f>'增加值 (2001-2060, 2020RMB)'!Y45*$B$73</f>
        <v>958.31904170647783</v>
      </c>
      <c r="Z45" s="90">
        <f>'增加值 (2001-2060, 2020RMB)'!Z45*$B$73</f>
        <v>984.06037213738398</v>
      </c>
      <c r="AA45" s="89">
        <f>'增加值 (2001-2060, 2020RMB)'!AA45*$B$73</f>
        <v>1010.4270757701395</v>
      </c>
      <c r="AB45" s="90">
        <f>'增加值 (2001-2060, 2020RMB)'!AB45*$B$73</f>
        <v>1036.8299623440721</v>
      </c>
      <c r="AC45" s="90">
        <f>'增加值 (2001-2060, 2020RMB)'!AC45*$B$73</f>
        <v>1062.6179793917645</v>
      </c>
      <c r="AD45" s="90">
        <f>'增加值 (2001-2060, 2020RMB)'!AD45*$B$73</f>
        <v>1087.0801441062606</v>
      </c>
      <c r="AE45" s="101">
        <f>'增加值 (2001-2060, 2020RMB)'!AE45*$B$73</f>
        <v>1109.4518906955016</v>
      </c>
      <c r="AF45" s="90">
        <f>'增加值 (2001-2060, 2020RMB)'!AF45*$B$73</f>
        <v>1129.0941046680134</v>
      </c>
      <c r="AG45" s="90">
        <f>'增加值 (2001-2060, 2020RMB)'!AG45*$B$73</f>
        <v>1146.0323771836349</v>
      </c>
      <c r="AH45" s="90">
        <f>'增加值 (2001-2060, 2020RMB)'!AH45*$B$73</f>
        <v>1160.4957811050303</v>
      </c>
      <c r="AI45" s="90">
        <f>'增加值 (2001-2060, 2020RMB)'!AI45*$B$73</f>
        <v>1172.7488742942348</v>
      </c>
      <c r="AJ45" s="106">
        <f>'增加值 (2001-2060, 2020RMB)'!AJ45*$B$73</f>
        <v>1183.0854482137877</v>
      </c>
      <c r="AK45" s="89">
        <f>'增加值 (2001-2060, 2020RMB)'!AK45*$B$73</f>
        <v>1191.7691201952102</v>
      </c>
      <c r="AL45" s="90">
        <f>'增加值 (2001-2060, 2020RMB)'!AL45*$B$73</f>
        <v>1198.8646901989046</v>
      </c>
      <c r="AM45" s="90">
        <f>'增加值 (2001-2060, 2020RMB)'!AM45*$B$73</f>
        <v>1204.3917800734578</v>
      </c>
      <c r="AN45" s="90">
        <f>'增加值 (2001-2060, 2020RMB)'!AN45*$B$73</f>
        <v>1208.3771832286684</v>
      </c>
      <c r="AO45" s="101">
        <f>'增加值 (2001-2060, 2020RMB)'!AO45*$B$73</f>
        <v>1210.854379452132</v>
      </c>
      <c r="AP45" s="90">
        <f>'增加值 (2001-2060, 2020RMB)'!AP45*$B$73</f>
        <v>1211.8630165734771</v>
      </c>
      <c r="AQ45" s="90">
        <f>'增加值 (2001-2060, 2020RMB)'!AQ45*$B$73</f>
        <v>1211.4483667277168</v>
      </c>
      <c r="AR45" s="90">
        <f>'增加值 (2001-2060, 2020RMB)'!AR45*$B$73</f>
        <v>1209.6607647642297</v>
      </c>
      <c r="AS45" s="90">
        <f>'增加值 (2001-2060, 2020RMB)'!AS45*$B$73</f>
        <v>1206.5550360432437</v>
      </c>
      <c r="AT45" s="90">
        <f>'增加值 (2001-2060, 2020RMB)'!AT45*$B$73</f>
        <v>1202.1899204718145</v>
      </c>
      <c r="AU45" s="89">
        <f>'增加值 (2001-2060, 2020RMB)'!AU45*$B$73</f>
        <v>1196.6274991699236</v>
      </c>
      <c r="AV45" s="90">
        <f>'增加值 (2001-2060, 2020RMB)'!AV45*$B$73</f>
        <v>1189.9326296390275</v>
      </c>
      <c r="AW45" s="90">
        <f>'增加值 (2001-2060, 2020RMB)'!AW45*$B$73</f>
        <v>1182.1723947443734</v>
      </c>
      <c r="AX45" s="90">
        <f>'增加值 (2001-2060, 2020RMB)'!AX45*$B$73</f>
        <v>1173.4155702320777</v>
      </c>
      <c r="AY45" s="101">
        <f>'增加值 (2001-2060, 2020RMB)'!AY45*$B$73</f>
        <v>1163.7321148949065</v>
      </c>
      <c r="AZ45" s="89">
        <f>'增加值 (2001-2060, 2020RMB)'!AZ45*$B$73</f>
        <v>1153.1926868891046</v>
      </c>
      <c r="BA45" s="90">
        <f>'增加值 (2001-2060, 2020RMB)'!BA45*$B$73</f>
        <v>1141.8681890987148</v>
      </c>
      <c r="BB45" s="90">
        <f>'增加值 (2001-2060, 2020RMB)'!BB45*$B$73</f>
        <v>1129.8293458533301</v>
      </c>
      <c r="BC45" s="90">
        <f>'增加值 (2001-2060, 2020RMB)'!BC45*$B$73</f>
        <v>1117.1463127380971</v>
      </c>
      <c r="BD45" s="101">
        <f>'增加值 (2001-2060, 2020RMB)'!BD45*$B$73</f>
        <v>1103.8883206980543</v>
      </c>
      <c r="BE45" s="90">
        <f>'增加值 (2001-2060, 2020RMB)'!BE45*$B$73</f>
        <v>1090.1233551379073</v>
      </c>
      <c r="BF45" s="90">
        <f>'增加值 (2001-2060, 2020RMB)'!BF45*$B$73</f>
        <v>1075.9178702575941</v>
      </c>
      <c r="BG45" s="90">
        <f>'增加值 (2001-2060, 2020RMB)'!BG45*$B$73</f>
        <v>1061.3365384464569</v>
      </c>
      <c r="BH45" s="90">
        <f>'增加值 (2001-2060, 2020RMB)'!BH45*$B$73</f>
        <v>1046.4420341865243</v>
      </c>
      <c r="BI45" s="109">
        <f>'增加值 (2001-2060, 2020RMB)'!BI45*$B$73</f>
        <v>1031.2948515892483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(2001-2060, 2020RMB)'!I46*$B$73</f>
        <v>1217.5195160253679</v>
      </c>
      <c r="J46" s="20">
        <f>'增加值 (2001-2060, 2020RMB)'!J46*$B$73</f>
        <v>1292.6341207581518</v>
      </c>
      <c r="K46" s="21">
        <f>'增加值 (2001-2060, 2020RMB)'!K46*$B$73</f>
        <v>1490.0363414785679</v>
      </c>
      <c r="L46" s="19">
        <f>'增加值 (2001-2060, 2020RMB)'!L46*$B$73</f>
        <v>1639.350314270589</v>
      </c>
      <c r="M46" s="20">
        <f>'增加值 (2001-2060, 2020RMB)'!M46*$B$73</f>
        <v>1712.0343556535668</v>
      </c>
      <c r="N46" s="20">
        <f>'增加值 (2001-2060, 2020RMB)'!N46*$B$73</f>
        <v>1803.6398418356748</v>
      </c>
      <c r="O46" s="20">
        <f>'增加值 (2001-2060, 2020RMB)'!O46*$B$73</f>
        <v>1891.7453428330407</v>
      </c>
      <c r="P46" s="20">
        <f>'增加值 (2001-2060, 2020RMB)'!P46*$B$73</f>
        <v>1925.726984191494</v>
      </c>
      <c r="Q46" s="19">
        <f>'增加值 (2001-2060, 2020RMB)'!Q46*$B$73</f>
        <v>2039.0277316223494</v>
      </c>
      <c r="R46" s="20">
        <f>'增加值 (2001-2060, 2020RMB)'!R46*$B$73</f>
        <v>2282.7007277873363</v>
      </c>
      <c r="S46" s="20">
        <f>'增加值 (2001-2060, 2020RMB)'!S46*$B$73</f>
        <v>2438.8021860920107</v>
      </c>
      <c r="T46" s="20">
        <f>'增加值 (2001-2060, 2020RMB)'!T46*$B$73</f>
        <v>2603.0134076603781</v>
      </c>
      <c r="U46" s="21">
        <f>'增加值 (2001-2060, 2020RMB)'!U46*$B$73</f>
        <v>2742.170325969631</v>
      </c>
      <c r="V46" s="20">
        <f>'增加值 (2001-2060, 2020RMB)'!V46*$B$73</f>
        <v>3334.778314369561</v>
      </c>
      <c r="W46" s="20">
        <f>'增加值 (2001-2060, 2020RMB)'!W46*$B$73</f>
        <v>3790.6958165959172</v>
      </c>
      <c r="X46" s="90">
        <f>'增加值 (2001-2060, 2020RMB)'!X46*$B$73</f>
        <v>4088.2263577689237</v>
      </c>
      <c r="Y46" s="90">
        <f>'增加值 (2001-2060, 2020RMB)'!Y46*$B$73</f>
        <v>4406.7824653164198</v>
      </c>
      <c r="Z46" s="90">
        <f>'增加值 (2001-2060, 2020RMB)'!Z46*$B$73</f>
        <v>4745.3598682315851</v>
      </c>
      <c r="AA46" s="89">
        <f>'增加值 (2001-2060, 2020RMB)'!AA46*$B$73</f>
        <v>5102.3205076468339</v>
      </c>
      <c r="AB46" s="90">
        <f>'增加值 (2001-2060, 2020RMB)'!AB46*$B$73</f>
        <v>5475.2952309762522</v>
      </c>
      <c r="AC46" s="90">
        <f>'增加值 (2001-2060, 2020RMB)'!AC46*$B$73</f>
        <v>5861.0948693554292</v>
      </c>
      <c r="AD46" s="90">
        <f>'增加值 (2001-2060, 2020RMB)'!AD46*$B$73</f>
        <v>6255.637077141394</v>
      </c>
      <c r="AE46" s="101">
        <f>'增加值 (2001-2060, 2020RMB)'!AE46*$B$73</f>
        <v>6653.8974654907151</v>
      </c>
      <c r="AF46" s="90">
        <f>'增加值 (2001-2060, 2020RMB)'!AF46*$B$73</f>
        <v>7050.7062972720196</v>
      </c>
      <c r="AG46" s="90">
        <f>'增加值 (2001-2060, 2020RMB)'!AG46*$B$73</f>
        <v>7443.5714185002316</v>
      </c>
      <c r="AH46" s="90">
        <f>'增加值 (2001-2060, 2020RMB)'!AH46*$B$73</f>
        <v>7830.9162662032586</v>
      </c>
      <c r="AI46" s="90">
        <f>'增加值 (2001-2060, 2020RMB)'!AI46*$B$73</f>
        <v>8211.3876563884278</v>
      </c>
      <c r="AJ46" s="106">
        <f>'增加值 (2001-2060, 2020RMB)'!AJ46*$B$73</f>
        <v>8583.87836695037</v>
      </c>
      <c r="AK46" s="89">
        <f>'增加值 (2001-2060, 2020RMB)'!AK46*$B$73</f>
        <v>8947.405161238592</v>
      </c>
      <c r="AL46" s="90">
        <f>'增加值 (2001-2060, 2020RMB)'!AL46*$B$73</f>
        <v>9300.6595428092714</v>
      </c>
      <c r="AM46" s="90">
        <f>'增加值 (2001-2060, 2020RMB)'!AM46*$B$73</f>
        <v>9642.3587480847509</v>
      </c>
      <c r="AN46" s="90">
        <f>'增加值 (2001-2060, 2020RMB)'!AN46*$B$73</f>
        <v>9971.3858078729409</v>
      </c>
      <c r="AO46" s="101">
        <f>'增加值 (2001-2060, 2020RMB)'!AO46*$B$73</f>
        <v>10286.798936204768</v>
      </c>
      <c r="AP46" s="90">
        <f>'增加值 (2001-2060, 2020RMB)'!AP46*$B$73</f>
        <v>10587.837807706597</v>
      </c>
      <c r="AQ46" s="90">
        <f>'增加值 (2001-2060, 2020RMB)'!AQ46*$B$73</f>
        <v>10873.926832849487</v>
      </c>
      <c r="AR46" s="90">
        <f>'增加值 (2001-2060, 2020RMB)'!AR46*$B$73</f>
        <v>11144.675607128947</v>
      </c>
      <c r="AS46" s="90">
        <f>'增加值 (2001-2060, 2020RMB)'!AS46*$B$73</f>
        <v>11399.87676625846</v>
      </c>
      <c r="AT46" s="90">
        <f>'增加值 (2001-2060, 2020RMB)'!AT46*$B$73</f>
        <v>11639.501524158966</v>
      </c>
      <c r="AU46" s="89">
        <f>'增加值 (2001-2060, 2020RMB)'!AU46*$B$73</f>
        <v>11863.69320373462</v>
      </c>
      <c r="AV46" s="90">
        <f>'增加值 (2001-2060, 2020RMB)'!AV46*$B$73</f>
        <v>12072.759092434902</v>
      </c>
      <c r="AW46" s="90">
        <f>'增加值 (2001-2060, 2020RMB)'!AW46*$B$73</f>
        <v>12267.160966083851</v>
      </c>
      <c r="AX46" s="90">
        <f>'增加值 (2001-2060, 2020RMB)'!AX46*$B$73</f>
        <v>12447.504626382688</v>
      </c>
      <c r="AY46" s="101">
        <f>'增加值 (2001-2060, 2020RMB)'!AY46*$B$73</f>
        <v>12614.528791063449</v>
      </c>
      <c r="AZ46" s="89">
        <f>'增加值 (2001-2060, 2020RMB)'!AZ46*$B$73</f>
        <v>12769.093662243999</v>
      </c>
      <c r="BA46" s="90">
        <f>'增加值 (2001-2060, 2020RMB)'!BA46*$B$73</f>
        <v>12912.169479547447</v>
      </c>
      <c r="BB46" s="90">
        <f>'增加值 (2001-2060, 2020RMB)'!BB46*$B$73</f>
        <v>13044.825341460992</v>
      </c>
      <c r="BC46" s="90">
        <f>'增加值 (2001-2060, 2020RMB)'!BC46*$B$73</f>
        <v>13168.218552645943</v>
      </c>
      <c r="BD46" s="101">
        <f>'增加值 (2001-2060, 2020RMB)'!BD46*$B$73</f>
        <v>13283.584727830517</v>
      </c>
      <c r="BE46" s="90">
        <f>'增加值 (2001-2060, 2020RMB)'!BE46*$B$73</f>
        <v>13392.228855764859</v>
      </c>
      <c r="BF46" s="90">
        <f>'增加值 (2001-2060, 2020RMB)'!BF46*$B$73</f>
        <v>13495.51750062411</v>
      </c>
      <c r="BG46" s="90">
        <f>'增加值 (2001-2060, 2020RMB)'!BG46*$B$73</f>
        <v>13594.872294196368</v>
      </c>
      <c r="BH46" s="90">
        <f>'增加值 (2001-2060, 2020RMB)'!BH46*$B$73</f>
        <v>13691.764851047366</v>
      </c>
      <c r="BI46" s="109">
        <f>'增加值 (2001-2060, 2020RMB)'!BI46*$B$73</f>
        <v>13787.713221341422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(2001-2060, 2020RMB)'!I47*$B$73</f>
        <v>1706.6024804589906</v>
      </c>
      <c r="J47" s="20">
        <f>'增加值 (2001-2060, 2020RMB)'!J47*$B$73</f>
        <v>1703.5010482581254</v>
      </c>
      <c r="K47" s="21">
        <f>'增加值 (2001-2060, 2020RMB)'!K47*$B$73</f>
        <v>1933.8707410286615</v>
      </c>
      <c r="L47" s="19">
        <f>'增加值 (2001-2060, 2020RMB)'!L47*$B$73</f>
        <v>2153.675657808727</v>
      </c>
      <c r="M47" s="20">
        <f>'增加值 (2001-2060, 2020RMB)'!M47*$B$73</f>
        <v>2298.3702505757124</v>
      </c>
      <c r="N47" s="20">
        <f>'增加值 (2001-2060, 2020RMB)'!N47*$B$73</f>
        <v>2430.0821452448795</v>
      </c>
      <c r="O47" s="20">
        <f>'增加值 (2001-2060, 2020RMB)'!O47*$B$73</f>
        <v>2614.0226283800762</v>
      </c>
      <c r="P47" s="20">
        <f>'增加值 (2001-2060, 2020RMB)'!P47*$B$73</f>
        <v>2740.3367900106496</v>
      </c>
      <c r="Q47" s="19">
        <f>'增加值 (2001-2060, 2020RMB)'!Q47*$B$73</f>
        <v>2941.6791661197531</v>
      </c>
      <c r="R47" s="20">
        <f>'增加值 (2001-2060, 2020RMB)'!R47*$B$73</f>
        <v>3388.5062004678171</v>
      </c>
      <c r="S47" s="20">
        <f>'增加值 (2001-2060, 2020RMB)'!S47*$B$73</f>
        <v>3815.9156485707945</v>
      </c>
      <c r="T47" s="20">
        <f>'增加值 (2001-2060, 2020RMB)'!T47*$B$73</f>
        <v>4021.3431733748421</v>
      </c>
      <c r="U47" s="21">
        <f>'增加值 (2001-2060, 2020RMB)'!U47*$B$73</f>
        <v>4189.6426485802067</v>
      </c>
      <c r="V47" s="20">
        <f>'增加值 (2001-2060, 2020RMB)'!V47*$B$73</f>
        <v>5047.07826989772</v>
      </c>
      <c r="W47" s="20">
        <f>'增加值 (2001-2060, 2020RMB)'!W47*$B$73</f>
        <v>5516.6342563589078</v>
      </c>
      <c r="X47" s="90">
        <f>'增加值 (2001-2060, 2020RMB)'!X47*$B$73</f>
        <v>6003.641615719559</v>
      </c>
      <c r="Y47" s="90">
        <f>'增加值 (2001-2060, 2020RMB)'!Y47*$B$73</f>
        <v>6509.3791230159568</v>
      </c>
      <c r="Z47" s="90">
        <f>'增加值 (2001-2060, 2020RMB)'!Z47*$B$73</f>
        <v>7033.1355793332941</v>
      </c>
      <c r="AA47" s="89">
        <f>'增加值 (2001-2060, 2020RMB)'!AA47*$B$73</f>
        <v>7574.315709128352</v>
      </c>
      <c r="AB47" s="90">
        <f>'增加值 (2001-2060, 2020RMB)'!AB47*$B$73</f>
        <v>8132.4833621194066</v>
      </c>
      <c r="AC47" s="90">
        <f>'增加值 (2001-2060, 2020RMB)'!AC47*$B$73</f>
        <v>8707.4042141554564</v>
      </c>
      <c r="AD47" s="90">
        <f>'增加值 (2001-2060, 2020RMB)'!AD47*$B$73</f>
        <v>9299.08774104646</v>
      </c>
      <c r="AE47" s="101">
        <f>'增加值 (2001-2060, 2020RMB)'!AE47*$B$73</f>
        <v>9907.8284504638832</v>
      </c>
      <c r="AF47" s="90">
        <f>'增加值 (2001-2060, 2020RMB)'!AF47*$B$73</f>
        <v>10533.769321894926</v>
      </c>
      <c r="AG47" s="90">
        <f>'增加值 (2001-2060, 2020RMB)'!AG47*$B$73</f>
        <v>11175.277471405305</v>
      </c>
      <c r="AH47" s="90">
        <f>'增加值 (2001-2060, 2020RMB)'!AH47*$B$73</f>
        <v>11829.988721966203</v>
      </c>
      <c r="AI47" s="90">
        <f>'增加值 (2001-2060, 2020RMB)'!AI47*$B$73</f>
        <v>12495.227505255587</v>
      </c>
      <c r="AJ47" s="106">
        <f>'增加值 (2001-2060, 2020RMB)'!AJ47*$B$73</f>
        <v>13168.009908633709</v>
      </c>
      <c r="AK47" s="89">
        <f>'增加值 (2001-2060, 2020RMB)'!AK47*$B$73</f>
        <v>13845.312283721956</v>
      </c>
      <c r="AL47" s="90">
        <f>'增加值 (2001-2060, 2020RMB)'!AL47*$B$73</f>
        <v>14524.968687439083</v>
      </c>
      <c r="AM47" s="90">
        <f>'增加值 (2001-2060, 2020RMB)'!AM47*$B$73</f>
        <v>15205.085707006168</v>
      </c>
      <c r="AN47" s="90">
        <f>'增加值 (2001-2060, 2020RMB)'!AN47*$B$73</f>
        <v>15883.826679940888</v>
      </c>
      <c r="AO47" s="101">
        <f>'增加值 (2001-2060, 2020RMB)'!AO47*$B$73</f>
        <v>16559.430113144834</v>
      </c>
      <c r="AP47" s="90">
        <f>'增加值 (2001-2060, 2020RMB)'!AP47*$B$73</f>
        <v>17230.226818203024</v>
      </c>
      <c r="AQ47" s="90">
        <f>'增加值 (2001-2060, 2020RMB)'!AQ47*$B$73</f>
        <v>17894.655582443782</v>
      </c>
      <c r="AR47" s="90">
        <f>'增加值 (2001-2060, 2020RMB)'!AR47*$B$73</f>
        <v>18551.277233835182</v>
      </c>
      <c r="AS47" s="90">
        <f>'增加值 (2001-2060, 2020RMB)'!AS47*$B$73</f>
        <v>19198.786997109914</v>
      </c>
      <c r="AT47" s="90">
        <f>'增加值 (2001-2060, 2020RMB)'!AT47*$B$73</f>
        <v>19836.025077614497</v>
      </c>
      <c r="AU47" s="89">
        <f>'增加值 (2001-2060, 2020RMB)'!AU47*$B$73</f>
        <v>20461.985447378585</v>
      </c>
      <c r="AV47" s="90">
        <f>'增加值 (2001-2060, 2020RMB)'!AV47*$B$73</f>
        <v>21075.822844006383</v>
      </c>
      <c r="AW47" s="90">
        <f>'增加值 (2001-2060, 2020RMB)'!AW47*$B$73</f>
        <v>21676.858026548605</v>
      </c>
      <c r="AX47" s="90">
        <f>'增加值 (2001-2060, 2020RMB)'!AX47*$B$73</f>
        <v>22264.581362992954</v>
      </c>
      <c r="AY47" s="101">
        <f>'增加值 (2001-2060, 2020RMB)'!AY47*$B$73</f>
        <v>22838.654851032821</v>
      </c>
      <c r="AZ47" s="89">
        <f>'增加值 (2001-2060, 2020RMB)'!AZ47*$B$73</f>
        <v>23398.912697083946</v>
      </c>
      <c r="BA47" s="90">
        <f>'增加值 (2001-2060, 2020RMB)'!BA47*$B$73</f>
        <v>23945.360598006315</v>
      </c>
      <c r="BB47" s="90">
        <f>'增加值 (2001-2060, 2020RMB)'!BB47*$B$73</f>
        <v>24478.173885647495</v>
      </c>
      <c r="BC47" s="90">
        <f>'增加值 (2001-2060, 2020RMB)'!BC47*$B$73</f>
        <v>24997.694706277121</v>
      </c>
      <c r="BD47" s="101">
        <f>'增加值 (2001-2060, 2020RMB)'!BD47*$B$73</f>
        <v>25504.428415429116</v>
      </c>
      <c r="BE47" s="90">
        <f>'增加值 (2001-2060, 2020RMB)'!BE47*$B$73</f>
        <v>25999.039373905962</v>
      </c>
      <c r="BF47" s="90">
        <f>'增加值 (2001-2060, 2020RMB)'!BF47*$B$73</f>
        <v>26482.346333075133</v>
      </c>
      <c r="BG47" s="90">
        <f>'增加值 (2001-2060, 2020RMB)'!BG47*$B$73</f>
        <v>26955.317597512927</v>
      </c>
      <c r="BH47" s="90">
        <f>'增加值 (2001-2060, 2020RMB)'!BH47*$B$73</f>
        <v>27419.066150964896</v>
      </c>
      <c r="BI47" s="109">
        <f>'增加值 (2001-2060, 2020RMB)'!BI47*$B$73</f>
        <v>27874.844927961774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(2001-2060, 2020RMB)'!I48*$B$73</f>
        <v>174.94890796108089</v>
      </c>
      <c r="J48" s="20">
        <f>'增加值 (2001-2060, 2020RMB)'!J48*$B$73</f>
        <v>169.15820543043426</v>
      </c>
      <c r="K48" s="21">
        <f>'增加值 (2001-2060, 2020RMB)'!K48*$B$73</f>
        <v>196.46933500099175</v>
      </c>
      <c r="L48" s="19">
        <f>'增加值 (2001-2060, 2020RMB)'!L48*$B$73</f>
        <v>219.55529259720151</v>
      </c>
      <c r="M48" s="20">
        <f>'增加值 (2001-2060, 2020RMB)'!M48*$B$73</f>
        <v>235.35118038279785</v>
      </c>
      <c r="N48" s="20">
        <f>'增加值 (2001-2060, 2020RMB)'!N48*$B$73</f>
        <v>249.50909097016776</v>
      </c>
      <c r="O48" s="20">
        <f>'增加值 (2001-2060, 2020RMB)'!O48*$B$73</f>
        <v>261.69729116037337</v>
      </c>
      <c r="P48" s="20">
        <f>'增加值 (2001-2060, 2020RMB)'!P48*$B$73</f>
        <v>261.68098067397437</v>
      </c>
      <c r="Q48" s="19">
        <f>'增加值 (2001-2060, 2020RMB)'!Q48*$B$73</f>
        <v>279.37539782966684</v>
      </c>
      <c r="R48" s="20">
        <f>'增加值 (2001-2060, 2020RMB)'!R48*$B$73</f>
        <v>318.13496199016924</v>
      </c>
      <c r="S48" s="20">
        <f>'增加值 (2001-2060, 2020RMB)'!S48*$B$73</f>
        <v>336.40604594488298</v>
      </c>
      <c r="T48" s="20">
        <f>'增加值 (2001-2060, 2020RMB)'!T48*$B$73</f>
        <v>358.40848198921412</v>
      </c>
      <c r="U48" s="21">
        <f>'增加值 (2001-2060, 2020RMB)'!U48*$B$73</f>
        <v>358.49983471901351</v>
      </c>
      <c r="V48" s="20">
        <f>'增加值 (2001-2060, 2020RMB)'!V48*$B$73</f>
        <v>418.05813758237923</v>
      </c>
      <c r="W48" s="20">
        <f>'增加值 (2001-2060, 2020RMB)'!W48*$B$73</f>
        <v>444.2119594191438</v>
      </c>
      <c r="X48" s="90">
        <f>'增加值 (2001-2060, 2020RMB)'!X48*$B$73</f>
        <v>470.80184701106077</v>
      </c>
      <c r="Y48" s="90">
        <f>'增加值 (2001-2060, 2020RMB)'!Y48*$B$73</f>
        <v>497.91662282724087</v>
      </c>
      <c r="Z48" s="90">
        <f>'增加值 (2001-2060, 2020RMB)'!Z48*$B$73</f>
        <v>525.4685433226075</v>
      </c>
      <c r="AA48" s="89">
        <f>'增加值 (2001-2060, 2020RMB)'!AA48*$B$73</f>
        <v>553.36224309188856</v>
      </c>
      <c r="AB48" s="90">
        <f>'增加值 (2001-2060, 2020RMB)'!AB48*$B$73</f>
        <v>581.49515527837343</v>
      </c>
      <c r="AC48" s="90">
        <f>'增加值 (2001-2060, 2020RMB)'!AC48*$B$73</f>
        <v>609.75803103980434</v>
      </c>
      <c r="AD48" s="90">
        <f>'增加值 (2001-2060, 2020RMB)'!AD48*$B$73</f>
        <v>638.03555625105366</v>
      </c>
      <c r="AE48" s="101">
        <f>'增加值 (2001-2060, 2020RMB)'!AE48*$B$73</f>
        <v>666.20706207385001</v>
      </c>
      <c r="AF48" s="90">
        <f>'增加值 (2001-2060, 2020RMB)'!AF48*$B$73</f>
        <v>694.15526064933601</v>
      </c>
      <c r="AG48" s="90">
        <f>'增加值 (2001-2060, 2020RMB)'!AG48*$B$73</f>
        <v>721.7934608532687</v>
      </c>
      <c r="AH48" s="90">
        <f>'增加值 (2001-2060, 2020RMB)'!AH48*$B$73</f>
        <v>749.04700005246184</v>
      </c>
      <c r="AI48" s="90">
        <f>'增加值 (2001-2060, 2020RMB)'!AI48*$B$73</f>
        <v>775.84660103810245</v>
      </c>
      <c r="AJ48" s="106">
        <f>'增加值 (2001-2060, 2020RMB)'!AJ48*$B$73</f>
        <v>802.12894258058077</v>
      </c>
      <c r="AK48" s="89">
        <f>'增加值 (2001-2060, 2020RMB)'!AK48*$B$73</f>
        <v>827.83400608267527</v>
      </c>
      <c r="AL48" s="90">
        <f>'增加值 (2001-2060, 2020RMB)'!AL48*$B$73</f>
        <v>852.89529657478511</v>
      </c>
      <c r="AM48" s="90">
        <f>'增加值 (2001-2060, 2020RMB)'!AM48*$B$73</f>
        <v>877.24831239772163</v>
      </c>
      <c r="AN48" s="90">
        <f>'增加值 (2001-2060, 2020RMB)'!AN48*$B$73</f>
        <v>900.83388182821216</v>
      </c>
      <c r="AO48" s="101">
        <f>'增加值 (2001-2060, 2020RMB)'!AO48*$B$73</f>
        <v>923.59849385967664</v>
      </c>
      <c r="AP48" s="90">
        <f>'增加值 (2001-2060, 2020RMB)'!AP48*$B$73</f>
        <v>945.49456413013468</v>
      </c>
      <c r="AQ48" s="90">
        <f>'增加值 (2001-2060, 2020RMB)'!AQ48*$B$73</f>
        <v>966.48063591033088</v>
      </c>
      <c r="AR48" s="90">
        <f>'增加值 (2001-2060, 2020RMB)'!AR48*$B$73</f>
        <v>986.52151702624531</v>
      </c>
      <c r="AS48" s="90">
        <f>'增加值 (2001-2060, 2020RMB)'!AS48*$B$73</f>
        <v>1005.5883544764308</v>
      </c>
      <c r="AT48" s="90">
        <f>'增加值 (2001-2060, 2020RMB)'!AT48*$B$73</f>
        <v>1023.6586493046381</v>
      </c>
      <c r="AU48" s="89">
        <f>'增加值 (2001-2060, 2020RMB)'!AU48*$B$73</f>
        <v>1040.7162149927944</v>
      </c>
      <c r="AV48" s="90">
        <f>'增加值 (2001-2060, 2020RMB)'!AV48*$B$73</f>
        <v>1056.751083242425</v>
      </c>
      <c r="AW48" s="90">
        <f>'增加值 (2001-2060, 2020RMB)'!AW48*$B$73</f>
        <v>1071.7593615109779</v>
      </c>
      <c r="AX48" s="90">
        <f>'增加值 (2001-2060, 2020RMB)'!AX48*$B$73</f>
        <v>1085.7430470619195</v>
      </c>
      <c r="AY48" s="101">
        <f>'增加值 (2001-2060, 2020RMB)'!AY48*$B$73</f>
        <v>1098.7098025760815</v>
      </c>
      <c r="AZ48" s="89">
        <f>'增加值 (2001-2060, 2020RMB)'!AZ48*$B$73</f>
        <v>1110.6726985596156</v>
      </c>
      <c r="BA48" s="90">
        <f>'增加值 (2001-2060, 2020RMB)'!BA48*$B$73</f>
        <v>1121.6499278769786</v>
      </c>
      <c r="BB48" s="90">
        <f>'增加值 (2001-2060, 2020RMB)'!BB48*$B$73</f>
        <v>1131.6644977421818</v>
      </c>
      <c r="BC48" s="90">
        <f>'增加值 (2001-2060, 2020RMB)'!BC48*$B$73</f>
        <v>1140.7439044265764</v>
      </c>
      <c r="BD48" s="101">
        <f>'增加值 (2001-2060, 2020RMB)'!BD48*$B$73</f>
        <v>1148.9197957954252</v>
      </c>
      <c r="BE48" s="90">
        <f>'增加值 (2001-2060, 2020RMB)'!BE48*$B$73</f>
        <v>1156.2276265783057</v>
      </c>
      <c r="BF48" s="90">
        <f>'增加值 (2001-2060, 2020RMB)'!BF48*$B$73</f>
        <v>1162.7063110195745</v>
      </c>
      <c r="BG48" s="90">
        <f>'增加值 (2001-2060, 2020RMB)'!BG48*$B$73</f>
        <v>1168.3978772551816</v>
      </c>
      <c r="BH48" s="90">
        <f>'增加值 (2001-2060, 2020RMB)'!BH48*$B$73</f>
        <v>1173.3471274301819</v>
      </c>
      <c r="BI48" s="109">
        <f>'增加值 (2001-2060, 2020RMB)'!BI48*$B$73</f>
        <v>1177.6013072175497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(2001-2060, 2020RMB)'!I49*$B$73</f>
        <v>73.191384341486625</v>
      </c>
      <c r="J49" s="20">
        <f>'增加值 (2001-2060, 2020RMB)'!J49*$B$73</f>
        <v>73.474659653845421</v>
      </c>
      <c r="K49" s="21">
        <f>'增加值 (2001-2060, 2020RMB)'!K49*$B$73</f>
        <v>83.624921112940243</v>
      </c>
      <c r="L49" s="19">
        <f>'增加值 (2001-2060, 2020RMB)'!L49*$B$73</f>
        <v>95.218972821549272</v>
      </c>
      <c r="M49" s="20">
        <f>'增加值 (2001-2060, 2020RMB)'!M49*$B$73</f>
        <v>96.993213780031667</v>
      </c>
      <c r="N49" s="20">
        <f>'增加值 (2001-2060, 2020RMB)'!N49*$B$73</f>
        <v>94.258989967267098</v>
      </c>
      <c r="O49" s="20">
        <f>'增加值 (2001-2060, 2020RMB)'!O49*$B$73</f>
        <v>95.067933320263947</v>
      </c>
      <c r="P49" s="20">
        <f>'增加值 (2001-2060, 2020RMB)'!P49*$B$73</f>
        <v>95.693349747696558</v>
      </c>
      <c r="Q49" s="19">
        <f>'增加值 (2001-2060, 2020RMB)'!Q49*$B$73</f>
        <v>98.428540730725757</v>
      </c>
      <c r="R49" s="20">
        <f>'增加值 (2001-2060, 2020RMB)'!R49*$B$73</f>
        <v>105.50856697718477</v>
      </c>
      <c r="S49" s="20">
        <f>'增加值 (2001-2060, 2020RMB)'!S49*$B$73</f>
        <v>108.5215335751294</v>
      </c>
      <c r="T49" s="20">
        <f>'增加值 (2001-2060, 2020RMB)'!T49*$B$73</f>
        <v>107.45795578155793</v>
      </c>
      <c r="U49" s="21">
        <f>'增加值 (2001-2060, 2020RMB)'!U49*$B$73</f>
        <v>100.10482337303415</v>
      </c>
      <c r="V49" s="20">
        <f>'增加值 (2001-2060, 2020RMB)'!V49*$B$73</f>
        <v>113.81705420803372</v>
      </c>
      <c r="W49" s="20">
        <f>'增加值 (2001-2060, 2020RMB)'!W49*$B$73</f>
        <v>124.98414275926726</v>
      </c>
      <c r="X49" s="90">
        <f>'增加值 (2001-2060, 2020RMB)'!X49*$B$73</f>
        <v>128.841936225404</v>
      </c>
      <c r="Y49" s="90">
        <f>'增加值 (2001-2060, 2020RMB)'!Y49*$B$73</f>
        <v>132.57418043046658</v>
      </c>
      <c r="Z49" s="90">
        <f>'增加值 (2001-2060, 2020RMB)'!Z49*$B$73</f>
        <v>136.14069555062665</v>
      </c>
      <c r="AA49" s="89">
        <f>'增加值 (2001-2060, 2020RMB)'!AA49*$B$73</f>
        <v>139.49935820225076</v>
      </c>
      <c r="AB49" s="90">
        <f>'增加值 (2001-2060, 2020RMB)'!AB49*$B$73</f>
        <v>142.60659447291468</v>
      </c>
      <c r="AC49" s="90">
        <f>'增加值 (2001-2060, 2020RMB)'!AC49*$B$73</f>
        <v>145.41797323910876</v>
      </c>
      <c r="AD49" s="90">
        <f>'增加值 (2001-2060, 2020RMB)'!AD49*$B$73</f>
        <v>147.88889696603553</v>
      </c>
      <c r="AE49" s="101">
        <f>'增加值 (2001-2060, 2020RMB)'!AE49*$B$73</f>
        <v>149.97538325506508</v>
      </c>
      <c r="AF49" s="90">
        <f>'增加值 (2001-2060, 2020RMB)'!AF49*$B$73</f>
        <v>151.64998864605886</v>
      </c>
      <c r="AG49" s="90">
        <f>'增加值 (2001-2060, 2020RMB)'!AG49*$B$73</f>
        <v>152.94891148990968</v>
      </c>
      <c r="AH49" s="90">
        <f>'增加值 (2001-2060, 2020RMB)'!AH49*$B$73</f>
        <v>153.92840156201933</v>
      </c>
      <c r="AI49" s="90">
        <f>'增加值 (2001-2060, 2020RMB)'!AI49*$B$73</f>
        <v>154.64868913828005</v>
      </c>
      <c r="AJ49" s="106">
        <f>'增加值 (2001-2060, 2020RMB)'!AJ49*$B$73</f>
        <v>155.17279939912143</v>
      </c>
      <c r="AK49" s="89">
        <f>'增加值 (2001-2060, 2020RMB)'!AK49*$B$73</f>
        <v>155.55418555103196</v>
      </c>
      <c r="AL49" s="90">
        <f>'增加值 (2001-2060, 2020RMB)'!AL49*$B$73</f>
        <v>155.80162210220999</v>
      </c>
      <c r="AM49" s="90">
        <f>'增加值 (2001-2060, 2020RMB)'!AM49*$B$73</f>
        <v>155.91286822589643</v>
      </c>
      <c r="AN49" s="90">
        <f>'增加值 (2001-2060, 2020RMB)'!AN49*$B$73</f>
        <v>155.88603280135086</v>
      </c>
      <c r="AO49" s="101">
        <f>'增加值 (2001-2060, 2020RMB)'!AO49*$B$73</f>
        <v>155.71958975510697</v>
      </c>
      <c r="AP49" s="90">
        <f>'增加值 (2001-2060, 2020RMB)'!AP49*$B$73</f>
        <v>155.41239196524953</v>
      </c>
      <c r="AQ49" s="90">
        <f>'增加值 (2001-2060, 2020RMB)'!AQ49*$B$73</f>
        <v>154.96368359759373</v>
      </c>
      <c r="AR49" s="90">
        <f>'增加值 (2001-2060, 2020RMB)'!AR49*$B$73</f>
        <v>154.37311074971552</v>
      </c>
      <c r="AS49" s="90">
        <f>'增加值 (2001-2060, 2020RMB)'!AS49*$B$73</f>
        <v>153.64073028723593</v>
      </c>
      <c r="AT49" s="90">
        <f>'增加值 (2001-2060, 2020RMB)'!AT49*$B$73</f>
        <v>152.76701676651868</v>
      </c>
      <c r="AU49" s="89">
        <f>'增加值 (2001-2060, 2020RMB)'!AU49*$B$73</f>
        <v>151.75286734899916</v>
      </c>
      <c r="AV49" s="90">
        <f>'增加值 (2001-2060, 2020RMB)'!AV49*$B$73</f>
        <v>150.59960462461706</v>
      </c>
      <c r="AW49" s="90">
        <f>'增加值 (2001-2060, 2020RMB)'!AW49*$B$73</f>
        <v>149.30897727526522</v>
      </c>
      <c r="AX49" s="90">
        <f>'增加值 (2001-2060, 2020RMB)'!AX49*$B$73</f>
        <v>147.88315852362126</v>
      </c>
      <c r="AY49" s="101">
        <f>'增加值 (2001-2060, 2020RMB)'!AY49*$B$73</f>
        <v>146.32474232815932</v>
      </c>
      <c r="AZ49" s="89">
        <f>'增加值 (2001-2060, 2020RMB)'!AZ49*$B$73</f>
        <v>144.6367373013849</v>
      </c>
      <c r="BA49" s="90">
        <f>'增加值 (2001-2060, 2020RMB)'!BA49*$B$73</f>
        <v>142.82255834525813</v>
      </c>
      <c r="BB49" s="90">
        <f>'增加值 (2001-2060, 2020RMB)'!BB49*$B$73</f>
        <v>140.88601601524886</v>
      </c>
      <c r="BC49" s="90">
        <f>'增加值 (2001-2060, 2020RMB)'!BC49*$B$73</f>
        <v>138.83130364229612</v>
      </c>
      <c r="BD49" s="101">
        <f>'增加值 (2001-2060, 2020RMB)'!BD49*$B$73</f>
        <v>136.66298225999302</v>
      </c>
      <c r="BE49" s="90">
        <f>'增加值 (2001-2060, 2020RMB)'!BE49*$B$73</f>
        <v>134.38596340237498</v>
      </c>
      <c r="BF49" s="90">
        <f>'增加值 (2001-2060, 2020RMB)'!BF49*$B$73</f>
        <v>132.00548985558629</v>
      </c>
      <c r="BG49" s="90">
        <f>'增加值 (2001-2060, 2020RMB)'!BG49*$B$73</f>
        <v>129.52711446423334</v>
      </c>
      <c r="BH49" s="90">
        <f>'增加值 (2001-2060, 2020RMB)'!BH49*$B$73</f>
        <v>126.95667711022269</v>
      </c>
      <c r="BI49" s="109">
        <f>'增加值 (2001-2060, 2020RMB)'!BI49*$B$73</f>
        <v>124.30027999812489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(2001-2060, 2020RMB)'!I50*$B$73</f>
        <v>38.268905171653408</v>
      </c>
      <c r="J50" s="20">
        <f>'增加值 (2001-2060, 2020RMB)'!J50*$B$73</f>
        <v>46.833211685533172</v>
      </c>
      <c r="K50" s="21">
        <f>'增加值 (2001-2060, 2020RMB)'!K50*$B$73</f>
        <v>57.80561397974823</v>
      </c>
      <c r="L50" s="19">
        <f>'增加值 (2001-2060, 2020RMB)'!L50*$B$73</f>
        <v>64.764645035532666</v>
      </c>
      <c r="M50" s="20">
        <f>'增加值 (2001-2060, 2020RMB)'!M50*$B$73</f>
        <v>70.965520559665123</v>
      </c>
      <c r="N50" s="20">
        <f>'增加值 (2001-2060, 2020RMB)'!N50*$B$73</f>
        <v>77.796310354086884</v>
      </c>
      <c r="O50" s="20">
        <f>'增加值 (2001-2060, 2020RMB)'!O50*$B$73</f>
        <v>86.892132718429352</v>
      </c>
      <c r="P50" s="20">
        <f>'增加值 (2001-2060, 2020RMB)'!P50*$B$73</f>
        <v>99.251999418529735</v>
      </c>
      <c r="Q50" s="19">
        <f>'增加值 (2001-2060, 2020RMB)'!Q50*$B$73</f>
        <v>104.80094610845228</v>
      </c>
      <c r="R50" s="20">
        <f>'增加值 (2001-2060, 2020RMB)'!R50*$B$73</f>
        <v>107.56571695122068</v>
      </c>
      <c r="S50" s="20">
        <f>'增加值 (2001-2060, 2020RMB)'!S50*$B$73</f>
        <v>111.70845905906732</v>
      </c>
      <c r="T50" s="20">
        <f>'增加值 (2001-2060, 2020RMB)'!T50*$B$73</f>
        <v>121.81502945383929</v>
      </c>
      <c r="U50" s="21">
        <f>'增加值 (2001-2060, 2020RMB)'!U50*$B$73</f>
        <v>121.02120146583695</v>
      </c>
      <c r="V50" s="20">
        <f>'增加值 (2001-2060, 2020RMB)'!V50*$B$73</f>
        <v>164.0597870260292</v>
      </c>
      <c r="W50" s="20">
        <f>'增加值 (2001-2060, 2020RMB)'!W50*$B$73</f>
        <v>204.32170048770587</v>
      </c>
      <c r="X50" s="90">
        <f>'增加值 (2001-2060, 2020RMB)'!X50*$B$73</f>
        <v>217.10592506346995</v>
      </c>
      <c r="Y50" s="90">
        <f>'增加值 (2001-2060, 2020RMB)'!Y50*$B$73</f>
        <v>232.64956192370326</v>
      </c>
      <c r="Z50" s="90">
        <f>'增加值 (2001-2060, 2020RMB)'!Z50*$B$73</f>
        <v>250.92376084046359</v>
      </c>
      <c r="AA50" s="89">
        <f>'增加值 (2001-2060, 2020RMB)'!AA50*$B$73</f>
        <v>271.84786556384364</v>
      </c>
      <c r="AB50" s="90">
        <f>'增加值 (2001-2060, 2020RMB)'!AB50*$B$73</f>
        <v>295.25024151312226</v>
      </c>
      <c r="AC50" s="90">
        <f>'增加值 (2001-2060, 2020RMB)'!AC50*$B$73</f>
        <v>320.82661917701557</v>
      </c>
      <c r="AD50" s="90">
        <f>'增加值 (2001-2060, 2020RMB)'!AD50*$B$73</f>
        <v>348.09832345756763</v>
      </c>
      <c r="AE50" s="101">
        <f>'增加值 (2001-2060, 2020RMB)'!AE50*$B$73</f>
        <v>376.37474684975911</v>
      </c>
      <c r="AF50" s="90">
        <f>'增加值 (2001-2060, 2020RMB)'!AF50*$B$73</f>
        <v>404.90476554024218</v>
      </c>
      <c r="AG50" s="90">
        <f>'增加值 (2001-2060, 2020RMB)'!AG50*$B$73</f>
        <v>433.5019391778302</v>
      </c>
      <c r="AH50" s="90">
        <f>'增加值 (2001-2060, 2020RMB)'!AH50*$B$73</f>
        <v>462.1873740927054</v>
      </c>
      <c r="AI50" s="90">
        <f>'增加值 (2001-2060, 2020RMB)'!AI50*$B$73</f>
        <v>491.04028006617494</v>
      </c>
      <c r="AJ50" s="106">
        <f>'增加值 (2001-2060, 2020RMB)'!AJ50*$B$73</f>
        <v>520.20114151308496</v>
      </c>
      <c r="AK50" s="89">
        <f>'增加值 (2001-2060, 2020RMB)'!AK50*$B$73</f>
        <v>549.81553114384189</v>
      </c>
      <c r="AL50" s="90">
        <f>'增加值 (2001-2060, 2020RMB)'!AL50*$B$73</f>
        <v>579.83389461573722</v>
      </c>
      <c r="AM50" s="90">
        <f>'增加值 (2001-2060, 2020RMB)'!AM50*$B$73</f>
        <v>610.14591236515776</v>
      </c>
      <c r="AN50" s="90">
        <f>'增加值 (2001-2060, 2020RMB)'!AN50*$B$73</f>
        <v>640.63394289771043</v>
      </c>
      <c r="AO50" s="101">
        <f>'增加值 (2001-2060, 2020RMB)'!AO50*$B$73</f>
        <v>671.17370896954731</v>
      </c>
      <c r="AP50" s="90">
        <f>'增加值 (2001-2060, 2020RMB)'!AP50*$B$73</f>
        <v>701.63508593082122</v>
      </c>
      <c r="AQ50" s="90">
        <f>'增加值 (2001-2060, 2020RMB)'!AQ50*$B$73</f>
        <v>731.88298614870757</v>
      </c>
      <c r="AR50" s="90">
        <f>'增加值 (2001-2060, 2020RMB)'!AR50*$B$73</f>
        <v>761.77833173415127</v>
      </c>
      <c r="AS50" s="90">
        <f>'增加值 (2001-2060, 2020RMB)'!AS50*$B$73</f>
        <v>791.17910617737095</v>
      </c>
      <c r="AT50" s="90">
        <f>'增加值 (2001-2060, 2020RMB)'!AT50*$B$73</f>
        <v>819.94147398603513</v>
      </c>
      <c r="AU50" s="89">
        <f>'增加值 (2001-2060, 2020RMB)'!AU50*$B$73</f>
        <v>847.920956049756</v>
      </c>
      <c r="AV50" s="90">
        <f>'增加值 (2001-2060, 2020RMB)'!AV50*$B$73</f>
        <v>874.97364725561806</v>
      </c>
      <c r="AW50" s="90">
        <f>'增加值 (2001-2060, 2020RMB)'!AW50*$B$73</f>
        <v>900.9574618796679</v>
      </c>
      <c r="AX50" s="90">
        <f>'增加值 (2001-2060, 2020RMB)'!AX50*$B$73</f>
        <v>925.73339150271704</v>
      </c>
      <c r="AY50" s="101">
        <f>'增加值 (2001-2060, 2020RMB)'!AY50*$B$73</f>
        <v>949.16675966521427</v>
      </c>
      <c r="AZ50" s="89">
        <f>'增加值 (2001-2060, 2020RMB)'!AZ50*$B$73</f>
        <v>971.12845720070698</v>
      </c>
      <c r="BA50" s="90">
        <f>'增加值 (2001-2060, 2020RMB)'!BA50*$B$73</f>
        <v>991.49614217981582</v>
      </c>
      <c r="BB50" s="90">
        <f>'增加值 (2001-2060, 2020RMB)'!BB50*$B$73</f>
        <v>1010.1553886615989</v>
      </c>
      <c r="BC50" s="90">
        <f>'增加值 (2001-2060, 2020RMB)'!BC50*$B$73</f>
        <v>1027.0007689846484</v>
      </c>
      <c r="BD50" s="101">
        <f>'增加值 (2001-2060, 2020RMB)'!BD50*$B$73</f>
        <v>1041.9368551297064</v>
      </c>
      <c r="BE50" s="90">
        <f>'增加值 (2001-2060, 2020RMB)'!BE50*$B$73</f>
        <v>1054.8791257354908</v>
      </c>
      <c r="BF50" s="90">
        <f>'增加值 (2001-2060, 2020RMB)'!BF50*$B$73</f>
        <v>1065.7547666323774</v>
      </c>
      <c r="BG50" s="90">
        <f>'增加值 (2001-2060, 2020RMB)'!BG50*$B$73</f>
        <v>1074.5033542509334</v>
      </c>
      <c r="BH50" s="90">
        <f>'增加值 (2001-2060, 2020RMB)'!BH50*$B$73</f>
        <v>1081.0774129368199</v>
      </c>
      <c r="BI50" s="109">
        <f>'增加值 (2001-2060, 2020RMB)'!BI50*$B$73</f>
        <v>1085.4428390287549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(2001-2060, 2020RMB)'!I51*$B$73</f>
        <v>22.452835911654002</v>
      </c>
      <c r="J51" s="20">
        <f>'增加值 (2001-2060, 2020RMB)'!J51*$B$73</f>
        <v>23.412379173753692</v>
      </c>
      <c r="K51" s="21">
        <f>'增加值 (2001-2060, 2020RMB)'!K51*$B$73</f>
        <v>27.055965524115788</v>
      </c>
      <c r="L51" s="19">
        <f>'增加值 (2001-2060, 2020RMB)'!L51*$B$73</f>
        <v>30.625116401895806</v>
      </c>
      <c r="M51" s="20">
        <f>'增加值 (2001-2060, 2020RMB)'!M51*$B$73</f>
        <v>32.536888744587912</v>
      </c>
      <c r="N51" s="20">
        <f>'增加值 (2001-2060, 2020RMB)'!N51*$B$73</f>
        <v>35.699637404168797</v>
      </c>
      <c r="O51" s="20">
        <f>'增加值 (2001-2060, 2020RMB)'!O51*$B$73</f>
        <v>38.367627851350051</v>
      </c>
      <c r="P51" s="20">
        <f>'增加值 (2001-2060, 2020RMB)'!P51*$B$73</f>
        <v>39.602824835326153</v>
      </c>
      <c r="Q51" s="19">
        <f>'增加值 (2001-2060, 2020RMB)'!Q51*$B$73</f>
        <v>41.15991326248249</v>
      </c>
      <c r="R51" s="20">
        <f>'增加值 (2001-2060, 2020RMB)'!R51*$B$73</f>
        <v>45.745408371569674</v>
      </c>
      <c r="S51" s="20">
        <f>'增加值 (2001-2060, 2020RMB)'!S51*$B$73</f>
        <v>50.832278851937239</v>
      </c>
      <c r="T51" s="20">
        <f>'增加值 (2001-2060, 2020RMB)'!T51*$B$73</f>
        <v>55.823300807607737</v>
      </c>
      <c r="U51" s="21">
        <f>'增加值 (2001-2060, 2020RMB)'!U51*$B$73</f>
        <v>52.219430202324659</v>
      </c>
      <c r="V51" s="20">
        <f>'增加值 (2001-2060, 2020RMB)'!V51*$B$73</f>
        <v>57.360679492383881</v>
      </c>
      <c r="W51" s="20">
        <f>'增加值 (2001-2060, 2020RMB)'!W51*$B$73</f>
        <v>65.377607731033848</v>
      </c>
      <c r="X51" s="90">
        <f>'增加值 (2001-2060, 2020RMB)'!X51*$B$73</f>
        <v>68.434184117510512</v>
      </c>
      <c r="Y51" s="90">
        <f>'增加值 (2001-2060, 2020RMB)'!Y51*$B$73</f>
        <v>71.402563067136029</v>
      </c>
      <c r="Z51" s="90">
        <f>'增加值 (2001-2060, 2020RMB)'!Z51*$B$73</f>
        <v>74.258877895555628</v>
      </c>
      <c r="AA51" s="89">
        <f>'增加值 (2001-2060, 2020RMB)'!AA51*$B$73</f>
        <v>76.979320169193656</v>
      </c>
      <c r="AB51" s="90">
        <f>'增加值 (2001-2060, 2020RMB)'!AB51*$B$73</f>
        <v>79.540460850308037</v>
      </c>
      <c r="AC51" s="90">
        <f>'增加值 (2001-2060, 2020RMB)'!AC51*$B$73</f>
        <v>81.91957900082177</v>
      </c>
      <c r="AD51" s="90">
        <f>'增加值 (2001-2060, 2020RMB)'!AD51*$B$73</f>
        <v>84.094991770824294</v>
      </c>
      <c r="AE51" s="101">
        <f>'增加值 (2001-2060, 2020RMB)'!AE51*$B$73</f>
        <v>86.046379104737127</v>
      </c>
      <c r="AF51" s="90">
        <f>'增加值 (2001-2060, 2020RMB)'!AF51*$B$73</f>
        <v>87.761666890402097</v>
      </c>
      <c r="AG51" s="90">
        <f>'增加值 (2001-2060, 2020RMB)'!AG51*$B$73</f>
        <v>89.257914467377759</v>
      </c>
      <c r="AH51" s="90">
        <f>'增加值 (2001-2060, 2020RMB)'!AH51*$B$73</f>
        <v>90.562946116272968</v>
      </c>
      <c r="AI51" s="90">
        <f>'增加值 (2001-2060, 2020RMB)'!AI51*$B$73</f>
        <v>91.708293277462033</v>
      </c>
      <c r="AJ51" s="106">
        <f>'增加值 (2001-2060, 2020RMB)'!AJ51*$B$73</f>
        <v>92.728507378361655</v>
      </c>
      <c r="AK51" s="89">
        <f>'增加值 (2001-2060, 2020RMB)'!AK51*$B$73</f>
        <v>93.653559783191795</v>
      </c>
      <c r="AL51" s="90">
        <f>'增加值 (2001-2060, 2020RMB)'!AL51*$B$73</f>
        <v>94.486819851367827</v>
      </c>
      <c r="AM51" s="90">
        <f>'增加值 (2001-2060, 2020RMB)'!AM51*$B$73</f>
        <v>95.225026653977167</v>
      </c>
      <c r="AN51" s="90">
        <f>'增加值 (2001-2060, 2020RMB)'!AN51*$B$73</f>
        <v>95.865183503822195</v>
      </c>
      <c r="AO51" s="101">
        <f>'增加值 (2001-2060, 2020RMB)'!AO51*$B$73</f>
        <v>96.404576994120561</v>
      </c>
      <c r="AP51" s="90">
        <f>'增加值 (2001-2060, 2020RMB)'!AP51*$B$73</f>
        <v>96.840794835430728</v>
      </c>
      <c r="AQ51" s="90">
        <f>'增加值 (2001-2060, 2020RMB)'!AQ51*$B$73</f>
        <v>97.171742336022206</v>
      </c>
      <c r="AR51" s="90">
        <f>'增加值 (2001-2060, 2020RMB)'!AR51*$B$73</f>
        <v>97.39565737783478</v>
      </c>
      <c r="AS51" s="90">
        <f>'增加值 (2001-2060, 2020RMB)'!AS51*$B$73</f>
        <v>97.511123748703184</v>
      </c>
      <c r="AT51" s="90">
        <f>'增加值 (2001-2060, 2020RMB)'!AT51*$B$73</f>
        <v>97.517082701622755</v>
      </c>
      <c r="AU51" s="89">
        <f>'增加值 (2001-2060, 2020RMB)'!AU51*$B$73</f>
        <v>97.412842623441023</v>
      </c>
      <c r="AV51" s="90">
        <f>'增加值 (2001-2060, 2020RMB)'!AV51*$B$73</f>
        <v>97.19808670839646</v>
      </c>
      <c r="AW51" s="90">
        <f>'增加值 (2001-2060, 2020RMB)'!AW51*$B$73</f>
        <v>96.87287854628515</v>
      </c>
      <c r="AX51" s="90">
        <f>'增加值 (2001-2060, 2020RMB)'!AX51*$B$73</f>
        <v>96.437665550603256</v>
      </c>
      <c r="AY51" s="101">
        <f>'增加值 (2001-2060, 2020RMB)'!AY51*$B$73</f>
        <v>95.893280168648275</v>
      </c>
      <c r="AZ51" s="89">
        <f>'增加值 (2001-2060, 2020RMB)'!AZ51*$B$73</f>
        <v>95.240938833106767</v>
      </c>
      <c r="BA51" s="90">
        <f>'增加值 (2001-2060, 2020RMB)'!BA51*$B$73</f>
        <v>94.482238632946718</v>
      </c>
      <c r="BB51" s="90">
        <f>'增加值 (2001-2060, 2020RMB)'!BB51*$B$73</f>
        <v>93.619151700273591</v>
      </c>
      <c r="BC51" s="90">
        <f>'增加值 (2001-2060, 2020RMB)'!BC51*$B$73</f>
        <v>92.654017329024398</v>
      </c>
      <c r="BD51" s="101">
        <f>'增加值 (2001-2060, 2020RMB)'!BD51*$B$73</f>
        <v>91.589531860730105</v>
      </c>
      <c r="BE51" s="90">
        <f>'增加值 (2001-2060, 2020RMB)'!BE51*$B$73</f>
        <v>90.428736391900472</v>
      </c>
      <c r="BF51" s="90">
        <f>'增加值 (2001-2060, 2020RMB)'!BF51*$B$73</f>
        <v>89.175002376624548</v>
      </c>
      <c r="BG51" s="90">
        <f>'增加值 (2001-2060, 2020RMB)'!BG51*$B$73</f>
        <v>87.832015216547489</v>
      </c>
      <c r="BH51" s="90">
        <f>'增加值 (2001-2060, 2020RMB)'!BH51*$B$73</f>
        <v>86.403755948256872</v>
      </c>
      <c r="BI51" s="109">
        <f>'增加值 (2001-2060, 2020RMB)'!BI51*$B$73</f>
        <v>84.894481155072043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(2001-2060, 2020RMB)'!I52*$B$73</f>
        <v>1466.9497714236093</v>
      </c>
      <c r="J52" s="20">
        <f>'增加值 (2001-2060, 2020RMB)'!J52*$B$73</f>
        <v>1474.0179441560417</v>
      </c>
      <c r="K52" s="21">
        <f>'增加值 (2001-2060, 2020RMB)'!K52*$B$73</f>
        <v>1588.8989412835126</v>
      </c>
      <c r="L52" s="19">
        <f>'增加值 (2001-2060, 2020RMB)'!L52*$B$73</f>
        <v>1680.9431100365668</v>
      </c>
      <c r="M52" s="20">
        <f>'增加值 (2001-2060, 2020RMB)'!M52*$B$73</f>
        <v>1680.2596337294835</v>
      </c>
      <c r="N52" s="20">
        <f>'增加值 (2001-2060, 2020RMB)'!N52*$B$73</f>
        <v>1695.144439478476</v>
      </c>
      <c r="O52" s="20">
        <f>'增加值 (2001-2060, 2020RMB)'!O52*$B$73</f>
        <v>1660.9369108534145</v>
      </c>
      <c r="P52" s="20">
        <f>'增加值 (2001-2060, 2020RMB)'!P52*$B$73</f>
        <v>1583.6219721367613</v>
      </c>
      <c r="Q52" s="19">
        <f>'增加值 (2001-2060, 2020RMB)'!Q52*$B$73</f>
        <v>1619.613841507062</v>
      </c>
      <c r="R52" s="20">
        <f>'增加值 (2001-2060, 2020RMB)'!R52*$B$73</f>
        <v>1767.2620779648926</v>
      </c>
      <c r="S52" s="20">
        <f>'增加值 (2001-2060, 2020RMB)'!S52*$B$73</f>
        <v>1928.5876837904223</v>
      </c>
      <c r="T52" s="20">
        <f>'增加值 (2001-2060, 2020RMB)'!T52*$B$73</f>
        <v>1980.3465919708456</v>
      </c>
      <c r="U52" s="21">
        <f>'增加值 (2001-2060, 2020RMB)'!U52*$B$73</f>
        <v>1952.1155968033461</v>
      </c>
      <c r="V52" s="20">
        <f>'增加值 (2001-2060, 2020RMB)'!V52*$B$73</f>
        <v>2254.0667697181825</v>
      </c>
      <c r="W52" s="20">
        <f>'增加值 (2001-2060, 2020RMB)'!W52*$B$73</f>
        <v>2406.5305171590167</v>
      </c>
      <c r="X52" s="90">
        <f>'增加值 (2001-2060, 2020RMB)'!X52*$B$73</f>
        <v>2525.1729527132452</v>
      </c>
      <c r="Y52" s="90">
        <f>'增加值 (2001-2060, 2020RMB)'!Y52*$B$73</f>
        <v>2661.6412183015418</v>
      </c>
      <c r="Z52" s="90">
        <f>'增加值 (2001-2060, 2020RMB)'!Z52*$B$73</f>
        <v>2814.134949362327</v>
      </c>
      <c r="AA52" s="89">
        <f>'增加值 (2001-2060, 2020RMB)'!AA52*$B$73</f>
        <v>2980.2708919134111</v>
      </c>
      <c r="AB52" s="90">
        <f>'增加值 (2001-2060, 2020RMB)'!AB52*$B$73</f>
        <v>3156.8966937874729</v>
      </c>
      <c r="AC52" s="90">
        <f>'增加值 (2001-2060, 2020RMB)'!AC52*$B$73</f>
        <v>3339.9287359529226</v>
      </c>
      <c r="AD52" s="90">
        <f>'增加值 (2001-2060, 2020RMB)'!AD52*$B$73</f>
        <v>3524.2330881864141</v>
      </c>
      <c r="AE52" s="101">
        <f>'增加值 (2001-2060, 2020RMB)'!AE52*$B$73</f>
        <v>3703.5740739690991</v>
      </c>
      <c r="AF52" s="90">
        <f>'增加值 (2001-2060, 2020RMB)'!AF52*$B$73</f>
        <v>3871.9216748695203</v>
      </c>
      <c r="AG52" s="90">
        <f>'增加值 (2001-2060, 2020RMB)'!AG52*$B$73</f>
        <v>4027.803624248013</v>
      </c>
      <c r="AH52" s="90">
        <f>'增加值 (2001-2060, 2020RMB)'!AH52*$B$73</f>
        <v>4171.3345933904202</v>
      </c>
      <c r="AI52" s="90">
        <f>'增加值 (2001-2060, 2020RMB)'!AI52*$B$73</f>
        <v>4303.042114488122</v>
      </c>
      <c r="AJ52" s="106">
        <f>'增加值 (2001-2060, 2020RMB)'!AJ52*$B$73</f>
        <v>4423.8339148805089</v>
      </c>
      <c r="AK52" s="89">
        <f>'增加值 (2001-2060, 2020RMB)'!AK52*$B$73</f>
        <v>4534.6964833249076</v>
      </c>
      <c r="AL52" s="90">
        <f>'增加值 (2001-2060, 2020RMB)'!AL52*$B$73</f>
        <v>4635.8170399962528</v>
      </c>
      <c r="AM52" s="90">
        <f>'增加值 (2001-2060, 2020RMB)'!AM52*$B$73</f>
        <v>4727.2676523541031</v>
      </c>
      <c r="AN52" s="90">
        <f>'增加值 (2001-2060, 2020RMB)'!AN52*$B$73</f>
        <v>4809.2474873752017</v>
      </c>
      <c r="AO52" s="101">
        <f>'增加值 (2001-2060, 2020RMB)'!AO52*$B$73</f>
        <v>4882.0731173271688</v>
      </c>
      <c r="AP52" s="90">
        <f>'增加值 (2001-2060, 2020RMB)'!AP52*$B$73</f>
        <v>4946.1677180457455</v>
      </c>
      <c r="AQ52" s="90">
        <f>'增加值 (2001-2060, 2020RMB)'!AQ52*$B$73</f>
        <v>5002.0495873442651</v>
      </c>
      <c r="AR52" s="90">
        <f>'增加值 (2001-2060, 2020RMB)'!AR52*$B$73</f>
        <v>5050.3203870301668</v>
      </c>
      <c r="AS52" s="90">
        <f>'增加值 (2001-2060, 2020RMB)'!AS52*$B$73</f>
        <v>5091.653478329159</v>
      </c>
      <c r="AT52" s="90">
        <f>'增加值 (2001-2060, 2020RMB)'!AT52*$B$73</f>
        <v>5126.7826802654608</v>
      </c>
      <c r="AU52" s="89">
        <f>'增加值 (2001-2060, 2020RMB)'!AU52*$B$73</f>
        <v>5156.4917365321508</v>
      </c>
      <c r="AV52" s="90">
        <f>'增加值 (2001-2060, 2020RMB)'!AV52*$B$73</f>
        <v>5181.6047311855573</v>
      </c>
      <c r="AW52" s="90">
        <f>'增加值 (2001-2060, 2020RMB)'!AW52*$B$73</f>
        <v>5202.9776493813042</v>
      </c>
      <c r="AX52" s="90">
        <f>'增加值 (2001-2060, 2020RMB)'!AX52*$B$73</f>
        <v>5221.4912382536304</v>
      </c>
      <c r="AY52" s="101">
        <f>'增加值 (2001-2060, 2020RMB)'!AY52*$B$73</f>
        <v>5238.0452864809586</v>
      </c>
      <c r="AZ52" s="89">
        <f>'增加值 (2001-2060, 2020RMB)'!AZ52*$B$73</f>
        <v>5253.5544102906406</v>
      </c>
      <c r="BA52" s="90">
        <f>'增加值 (2001-2060, 2020RMB)'!BA52*$B$73</f>
        <v>5268.9454095348365</v>
      </c>
      <c r="BB52" s="90">
        <f>'增加值 (2001-2060, 2020RMB)'!BB52*$B$73</f>
        <v>5285.1562406613075</v>
      </c>
      <c r="BC52" s="90">
        <f>'增加值 (2001-2060, 2020RMB)'!BC52*$B$73</f>
        <v>5303.1366443536217</v>
      </c>
      <c r="BD52" s="101">
        <f>'增加值 (2001-2060, 2020RMB)'!BD52*$B$73</f>
        <v>5323.8504646495539</v>
      </c>
      <c r="BE52" s="90">
        <f>'增加值 (2001-2060, 2020RMB)'!BE52*$B$73</f>
        <v>5348.2797037358359</v>
      </c>
      <c r="BF52" s="90">
        <f>'增加值 (2001-2060, 2020RMB)'!BF52*$B$73</f>
        <v>5377.4303726708722</v>
      </c>
      <c r="BG52" s="90">
        <f>'增加值 (2001-2060, 2020RMB)'!BG52*$B$73</f>
        <v>5412.3402234254509</v>
      </c>
      <c r="BH52" s="90">
        <f>'增加值 (2001-2060, 2020RMB)'!BH52*$B$73</f>
        <v>5454.0884824809846</v>
      </c>
      <c r="BI52" s="109">
        <f>'增加值 (2001-2060, 2020RMB)'!BI52*$B$73</f>
        <v>5503.8077517169168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(2001-2060, 2020RMB)'!I53*$B$73</f>
        <v>87.53053933252626</v>
      </c>
      <c r="J53" s="20">
        <f>'增加值 (2001-2060, 2020RMB)'!J53*$B$73</f>
        <v>95.08803735377785</v>
      </c>
      <c r="K53" s="21">
        <f>'增加值 (2001-2060, 2020RMB)'!K53*$B$73</f>
        <v>108.87049937819883</v>
      </c>
      <c r="L53" s="19">
        <f>'增加值 (2001-2060, 2020RMB)'!L53*$B$73</f>
        <v>118.31566272018181</v>
      </c>
      <c r="M53" s="20">
        <f>'增加值 (2001-2060, 2020RMB)'!M53*$B$73</f>
        <v>125.81415161256815</v>
      </c>
      <c r="N53" s="20">
        <f>'增加值 (2001-2060, 2020RMB)'!N53*$B$73</f>
        <v>140.31477005110062</v>
      </c>
      <c r="O53" s="20">
        <f>'增加值 (2001-2060, 2020RMB)'!O53*$B$73</f>
        <v>156.72015248722698</v>
      </c>
      <c r="P53" s="20">
        <f>'增加值 (2001-2060, 2020RMB)'!P53*$B$73</f>
        <v>165.1852348132401</v>
      </c>
      <c r="Q53" s="19">
        <f>'增加值 (2001-2060, 2020RMB)'!Q53*$B$73</f>
        <v>184.25366435012344</v>
      </c>
      <c r="R53" s="20">
        <f>'增加值 (2001-2060, 2020RMB)'!R53*$B$73</f>
        <v>209.81637237905477</v>
      </c>
      <c r="S53" s="20">
        <f>'增加值 (2001-2060, 2020RMB)'!S53*$B$73</f>
        <v>245.89161153311522</v>
      </c>
      <c r="T53" s="20">
        <f>'增加值 (2001-2060, 2020RMB)'!T53*$B$73</f>
        <v>264.34481065829374</v>
      </c>
      <c r="U53" s="21">
        <f>'增加值 (2001-2060, 2020RMB)'!U53*$B$73</f>
        <v>255.71778339066671</v>
      </c>
      <c r="V53" s="20">
        <f>'增加值 (2001-2060, 2020RMB)'!V53*$B$73</f>
        <v>314.44198403038911</v>
      </c>
      <c r="W53" s="20">
        <f>'增加值 (2001-2060, 2020RMB)'!W53*$B$73</f>
        <v>339.54369713094945</v>
      </c>
      <c r="X53" s="90">
        <f>'增加值 (2001-2060, 2020RMB)'!X53*$B$73</f>
        <v>369.01804446287241</v>
      </c>
      <c r="Y53" s="90">
        <f>'增加值 (2001-2060, 2020RMB)'!Y53*$B$73</f>
        <v>403.29292943981363</v>
      </c>
      <c r="Z53" s="90">
        <f>'增加值 (2001-2060, 2020RMB)'!Z53*$B$73</f>
        <v>442.4046302103439</v>
      </c>
      <c r="AA53" s="89">
        <f>'增加值 (2001-2060, 2020RMB)'!AA53*$B$73</f>
        <v>486.23895093105233</v>
      </c>
      <c r="AB53" s="90">
        <f>'增加值 (2001-2060, 2020RMB)'!AB53*$B$73</f>
        <v>534.46076622425892</v>
      </c>
      <c r="AC53" s="90">
        <f>'增加值 (2001-2060, 2020RMB)'!AC53*$B$73</f>
        <v>586.43906414206413</v>
      </c>
      <c r="AD53" s="90">
        <f>'增加值 (2001-2060, 2020RMB)'!AD53*$B$73</f>
        <v>641.1740066040569</v>
      </c>
      <c r="AE53" s="101">
        <f>'增加值 (2001-2060, 2020RMB)'!AE53*$B$73</f>
        <v>697.2360798286353</v>
      </c>
      <c r="AF53" s="90">
        <f>'增加值 (2001-2060, 2020RMB)'!AF53*$B$73</f>
        <v>753.03417231709329</v>
      </c>
      <c r="AG53" s="90">
        <f>'增加值 (2001-2060, 2020RMB)'!AG53*$B$73</f>
        <v>807.90499424828306</v>
      </c>
      <c r="AH53" s="90">
        <f>'增加值 (2001-2060, 2020RMB)'!AH53*$B$73</f>
        <v>861.53226684303638</v>
      </c>
      <c r="AI53" s="90">
        <f>'增加值 (2001-2060, 2020RMB)'!AI53*$B$73</f>
        <v>913.6993586894788</v>
      </c>
      <c r="AJ53" s="106">
        <f>'增加值 (2001-2060, 2020RMB)'!AJ53*$B$73</f>
        <v>964.2962569972085</v>
      </c>
      <c r="AK53" s="89">
        <f>'增加值 (2001-2060, 2020RMB)'!AK53*$B$73</f>
        <v>1013.2720251599934</v>
      </c>
      <c r="AL53" s="90">
        <f>'增加值 (2001-2060, 2020RMB)'!AL53*$B$73</f>
        <v>1060.4633467659894</v>
      </c>
      <c r="AM53" s="90">
        <f>'增加值 (2001-2060, 2020RMB)'!AM53*$B$73</f>
        <v>1105.71471460829</v>
      </c>
      <c r="AN53" s="90">
        <f>'增加值 (2001-2060, 2020RMB)'!AN53*$B$73</f>
        <v>1148.9261428375421</v>
      </c>
      <c r="AO53" s="101">
        <f>'增加值 (2001-2060, 2020RMB)'!AO53*$B$73</f>
        <v>1190.0535616775301</v>
      </c>
      <c r="AP53" s="90">
        <f>'增加值 (2001-2060, 2020RMB)'!AP53*$B$73</f>
        <v>1229.1080374484211</v>
      </c>
      <c r="AQ53" s="90">
        <f>'增加值 (2001-2060, 2020RMB)'!AQ53*$B$73</f>
        <v>1266.154027761296</v>
      </c>
      <c r="AR53" s="90">
        <f>'增加值 (2001-2060, 2020RMB)'!AR53*$B$73</f>
        <v>1301.3069039454977</v>
      </c>
      <c r="AS53" s="90">
        <f>'增加值 (2001-2060, 2020RMB)'!AS53*$B$73</f>
        <v>1334.7299832327276</v>
      </c>
      <c r="AT53" s="90">
        <f>'增加值 (2001-2060, 2020RMB)'!AT53*$B$73</f>
        <v>1366.631313712388</v>
      </c>
      <c r="AU53" s="89">
        <f>'增加值 (2001-2060, 2020RMB)'!AU53*$B$73</f>
        <v>1397.2604477663426</v>
      </c>
      <c r="AV53" s="90">
        <f>'增加值 (2001-2060, 2020RMB)'!AV53*$B$73</f>
        <v>1426.9054269835397</v>
      </c>
      <c r="AW53" s="90">
        <f>'增加值 (2001-2060, 2020RMB)'!AW53*$B$73</f>
        <v>1455.8901859041111</v>
      </c>
      <c r="AX53" s="90">
        <f>'增加值 (2001-2060, 2020RMB)'!AX53*$B$73</f>
        <v>1484.5725657477524</v>
      </c>
      <c r="AY53" s="101">
        <f>'增加值 (2001-2060, 2020RMB)'!AY53*$B$73</f>
        <v>1513.3431148097015</v>
      </c>
      <c r="AZ53" s="89">
        <f>'增加值 (2001-2060, 2020RMB)'!AZ53*$B$73</f>
        <v>1542.6248415606576</v>
      </c>
      <c r="BA53" s="90">
        <f>'增加值 (2001-2060, 2020RMB)'!BA53*$B$73</f>
        <v>1572.8740816146335</v>
      </c>
      <c r="BB53" s="90">
        <f>'增加值 (2001-2060, 2020RMB)'!BB53*$B$73</f>
        <v>1604.5826424817708</v>
      </c>
      <c r="BC53" s="90">
        <f>'增加值 (2001-2060, 2020RMB)'!BC53*$B$73</f>
        <v>1638.2814022445953</v>
      </c>
      <c r="BD53" s="101">
        <f>'增加值 (2001-2060, 2020RMB)'!BD53*$B$73</f>
        <v>1674.5455619507852</v>
      </c>
      <c r="BE53" s="90">
        <f>'增加值 (2001-2060, 2020RMB)'!BE53*$B$73</f>
        <v>1714.0017888557536</v>
      </c>
      <c r="BF53" s="90">
        <f>'增加值 (2001-2060, 2020RMB)'!BF53*$B$73</f>
        <v>1757.3375414293014</v>
      </c>
      <c r="BG53" s="90">
        <f>'增加值 (2001-2060, 2020RMB)'!BG53*$B$73</f>
        <v>1805.3129407832405</v>
      </c>
      <c r="BH53" s="90">
        <f>'增加值 (2001-2060, 2020RMB)'!BH53*$B$73</f>
        <v>1858.775651512814</v>
      </c>
      <c r="BI53" s="109">
        <f>'增加值 (2001-2060, 2020RMB)'!BI53*$B$73</f>
        <v>1918.6793640496571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(2001-2060, 2020RMB)'!I54*$B$73</f>
        <v>106.41260783441682</v>
      </c>
      <c r="J54" s="20">
        <f>'增加值 (2001-2060, 2020RMB)'!J54*$B$73</f>
        <v>106.01747682394466</v>
      </c>
      <c r="K54" s="21">
        <f>'增加值 (2001-2060, 2020RMB)'!K54*$B$73</f>
        <v>108.72061703685718</v>
      </c>
      <c r="L54" s="25">
        <f>'增加值 (2001-2060, 2020RMB)'!L54*$B$73</f>
        <v>112.09366041509065</v>
      </c>
      <c r="M54" s="26">
        <f>'增加值 (2001-2060, 2020RMB)'!M54*$B$73</f>
        <v>111.51452051101201</v>
      </c>
      <c r="N54" s="26">
        <f>'增加值 (2001-2060, 2020RMB)'!N54*$B$73</f>
        <v>113.03205913023037</v>
      </c>
      <c r="O54" s="26">
        <f>'增加值 (2001-2060, 2020RMB)'!O54*$B$73</f>
        <v>116.38619015098108</v>
      </c>
      <c r="P54" s="26">
        <f>'增加值 (2001-2060, 2020RMB)'!P54*$B$73</f>
        <v>116.59976918770862</v>
      </c>
      <c r="Q54" s="25">
        <f>'增加值 (2001-2060, 2020RMB)'!Q54*$B$73</f>
        <v>121.7531333299423</v>
      </c>
      <c r="R54" s="26">
        <f>'增加值 (2001-2060, 2020RMB)'!R54*$B$73</f>
        <v>133.96162549530575</v>
      </c>
      <c r="S54" s="26">
        <f>'增加值 (2001-2060, 2020RMB)'!S54*$B$73</f>
        <v>142.45560376808243</v>
      </c>
      <c r="T54" s="26">
        <f>'增加值 (2001-2060, 2020RMB)'!T54*$B$73</f>
        <v>148.20170190389067</v>
      </c>
      <c r="U54" s="27">
        <f>'增加值 (2001-2060, 2020RMB)'!U54*$B$73</f>
        <v>150.38995216573491</v>
      </c>
      <c r="V54" s="26">
        <f>'增加值 (2001-2060, 2020RMB)'!V54*$B$73</f>
        <v>171.45992894014705</v>
      </c>
      <c r="W54" s="26">
        <f>'增加值 (2001-2060, 2020RMB)'!W54*$B$73</f>
        <v>178.87718995463754</v>
      </c>
      <c r="X54" s="92">
        <f>'增加值 (2001-2060, 2020RMB)'!X54*$B$73</f>
        <v>187.35224781855516</v>
      </c>
      <c r="Y54" s="92">
        <f>'增加值 (2001-2060, 2020RMB)'!Y54*$B$73</f>
        <v>197.1046680194986</v>
      </c>
      <c r="Z54" s="92">
        <f>'增加值 (2001-2060, 2020RMB)'!Z54*$B$73</f>
        <v>207.99676302081579</v>
      </c>
      <c r="AA54" s="91">
        <f>'增加值 (2001-2060, 2020RMB)'!AA54*$B$73</f>
        <v>219.84951645520158</v>
      </c>
      <c r="AB54" s="92">
        <f>'增加值 (2001-2060, 2020RMB)'!AB54*$B$73</f>
        <v>232.42954529346446</v>
      </c>
      <c r="AC54" s="92">
        <f>'增加值 (2001-2060, 2020RMB)'!AC54*$B$73</f>
        <v>245.43790601939884</v>
      </c>
      <c r="AD54" s="92">
        <f>'增加值 (2001-2060, 2020RMB)'!AD54*$B$73</f>
        <v>258.50207612932394</v>
      </c>
      <c r="AE54" s="102">
        <f>'增加值 (2001-2060, 2020RMB)'!AE54*$B$73</f>
        <v>271.17280597031873</v>
      </c>
      <c r="AF54" s="92">
        <f>'增加值 (2001-2060, 2020RMB)'!AF54*$B$73</f>
        <v>283.01893964646291</v>
      </c>
      <c r="AG54" s="92">
        <f>'增加值 (2001-2060, 2020RMB)'!AG54*$B$73</f>
        <v>293.94056071445442</v>
      </c>
      <c r="AH54" s="92">
        <f>'增加值 (2001-2060, 2020RMB)'!AH54*$B$73</f>
        <v>303.95237215646466</v>
      </c>
      <c r="AI54" s="92">
        <f>'增加值 (2001-2060, 2020RMB)'!AI54*$B$73</f>
        <v>313.09843858266476</v>
      </c>
      <c r="AJ54" s="107">
        <f>'增加值 (2001-2060, 2020RMB)'!AJ54*$B$73</f>
        <v>321.4496506378681</v>
      </c>
      <c r="AK54" s="91">
        <f>'增加值 (2001-2060, 2020RMB)'!AK54*$B$73</f>
        <v>329.08161378994328</v>
      </c>
      <c r="AL54" s="92">
        <f>'增加值 (2001-2060, 2020RMB)'!AL54*$B$73</f>
        <v>336.01066450058823</v>
      </c>
      <c r="AM54" s="92">
        <f>'增加值 (2001-2060, 2020RMB)'!AM54*$B$73</f>
        <v>342.24414953404136</v>
      </c>
      <c r="AN54" s="92">
        <f>'增加值 (2001-2060, 2020RMB)'!AN54*$B$73</f>
        <v>347.79815825040066</v>
      </c>
      <c r="AO54" s="102">
        <f>'增加值 (2001-2060, 2020RMB)'!AO54*$B$73</f>
        <v>352.69681840070973</v>
      </c>
      <c r="AP54" s="92">
        <f>'增加值 (2001-2060, 2020RMB)'!AP54*$B$73</f>
        <v>356.97152178077931</v>
      </c>
      <c r="AQ54" s="92">
        <f>'增加值 (2001-2060, 2020RMB)'!AQ54*$B$73</f>
        <v>360.66010870696391</v>
      </c>
      <c r="AR54" s="92">
        <f>'增加值 (2001-2060, 2020RMB)'!AR54*$B$73</f>
        <v>363.80603846367404</v>
      </c>
      <c r="AS54" s="92">
        <f>'增加值 (2001-2060, 2020RMB)'!AS54*$B$73</f>
        <v>366.45757045569059</v>
      </c>
      <c r="AT54" s="92">
        <f>'增加值 (2001-2060, 2020RMB)'!AT54*$B$73</f>
        <v>368.66697797332148</v>
      </c>
      <c r="AU54" s="91">
        <f>'增加值 (2001-2060, 2020RMB)'!AU54*$B$73</f>
        <v>370.48981343015845</v>
      </c>
      <c r="AV54" s="92">
        <f>'增加值 (2001-2060, 2020RMB)'!AV54*$B$73</f>
        <v>371.98424082975208</v>
      </c>
      <c r="AW54" s="92">
        <f>'增加值 (2001-2060, 2020RMB)'!AW54*$B$73</f>
        <v>373.21044820575719</v>
      </c>
      <c r="AX54" s="92">
        <f>'增加值 (2001-2060, 2020RMB)'!AX54*$B$73</f>
        <v>374.2301499832389</v>
      </c>
      <c r="AY54" s="102">
        <f>'增加值 (2001-2060, 2020RMB)'!AY54*$B$73</f>
        <v>375.10618672594251</v>
      </c>
      <c r="AZ54" s="91">
        <f>'增加值 (2001-2060, 2020RMB)'!AZ54*$B$73</f>
        <v>375.9022276415642</v>
      </c>
      <c r="BA54" s="92">
        <f>'增加值 (2001-2060, 2020RMB)'!BA54*$B$73</f>
        <v>376.68257957005238</v>
      </c>
      <c r="BB54" s="92">
        <f>'增加值 (2001-2060, 2020RMB)'!BB54*$B$73</f>
        <v>377.51210501726928</v>
      </c>
      <c r="BC54" s="92">
        <f>'增加值 (2001-2060, 2020RMB)'!BC54*$B$73</f>
        <v>378.45625114330534</v>
      </c>
      <c r="BD54" s="102">
        <f>'增加值 (2001-2060, 2020RMB)'!BD54*$B$73</f>
        <v>379.58119148853871</v>
      </c>
      <c r="BE54" s="92">
        <f>'增加值 (2001-2060, 2020RMB)'!BE54*$B$73</f>
        <v>380.95408263424144</v>
      </c>
      <c r="BF54" s="92">
        <f>'增加值 (2001-2060, 2020RMB)'!BF54*$B$73</f>
        <v>382.64343896310015</v>
      </c>
      <c r="BG54" s="92">
        <f>'增加值 (2001-2060, 2020RMB)'!BG54*$B$73</f>
        <v>384.71963022954316</v>
      </c>
      <c r="BH54" s="92">
        <f>'增加值 (2001-2060, 2020RMB)'!BH54*$B$73</f>
        <v>387.25550880374038</v>
      </c>
      <c r="BI54" s="110">
        <f>'增加值 (2001-2060, 2020RMB)'!BI54*$B$73</f>
        <v>390.3271762678026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'增加值 (2001-2060, 2020RMB)'!B56*$B$73</f>
        <v>11730.482669734743</v>
      </c>
      <c r="C56" s="7">
        <f>'增加值 (2001-2060, 2020RMB)'!C56*$B$73</f>
        <v>13108.874183657019</v>
      </c>
      <c r="D56" s="7">
        <f>'增加值 (2001-2060, 2020RMB)'!D56*$B$73</f>
        <v>14337.784240769022</v>
      </c>
      <c r="E56" s="7">
        <f>'增加值 (2001-2060, 2020RMB)'!E56*$B$73</f>
        <v>15459.422375449758</v>
      </c>
      <c r="F56" s="8">
        <f>'增加值 (2001-2060, 2020RMB)'!F56*$B$73</f>
        <v>17273.636063649894</v>
      </c>
      <c r="G56" s="6">
        <f>'增加值 (2001-2060, 2020RMB)'!G56*$B$73</f>
        <v>19694.761127124206</v>
      </c>
      <c r="H56" s="7">
        <f>'增加值 (2001-2060, 2020RMB)'!H56*$B$73</f>
        <v>23078.243406504054</v>
      </c>
      <c r="I56" s="7">
        <f>'增加值 (2001-2060, 2020RMB)'!I56*$B$73</f>
        <v>25291.651582382106</v>
      </c>
      <c r="J56" s="7">
        <f>'增加值 (2001-2060, 2020RMB)'!J56*$B$73</f>
        <v>28679.622191899831</v>
      </c>
      <c r="K56" s="8">
        <f>'增加值 (2001-2060, 2020RMB)'!K56*$B$73</f>
        <v>31561.511645681105</v>
      </c>
      <c r="L56" s="6">
        <f>'增加值 (2001-2060, 2020RMB)'!L56*$B$73</f>
        <v>34671.929868600484</v>
      </c>
      <c r="M56" s="7">
        <f>'增加值 (2001-2060, 2020RMB)'!M56*$B$73</f>
        <v>38404.500506279139</v>
      </c>
      <c r="N56" s="7">
        <f>'增加值 (2001-2060, 2020RMB)'!N56*$B$73</f>
        <v>42701.586933757055</v>
      </c>
      <c r="O56" s="7">
        <f>'增加值 (2001-2060, 2020RMB)'!O56*$B$73</f>
        <v>47241.243324139745</v>
      </c>
      <c r="P56" s="8">
        <f>'增加值 (2001-2060, 2020RMB)'!P56*$B$73</f>
        <v>53180.755179823311</v>
      </c>
      <c r="Q56" s="6">
        <f>'增加值 (2001-2060, 2020RMB)'!Q56*$B$73</f>
        <v>58589.483647686553</v>
      </c>
      <c r="R56" s="7">
        <f>'增加值 (2001-2060, 2020RMB)'!R56*$B$73</f>
        <v>63053.676079981604</v>
      </c>
      <c r="S56" s="7">
        <f>'增加值 (2001-2060, 2020RMB)'!S56*$B$73</f>
        <v>68013.466806064927</v>
      </c>
      <c r="T56" s="7">
        <f>'增加值 (2001-2060, 2020RMB)'!T56*$B$73</f>
        <v>73452.648769989857</v>
      </c>
      <c r="U56" s="8">
        <f>'增加值 (2001-2060, 2020RMB)'!U56*$B$73</f>
        <v>75322.905301471183</v>
      </c>
      <c r="V56" s="6">
        <f>'增加值 (2001-2060, 2020RMB)'!V56*$B$73</f>
        <v>80297.687979749375</v>
      </c>
      <c r="W56" s="7">
        <f>'增加值 (2001-2060, 2020RMB)'!W56*$B$73</f>
        <v>81482.999677440661</v>
      </c>
      <c r="X56" s="85">
        <f>'增加值 (2001-2060, 2020RMB)'!X56*$B$73</f>
        <v>87075.536097907592</v>
      </c>
      <c r="Y56" s="85">
        <f>'增加值 (2001-2060, 2020RMB)'!Y56*$B$73</f>
        <v>93019.002503831973</v>
      </c>
      <c r="Z56" s="86">
        <f>'增加值 (2001-2060, 2020RMB)'!Z56*$B$73</f>
        <v>99293.328804547724</v>
      </c>
      <c r="AA56" s="87">
        <f>'增加值 (2001-2060, 2020RMB)'!AA56*$B$73</f>
        <v>105868.22945326759</v>
      </c>
      <c r="AB56" s="85">
        <f>'增加值 (2001-2060, 2020RMB)'!AB56*$B$73</f>
        <v>112701.50065817538</v>
      </c>
      <c r="AC56" s="85">
        <f>'增加值 (2001-2060, 2020RMB)'!AC56*$B$73</f>
        <v>119737.41572626407</v>
      </c>
      <c r="AD56" s="85">
        <f>'增加值 (2001-2060, 2020RMB)'!AD56*$B$73</f>
        <v>126905.33988603702</v>
      </c>
      <c r="AE56" s="88">
        <f>'增加值 (2001-2060, 2020RMB)'!AE56*$B$73</f>
        <v>134118.71168957019</v>
      </c>
      <c r="AF56" s="87">
        <f>'增加值 (2001-2060, 2020RMB)'!AF56*$B$73</f>
        <v>141298.90130319863</v>
      </c>
      <c r="AG56" s="85">
        <f>'增加值 (2001-2060, 2020RMB)'!AG56*$B$73</f>
        <v>148458.22855312508</v>
      </c>
      <c r="AH56" s="85">
        <f>'增加值 (2001-2060, 2020RMB)'!AH56*$B$73</f>
        <v>155644.40524070742</v>
      </c>
      <c r="AI56" s="85">
        <f>'增加值 (2001-2060, 2020RMB)'!AI56*$B$73</f>
        <v>162918.73894395315</v>
      </c>
      <c r="AJ56" s="88">
        <f>'增加值 (2001-2060, 2020RMB)'!AJ56*$B$73</f>
        <v>170356.40131598953</v>
      </c>
      <c r="AK56" s="87">
        <f>'增加值 (2001-2060, 2020RMB)'!AK56*$B$73</f>
        <v>178027.03739753578</v>
      </c>
      <c r="AL56" s="85">
        <f>'增加值 (2001-2060, 2020RMB)'!AL56*$B$73</f>
        <v>185929.36120579322</v>
      </c>
      <c r="AM56" s="85">
        <f>'增加值 (2001-2060, 2020RMB)'!AM56*$B$73</f>
        <v>194040.4852710448</v>
      </c>
      <c r="AN56" s="85">
        <f>'增加值 (2001-2060, 2020RMB)'!AN56*$B$73</f>
        <v>202334.25841996828</v>
      </c>
      <c r="AO56" s="88">
        <f>'增加值 (2001-2060, 2020RMB)'!AO56*$B$73</f>
        <v>210781.18859823662</v>
      </c>
      <c r="AP56" s="87">
        <f>'增加值 (2001-2060, 2020RMB)'!AP56*$B$73</f>
        <v>219348.41347533063</v>
      </c>
      <c r="AQ56" s="85">
        <f>'增加值 (2001-2060, 2020RMB)'!AQ56*$B$73</f>
        <v>227999.72474889937</v>
      </c>
      <c r="AR56" s="85">
        <f>'增加值 (2001-2060, 2020RMB)'!AR56*$B$73</f>
        <v>236695.65175533728</v>
      </c>
      <c r="AS56" s="85">
        <f>'增加值 (2001-2060, 2020RMB)'!AS56*$B$73</f>
        <v>245393.60944552935</v>
      </c>
      <c r="AT56" s="88">
        <f>'增加值 (2001-2060, 2020RMB)'!AT56*$B$73</f>
        <v>254048.11497848426</v>
      </c>
      <c r="AU56" s="87">
        <f>'增加值 (2001-2060, 2020RMB)'!AU56*$B$73</f>
        <v>262611.0761051029</v>
      </c>
      <c r="AV56" s="85">
        <f>'增加值 (2001-2060, 2020RMB)'!AV56*$B$73</f>
        <v>271032.15315178671</v>
      </c>
      <c r="AW56" s="85">
        <f>'增加值 (2001-2060, 2020RMB)'!AW56*$B$73</f>
        <v>279259.19477153785</v>
      </c>
      <c r="AX56" s="85">
        <f>'增加值 (2001-2060, 2020RMB)'!AX56*$B$73</f>
        <v>287238.74572385399</v>
      </c>
      <c r="AY56" s="88">
        <f>'增加值 (2001-2060, 2020RMB)'!AY56*$B$73</f>
        <v>294916.62280416104</v>
      </c>
      <c r="AZ56" s="87">
        <f>'增加值 (2001-2060, 2020RMB)'!AZ56*$B$73</f>
        <v>302238.55271537957</v>
      </c>
      <c r="BA56" s="85">
        <f>'增加值 (2001-2060, 2020RMB)'!BA56*$B$73</f>
        <v>309150.8632227481</v>
      </c>
      <c r="BB56" s="85">
        <f>'增加值 (2001-2060, 2020RMB)'!BB56*$B$73</f>
        <v>315601.21644032293</v>
      </c>
      <c r="BC56" s="85">
        <f>'增加值 (2001-2060, 2020RMB)'!BC56*$B$73</f>
        <v>321539.37066255766</v>
      </c>
      <c r="BD56" s="88">
        <f>'增加值 (2001-2060, 2020RMB)'!BD56*$B$73</f>
        <v>326917.95489055419</v>
      </c>
      <c r="BE56" s="87">
        <f>'增加值 (2001-2060, 2020RMB)'!BE56*$B$73</f>
        <v>331693.23823412636</v>
      </c>
      <c r="BF56" s="85">
        <f>'增加值 (2001-2060, 2020RMB)'!BF56*$B$73</f>
        <v>335825.87482731591</v>
      </c>
      <c r="BG56" s="85">
        <f>'增加值 (2001-2060, 2020RMB)'!BG56*$B$73</f>
        <v>339281.60390442231</v>
      </c>
      <c r="BH56" s="85">
        <f>'增加值 (2001-2060, 2020RMB)'!BH56*$B$73</f>
        <v>342031.88436418376</v>
      </c>
      <c r="BI56" s="88">
        <f>'增加值 (2001-2060, 2020RMB)'!BI56*$B$73</f>
        <v>344054.44360090618</v>
      </c>
    </row>
    <row r="57" spans="1:61" s="9" customFormat="1" x14ac:dyDescent="0.2">
      <c r="A57" s="10" t="s">
        <v>4</v>
      </c>
      <c r="B57" s="22">
        <f>'增加值 (2001-2060, 2020RMB)'!B57*$B$73</f>
        <v>1779.9865638888584</v>
      </c>
      <c r="C57" s="23">
        <f>'增加值 (2001-2060, 2020RMB)'!C57*$B$73</f>
        <v>1929.1588520812261</v>
      </c>
      <c r="D57" s="23">
        <f>'增加值 (2001-2060, 2020RMB)'!D57*$B$73</f>
        <v>1985.0248512961471</v>
      </c>
      <c r="E57" s="23">
        <f>'增加值 (2001-2060, 2020RMB)'!E57*$B$73</f>
        <v>2182.07444004124</v>
      </c>
      <c r="F57" s="24">
        <f>'增加值 (2001-2060, 2020RMB)'!F57*$B$73</f>
        <v>2407.624493080024</v>
      </c>
      <c r="G57" s="22">
        <f>'增加值 (2001-2060, 2020RMB)'!G57*$B$73</f>
        <v>2645.6825519970384</v>
      </c>
      <c r="H57" s="23">
        <f>'增加值 (2001-2060, 2020RMB)'!H57*$B$73</f>
        <v>2941.9624785618234</v>
      </c>
      <c r="I57" s="23">
        <f>'增加值 (2001-2060, 2020RMB)'!I57*$B$73</f>
        <v>3059.9397008816027</v>
      </c>
      <c r="J57" s="23">
        <f>'增加值 (2001-2060, 2020RMB)'!J57*$B$73</f>
        <v>3095.4018659274147</v>
      </c>
      <c r="K57" s="24">
        <f>'增加值 (2001-2060, 2020RMB)'!K57*$B$73</f>
        <v>3291.39308279641</v>
      </c>
      <c r="L57" s="22">
        <f>'增加值 (2001-2060, 2020RMB)'!L57*$B$73</f>
        <v>3542.9109069855335</v>
      </c>
      <c r="M57" s="23">
        <f>'增加值 (2001-2060, 2020RMB)'!M57*$B$73</f>
        <v>3767.9972255756365</v>
      </c>
      <c r="N57" s="23">
        <f>'增加值 (2001-2060, 2020RMB)'!N57*$B$73</f>
        <v>4043.2714638691973</v>
      </c>
      <c r="O57" s="23">
        <f>'增加值 (2001-2060, 2020RMB)'!O57*$B$73</f>
        <v>4383.8584752774987</v>
      </c>
      <c r="P57" s="24">
        <f>'增加值 (2001-2060, 2020RMB)'!P57*$B$73</f>
        <v>4687.1653536769218</v>
      </c>
      <c r="Q57" s="22">
        <f>'增加值 (2001-2060, 2020RMB)'!Q57*$B$73</f>
        <v>4999.8462132332597</v>
      </c>
      <c r="R57" s="23">
        <f>'增加值 (2001-2060, 2020RMB)'!R57*$B$73</f>
        <v>5388.8957503803813</v>
      </c>
      <c r="S57" s="23">
        <f>'增加值 (2001-2060, 2020RMB)'!S57*$B$73</f>
        <v>5655.0114353556883</v>
      </c>
      <c r="T57" s="23">
        <f>'增加值 (2001-2060, 2020RMB)'!T57*$B$73</f>
        <v>5880.6127058084239</v>
      </c>
      <c r="U57" s="23">
        <f>'增加值 (2001-2060, 2020RMB)'!U57*$B$73</f>
        <v>5590.1498155235904</v>
      </c>
      <c r="V57" s="22">
        <f>'增加值 (2001-2060, 2020RMB)'!V57*$B$73</f>
        <v>6197.4853776568434</v>
      </c>
      <c r="W57" s="23">
        <f>'增加值 (2001-2060, 2020RMB)'!W57*$B$73</f>
        <v>6398.3223470050361</v>
      </c>
      <c r="X57" s="98">
        <f>'增加值 (2001-2060, 2020RMB)'!X57*$B$73</f>
        <v>6681.1174741155974</v>
      </c>
      <c r="Y57" s="98">
        <f>'增加值 (2001-2060, 2020RMB)'!Y57*$B$73</f>
        <v>6964.3358790173725</v>
      </c>
      <c r="Z57" s="99">
        <f>'增加值 (2001-2060, 2020RMB)'!Z57*$B$73</f>
        <v>7245.556264565831</v>
      </c>
      <c r="AA57" s="98">
        <f>'增加值 (2001-2060, 2020RMB)'!AA57*$B$73</f>
        <v>7522.0982102031476</v>
      </c>
      <c r="AB57" s="98">
        <f>'增加值 (2001-2060, 2020RMB)'!AB57*$B$73</f>
        <v>7791.0380081338953</v>
      </c>
      <c r="AC57" s="98">
        <f>'增加值 (2001-2060, 2020RMB)'!AC57*$B$73</f>
        <v>8049.2334014040771</v>
      </c>
      <c r="AD57" s="98">
        <f>'增加值 (2001-2060, 2020RMB)'!AD57*$B$73</f>
        <v>8293.3579190454984</v>
      </c>
      <c r="AE57" s="98">
        <f>'增加值 (2001-2060, 2020RMB)'!AE57*$B$73</f>
        <v>8519.9452449452201</v>
      </c>
      <c r="AF57" s="100">
        <f>'增加值 (2001-2060, 2020RMB)'!AF57*$B$73</f>
        <v>8726.6130602213034</v>
      </c>
      <c r="AG57" s="98">
        <f>'增加值 (2001-2060, 2020RMB)'!AG57*$B$73</f>
        <v>8915.8337560632353</v>
      </c>
      <c r="AH57" s="98">
        <f>'增加值 (2001-2060, 2020RMB)'!AH57*$B$73</f>
        <v>9091.7719540748712</v>
      </c>
      <c r="AI57" s="98">
        <f>'增加值 (2001-2060, 2020RMB)'!AI57*$B$73</f>
        <v>9259.0928320784224</v>
      </c>
      <c r="AJ57" s="99">
        <f>'增加值 (2001-2060, 2020RMB)'!AJ57*$B$73</f>
        <v>9422.9020894750629</v>
      </c>
      <c r="AK57" s="98">
        <f>'增加值 (2001-2060, 2020RMB)'!AK57*$B$73</f>
        <v>9587.4717142614445</v>
      </c>
      <c r="AL57" s="98">
        <f>'增加值 (2001-2060, 2020RMB)'!AL57*$B$73</f>
        <v>9752.3411250758818</v>
      </c>
      <c r="AM57" s="98">
        <f>'增加值 (2001-2060, 2020RMB)'!AM57*$B$73</f>
        <v>9915.7387476417061</v>
      </c>
      <c r="AN57" s="98">
        <f>'增加值 (2001-2060, 2020RMB)'!AN57*$B$73</f>
        <v>10075.780630093679</v>
      </c>
      <c r="AO57" s="98">
        <f>'增加值 (2001-2060, 2020RMB)'!AO57*$B$73</f>
        <v>10230.475022330622</v>
      </c>
      <c r="AP57" s="100">
        <f>'增加值 (2001-2060, 2020RMB)'!AP57*$B$73</f>
        <v>10377.730681497045</v>
      </c>
      <c r="AQ57" s="98">
        <f>'增加值 (2001-2060, 2020RMB)'!AQ57*$B$73</f>
        <v>10515.369193359462</v>
      </c>
      <c r="AR57" s="98">
        <f>'增加值 (2001-2060, 2020RMB)'!AR57*$B$73</f>
        <v>10641.141544635695</v>
      </c>
      <c r="AS57" s="98">
        <f>'增加值 (2001-2060, 2020RMB)'!AS57*$B$73</f>
        <v>10752.749104397279</v>
      </c>
      <c r="AT57" s="99">
        <f>'增加值 (2001-2060, 2020RMB)'!AT57*$B$73</f>
        <v>10847.869072638374</v>
      </c>
      <c r="AU57" s="98">
        <f>'增加值 (2001-2060, 2020RMB)'!AU57*$B$73</f>
        <v>10924.184331044497</v>
      </c>
      <c r="AV57" s="98">
        <f>'增加值 (2001-2060, 2020RMB)'!AV57*$B$73</f>
        <v>10979.417486091317</v>
      </c>
      <c r="AW57" s="98">
        <f>'增加值 (2001-2060, 2020RMB)'!AW57*$B$73</f>
        <v>11011.368730388578</v>
      </c>
      <c r="AX57" s="98">
        <f>'增加值 (2001-2060, 2020RMB)'!AX57*$B$73</f>
        <v>11017.956968695757</v>
      </c>
      <c r="AY57" s="98">
        <f>'增加值 (2001-2060, 2020RMB)'!AY57*$B$73</f>
        <v>10997.263465924183</v>
      </c>
      <c r="AZ57" s="100">
        <f>'增加值 (2001-2060, 2020RMB)'!AZ57*$B$73</f>
        <v>10947.577082971233</v>
      </c>
      <c r="BA57" s="98">
        <f>'增加值 (2001-2060, 2020RMB)'!BA57*$B$73</f>
        <v>10867.43998120934</v>
      </c>
      <c r="BB57" s="98">
        <f>'增加值 (2001-2060, 2020RMB)'!BB57*$B$73</f>
        <v>10755.692507978536</v>
      </c>
      <c r="BC57" s="98">
        <f>'增加值 (2001-2060, 2020RMB)'!BC57*$B$73</f>
        <v>10611.515834556845</v>
      </c>
      <c r="BD57" s="99">
        <f>'增加值 (2001-2060, 2020RMB)'!BD57*$B$73</f>
        <v>10434.47081629381</v>
      </c>
      <c r="BE57" s="98">
        <f>'增加值 (2001-2060, 2020RMB)'!BE57*$B$73</f>
        <v>10224.531493165612</v>
      </c>
      <c r="BF57" s="98">
        <f>'增加值 (2001-2060, 2020RMB)'!BF57*$B$73</f>
        <v>9982.1116582573795</v>
      </c>
      <c r="BG57" s="98">
        <f>'增加值 (2001-2060, 2020RMB)'!BG57*$B$73</f>
        <v>9708.0830000989554</v>
      </c>
      <c r="BH57" s="98">
        <f>'增加值 (2001-2060, 2020RMB)'!BH57*$B$73</f>
        <v>9403.7834782074624</v>
      </c>
      <c r="BI57" s="99">
        <f>'增加值 (2001-2060, 2020RMB)'!BI57*$B$73</f>
        <v>9071.0148219407947</v>
      </c>
    </row>
    <row r="58" spans="1:61" s="9" customFormat="1" x14ac:dyDescent="0.2">
      <c r="A58" s="14" t="s">
        <v>5</v>
      </c>
      <c r="B58" s="19">
        <f>'增加值 (2001-2060, 2020RMB)'!B58*$B$73</f>
        <v>2362.7117797094429</v>
      </c>
      <c r="C58" s="20">
        <f>'增加值 (2001-2060, 2020RMB)'!C58*$B$73</f>
        <v>2573.3444367700249</v>
      </c>
      <c r="D58" s="20">
        <f>'增加值 (2001-2060, 2020RMB)'!D58*$B$73</f>
        <v>2801.7270959215039</v>
      </c>
      <c r="E58" s="20">
        <f>'增加值 (2001-2060, 2020RMB)'!E58*$B$73</f>
        <v>2920.4838349826118</v>
      </c>
      <c r="F58" s="21">
        <f>'增加值 (2001-2060, 2020RMB)'!F58*$B$73</f>
        <v>3152.2666777508543</v>
      </c>
      <c r="G58" s="19">
        <f>'增加值 (2001-2060, 2020RMB)'!G58*$B$73</f>
        <v>3589.4510971490809</v>
      </c>
      <c r="H58" s="20">
        <f>'增加值 (2001-2060, 2020RMB)'!H58*$B$73</f>
        <v>4218.2477668630136</v>
      </c>
      <c r="I58" s="20">
        <f>'增加值 (2001-2060, 2020RMB)'!I58*$B$73</f>
        <v>4895.5370973890995</v>
      </c>
      <c r="J58" s="20">
        <f>'增加值 (2001-2060, 2020RMB)'!J58*$B$73</f>
        <v>5433.8893236138974</v>
      </c>
      <c r="K58" s="21">
        <f>'增加值 (2001-2060, 2020RMB)'!K58*$B$73</f>
        <v>6292.0320746686066</v>
      </c>
      <c r="L58" s="19">
        <f>'增加值 (2001-2060, 2020RMB)'!L58*$B$73</f>
        <v>7094.0132342074357</v>
      </c>
      <c r="M58" s="20">
        <f>'增加值 (2001-2060, 2020RMB)'!M58*$B$73</f>
        <v>7902.1354756587762</v>
      </c>
      <c r="N58" s="20">
        <f>'增加值 (2001-2060, 2020RMB)'!N58*$B$73</f>
        <v>8739.1592692995291</v>
      </c>
      <c r="O58" s="20">
        <f>'增加值 (2001-2060, 2020RMB)'!O58*$B$73</f>
        <v>9705.1311198647836</v>
      </c>
      <c r="P58" s="21">
        <f>'增加值 (2001-2060, 2020RMB)'!P58*$B$73</f>
        <v>10400.3329964403</v>
      </c>
      <c r="Q58" s="19">
        <f>'增加值 (2001-2060, 2020RMB)'!Q58*$B$73</f>
        <v>11160.329112181693</v>
      </c>
      <c r="R58" s="20">
        <f>'增加值 (2001-2060, 2020RMB)'!R58*$B$73</f>
        <v>11781.305829047558</v>
      </c>
      <c r="S58" s="20">
        <f>'增加值 (2001-2060, 2020RMB)'!S58*$B$73</f>
        <v>12463.716870418164</v>
      </c>
      <c r="T58" s="20">
        <f>'增加值 (2001-2060, 2020RMB)'!T58*$B$73</f>
        <v>13245.465177376198</v>
      </c>
      <c r="U58" s="20">
        <f>'增加值 (2001-2060, 2020RMB)'!U58*$B$73</f>
        <v>13235.517772002033</v>
      </c>
      <c r="V58" s="19">
        <f>'增加值 (2001-2060, 2020RMB)'!V58*$B$73</f>
        <v>14550.774153396518</v>
      </c>
      <c r="W58" s="20">
        <f>'增加值 (2001-2060, 2020RMB)'!W58*$B$73</f>
        <v>14750.68615862355</v>
      </c>
      <c r="X58" s="90">
        <f>'增加值 (2001-2060, 2020RMB)'!X58*$B$73</f>
        <v>15439.186316419678</v>
      </c>
      <c r="Y58" s="90">
        <f>'增加值 (2001-2060, 2020RMB)'!Y58*$B$73</f>
        <v>16130.548494685903</v>
      </c>
      <c r="Z58" s="101">
        <f>'增加值 (2001-2060, 2020RMB)'!Z58*$B$73</f>
        <v>16819.046997260833</v>
      </c>
      <c r="AA58" s="90">
        <f>'增加值 (2001-2060, 2020RMB)'!AA58*$B$73</f>
        <v>17498.311176237356</v>
      </c>
      <c r="AB58" s="90">
        <f>'增加值 (2001-2060, 2020RMB)'!AB58*$B$73</f>
        <v>18161.36009141069</v>
      </c>
      <c r="AC58" s="90">
        <f>'增加值 (2001-2060, 2020RMB)'!AC58*$B$73</f>
        <v>18800.658742077609</v>
      </c>
      <c r="AD58" s="90">
        <f>'增加值 (2001-2060, 2020RMB)'!AD58*$B$73</f>
        <v>19408.197674355892</v>
      </c>
      <c r="AE58" s="90">
        <f>'增加值 (2001-2060, 2020RMB)'!AE58*$B$73</f>
        <v>19975.597153624767</v>
      </c>
      <c r="AF58" s="89">
        <f>'增加值 (2001-2060, 2020RMB)'!AF58*$B$73</f>
        <v>20496.992876736604</v>
      </c>
      <c r="AG58" s="90">
        <f>'增加值 (2001-2060, 2020RMB)'!AG58*$B$73</f>
        <v>20977.966088300724</v>
      </c>
      <c r="AH58" s="90">
        <f>'增加值 (2001-2060, 2020RMB)'!AH58*$B$73</f>
        <v>21428.161117847118</v>
      </c>
      <c r="AI58" s="90">
        <f>'增加值 (2001-2060, 2020RMB)'!AI58*$B$73</f>
        <v>21858.490550475795</v>
      </c>
      <c r="AJ58" s="101">
        <f>'增加值 (2001-2060, 2020RMB)'!AJ58*$B$73</f>
        <v>22280.996980870164</v>
      </c>
      <c r="AK58" s="90">
        <f>'增加值 (2001-2060, 2020RMB)'!AK58*$B$73</f>
        <v>22705.823234707244</v>
      </c>
      <c r="AL58" s="90">
        <f>'增加值 (2001-2060, 2020RMB)'!AL58*$B$73</f>
        <v>23131.897400506761</v>
      </c>
      <c r="AM58" s="90">
        <f>'增加值 (2001-2060, 2020RMB)'!AM58*$B$73</f>
        <v>23555.014406471793</v>
      </c>
      <c r="AN58" s="90">
        <f>'增加值 (2001-2060, 2020RMB)'!AN58*$B$73</f>
        <v>23970.679376816901</v>
      </c>
      <c r="AO58" s="90">
        <f>'增加值 (2001-2060, 2020RMB)'!AO58*$B$73</f>
        <v>24374.117683158107</v>
      </c>
      <c r="AP58" s="89">
        <f>'增加值 (2001-2060, 2020RMB)'!AP58*$B$73</f>
        <v>24760.293946338348</v>
      </c>
      <c r="AQ58" s="90">
        <f>'增加值 (2001-2060, 2020RMB)'!AQ58*$B$73</f>
        <v>25123.940747517525</v>
      </c>
      <c r="AR58" s="90">
        <f>'增加值 (2001-2060, 2020RMB)'!AR58*$B$73</f>
        <v>25459.597679836501</v>
      </c>
      <c r="AS58" s="90">
        <f>'增加值 (2001-2060, 2020RMB)'!AS58*$B$73</f>
        <v>25761.661190273997</v>
      </c>
      <c r="AT58" s="101">
        <f>'增加值 (2001-2060, 2020RMB)'!AT58*$B$73</f>
        <v>26024.445422933801</v>
      </c>
      <c r="AU58" s="90">
        <f>'增加值 (2001-2060, 2020RMB)'!AU58*$B$73</f>
        <v>26242.253979581819</v>
      </c>
      <c r="AV58" s="90">
        <f>'增加值 (2001-2060, 2020RMB)'!AV58*$B$73</f>
        <v>26409.462163170108</v>
      </c>
      <c r="AW58" s="90">
        <f>'增加值 (2001-2060, 2020RMB)'!AW58*$B$73</f>
        <v>26520.608870973178</v>
      </c>
      <c r="AX58" s="90">
        <f>'增加值 (2001-2060, 2020RMB)'!AX58*$B$73</f>
        <v>26570.496865123758</v>
      </c>
      <c r="AY58" s="90">
        <f>'增加值 (2001-2060, 2020RMB)'!AY58*$B$73</f>
        <v>26554.299683020912</v>
      </c>
      <c r="AZ58" s="89">
        <f>'增加值 (2001-2060, 2020RMB)'!AZ58*$B$73</f>
        <v>26467.672975582616</v>
      </c>
      <c r="BA58" s="90">
        <f>'增加值 (2001-2060, 2020RMB)'!BA58*$B$73</f>
        <v>26306.867598729328</v>
      </c>
      <c r="BB58" s="90">
        <f>'增加值 (2001-2060, 2020RMB)'!BB58*$B$73</f>
        <v>26068.841357272533</v>
      </c>
      <c r="BC58" s="90">
        <f>'增加值 (2001-2060, 2020RMB)'!BC58*$B$73</f>
        <v>25751.365937485705</v>
      </c>
      <c r="BD58" s="101">
        <f>'增加值 (2001-2060, 2020RMB)'!BD58*$B$73</f>
        <v>25353.125293291312</v>
      </c>
      <c r="BE58" s="90">
        <f>'增加值 (2001-2060, 2020RMB)'!BE58*$B$73</f>
        <v>24873.801599220835</v>
      </c>
      <c r="BF58" s="90">
        <f>'增加值 (2001-2060, 2020RMB)'!BF58*$B$73</f>
        <v>24314.144877010112</v>
      </c>
      <c r="BG58" s="90">
        <f>'增加值 (2001-2060, 2020RMB)'!BG58*$B$73</f>
        <v>23676.022563710016</v>
      </c>
      <c r="BH58" s="90">
        <f>'增加值 (2001-2060, 2020RMB)'!BH58*$B$73</f>
        <v>22962.445633071522</v>
      </c>
      <c r="BI58" s="101">
        <f>'增加值 (2001-2060, 2020RMB)'!BI58*$B$73</f>
        <v>22177.568415975573</v>
      </c>
    </row>
    <row r="59" spans="1:61" s="9" customFormat="1" x14ac:dyDescent="0.2">
      <c r="A59" s="14" t="s">
        <v>6</v>
      </c>
      <c r="B59" s="19">
        <f>'增加值 (2001-2060, 2020RMB)'!B59*$B$73</f>
        <v>621.73762635740661</v>
      </c>
      <c r="C59" s="20">
        <f>'增加值 (2001-2060, 2020RMB)'!C59*$B$73</f>
        <v>701.40934312089519</v>
      </c>
      <c r="D59" s="20">
        <f>'增加值 (2001-2060, 2020RMB)'!D59*$B$73</f>
        <v>784.023119679194</v>
      </c>
      <c r="E59" s="20">
        <f>'增加值 (2001-2060, 2020RMB)'!E59*$B$73</f>
        <v>859.27753805008717</v>
      </c>
      <c r="F59" s="21">
        <f>'增加值 (2001-2060, 2020RMB)'!F59*$B$73</f>
        <v>946.84220208606928</v>
      </c>
      <c r="G59" s="19">
        <f>'增加值 (2001-2060, 2020RMB)'!G59*$B$73</f>
        <v>1040.4879412701976</v>
      </c>
      <c r="H59" s="20">
        <f>'增加值 (2001-2060, 2020RMB)'!H59*$B$73</f>
        <v>1117.5755063168929</v>
      </c>
      <c r="I59" s="20">
        <f>'增加值 (2001-2060, 2020RMB)'!I59*$B$73</f>
        <v>1236.8867185783361</v>
      </c>
      <c r="J59" s="20">
        <f>'增加值 (2001-2060, 2020RMB)'!J59*$B$73</f>
        <v>1303.3645705985221</v>
      </c>
      <c r="K59" s="21">
        <f>'增加值 (2001-2060, 2020RMB)'!K59*$B$73</f>
        <v>1351.3502978409845</v>
      </c>
      <c r="L59" s="19">
        <f>'增加值 (2001-2060, 2020RMB)'!L59*$B$73</f>
        <v>1389.3621958929532</v>
      </c>
      <c r="M59" s="20">
        <f>'增加值 (2001-2060, 2020RMB)'!M59*$B$73</f>
        <v>1512.2126961264596</v>
      </c>
      <c r="N59" s="20">
        <f>'增加值 (2001-2060, 2020RMB)'!N59*$B$73</f>
        <v>1587.9994591149652</v>
      </c>
      <c r="O59" s="20">
        <f>'增加值 (2001-2060, 2020RMB)'!O59*$B$73</f>
        <v>1725.1118531088246</v>
      </c>
      <c r="P59" s="21">
        <f>'增加值 (2001-2060, 2020RMB)'!P59*$B$73</f>
        <v>1889.9629928040622</v>
      </c>
      <c r="Q59" s="19">
        <f>'增加值 (2001-2060, 2020RMB)'!Q59*$B$73</f>
        <v>2059.9329462084656</v>
      </c>
      <c r="R59" s="20">
        <f>'增加值 (2001-2060, 2020RMB)'!R59*$B$73</f>
        <v>2185.6428258717096</v>
      </c>
      <c r="S59" s="20">
        <f>'增加值 (2001-2060, 2020RMB)'!S59*$B$73</f>
        <v>2316.0799936271524</v>
      </c>
      <c r="T59" s="20">
        <f>'增加值 (2001-2060, 2020RMB)'!T59*$B$73</f>
        <v>2479.1704794945354</v>
      </c>
      <c r="U59" s="20">
        <f>'增加值 (2001-2060, 2020RMB)'!U59*$B$73</f>
        <v>2105.5093645403431</v>
      </c>
      <c r="V59" s="19">
        <f>'增加值 (2001-2060, 2020RMB)'!V59*$B$73</f>
        <v>2351.0073575080228</v>
      </c>
      <c r="W59" s="20">
        <f>'增加值 (2001-2060, 2020RMB)'!W59*$B$73</f>
        <v>2299.888371562397</v>
      </c>
      <c r="X59" s="90">
        <f>'增加值 (2001-2060, 2020RMB)'!X59*$B$73</f>
        <v>2416.0747709491247</v>
      </c>
      <c r="Y59" s="90">
        <f>'增加值 (2001-2060, 2020RMB)'!Y59*$B$73</f>
        <v>2533.2173707047018</v>
      </c>
      <c r="Z59" s="101">
        <f>'增加值 (2001-2060, 2020RMB)'!Z59*$B$73</f>
        <v>2650.3900072957049</v>
      </c>
      <c r="AA59" s="90">
        <f>'增加值 (2001-2060, 2020RMB)'!AA59*$B$73</f>
        <v>2766.5538093185805</v>
      </c>
      <c r="AB59" s="90">
        <f>'增加值 (2001-2060, 2020RMB)'!AB59*$B$73</f>
        <v>2880.5620378560429</v>
      </c>
      <c r="AC59" s="90">
        <f>'增加值 (2001-2060, 2020RMB)'!AC59*$B$73</f>
        <v>2991.1685537584772</v>
      </c>
      <c r="AD59" s="90">
        <f>'增加值 (2001-2060, 2020RMB)'!AD59*$B$73</f>
        <v>3097.040246439235</v>
      </c>
      <c r="AE59" s="90">
        <f>'增加值 (2001-2060, 2020RMB)'!AE59*$B$73</f>
        <v>3196.773659057415</v>
      </c>
      <c r="AF59" s="89">
        <f>'增加值 (2001-2060, 2020RMB)'!AF59*$B$73</f>
        <v>3289.3607909554662</v>
      </c>
      <c r="AG59" s="90">
        <f>'增加值 (2001-2060, 2020RMB)'!AG59*$B$73</f>
        <v>3375.6405212865357</v>
      </c>
      <c r="AH59" s="90">
        <f>'增加值 (2001-2060, 2020RMB)'!AH59*$B$73</f>
        <v>3457.1254734778527</v>
      </c>
      <c r="AI59" s="90">
        <f>'增加值 (2001-2060, 2020RMB)'!AI59*$B$73</f>
        <v>3535.5548313107238</v>
      </c>
      <c r="AJ59" s="101">
        <f>'增加值 (2001-2060, 2020RMB)'!AJ59*$B$73</f>
        <v>3612.8731149177179</v>
      </c>
      <c r="AK59" s="90">
        <f>'增加值 (2001-2060, 2020RMB)'!AK59*$B$73</f>
        <v>3690.7349387136333</v>
      </c>
      <c r="AL59" s="90">
        <f>'增加值 (2001-2060, 2020RMB)'!AL59*$B$73</f>
        <v>3768.9705767312053</v>
      </c>
      <c r="AM59" s="90">
        <f>'增加值 (2001-2060, 2020RMB)'!AM59*$B$73</f>
        <v>3846.893957428239</v>
      </c>
      <c r="AN59" s="90">
        <f>'增加值 (2001-2060, 2020RMB)'!AN59*$B$73</f>
        <v>3923.7659330227675</v>
      </c>
      <c r="AO59" s="90">
        <f>'增加值 (2001-2060, 2020RMB)'!AO59*$B$73</f>
        <v>3998.795660082013</v>
      </c>
      <c r="AP59" s="89">
        <f>'增加值 (2001-2060, 2020RMB)'!AP59*$B$73</f>
        <v>4071.1434673086806</v>
      </c>
      <c r="AQ59" s="90">
        <f>'增加值 (2001-2060, 2020RMB)'!AQ59*$B$73</f>
        <v>4139.9253524709848</v>
      </c>
      <c r="AR59" s="90">
        <f>'增加值 (2001-2060, 2020RMB)'!AR59*$B$73</f>
        <v>4204.2192304261562</v>
      </c>
      <c r="AS59" s="90">
        <f>'增加值 (2001-2060, 2020RMB)'!AS59*$B$73</f>
        <v>4263.0730249955159</v>
      </c>
      <c r="AT59" s="101">
        <f>'增加值 (2001-2060, 2020RMB)'!AT59*$B$73</f>
        <v>4315.5146585228858</v>
      </c>
      <c r="AU59" s="90">
        <f>'增加值 (2001-2060, 2020RMB)'!AU59*$B$73</f>
        <v>4360.563944103932</v>
      </c>
      <c r="AV59" s="90">
        <f>'增加值 (2001-2060, 2020RMB)'!AV59*$B$73</f>
        <v>4397.2463269799973</v>
      </c>
      <c r="AW59" s="90">
        <f>'增加值 (2001-2060, 2020RMB)'!AW59*$B$73</f>
        <v>4424.6083542594133</v>
      </c>
      <c r="AX59" s="90">
        <f>'增加值 (2001-2060, 2020RMB)'!AX59*$B$73</f>
        <v>4441.734677399545</v>
      </c>
      <c r="AY59" s="90">
        <f>'增加值 (2001-2060, 2020RMB)'!AY59*$B$73</f>
        <v>4447.7663118671553</v>
      </c>
      <c r="AZ59" s="89">
        <f>'增加值 (2001-2060, 2020RMB)'!AZ59*$B$73</f>
        <v>4441.9197959088988</v>
      </c>
      <c r="BA59" s="90">
        <f>'增加值 (2001-2060, 2020RMB)'!BA59*$B$73</f>
        <v>4423.5068088991857</v>
      </c>
      <c r="BB59" s="90">
        <f>'增加值 (2001-2060, 2020RMB)'!BB59*$B$73</f>
        <v>4391.9537333866283</v>
      </c>
      <c r="BC59" s="90">
        <f>'增加值 (2001-2060, 2020RMB)'!BC59*$B$73</f>
        <v>4346.8205783052717</v>
      </c>
      <c r="BD59" s="101">
        <f>'增加值 (2001-2060, 2020RMB)'!BD59*$B$73</f>
        <v>4287.8186287039962</v>
      </c>
      <c r="BE59" s="90">
        <f>'增加值 (2001-2060, 2020RMB)'!BE59*$B$73</f>
        <v>4214.8261546599442</v>
      </c>
      <c r="BF59" s="90">
        <f>'增加值 (2001-2060, 2020RMB)'!BF59*$B$73</f>
        <v>4127.9015033832129</v>
      </c>
      <c r="BG59" s="90">
        <f>'增加值 (2001-2060, 2020RMB)'!BG59*$B$73</f>
        <v>4027.2929178756985</v>
      </c>
      <c r="BH59" s="90">
        <f>'增加值 (2001-2060, 2020RMB)'!BH59*$B$73</f>
        <v>3913.4444758705445</v>
      </c>
      <c r="BI59" s="101">
        <f>'增加值 (2001-2060, 2020RMB)'!BI59*$B$73</f>
        <v>3786.9976257973049</v>
      </c>
    </row>
    <row r="60" spans="1:61" s="9" customFormat="1" x14ac:dyDescent="0.2">
      <c r="A60" s="14" t="s">
        <v>7</v>
      </c>
      <c r="B60" s="19">
        <f>'增加值 (2001-2060, 2020RMB)'!B60*$B$73</f>
        <v>1347.7673940303803</v>
      </c>
      <c r="C60" s="20">
        <f>'增加值 (2001-2060, 2020RMB)'!C60*$B$73</f>
        <v>1430.156352213399</v>
      </c>
      <c r="D60" s="20">
        <f>'增加值 (2001-2060, 2020RMB)'!D60*$B$73</f>
        <v>1516.2562216962042</v>
      </c>
      <c r="E60" s="20">
        <f>'增加值 (2001-2060, 2020RMB)'!E60*$B$73</f>
        <v>1547.534273804351</v>
      </c>
      <c r="F60" s="21">
        <f>'增加值 (2001-2060, 2020RMB)'!F60*$B$73</f>
        <v>1689.363091931338</v>
      </c>
      <c r="G60" s="19">
        <f>'增加值 (2001-2060, 2020RMB)'!G60*$B$73</f>
        <v>2165.0164621977192</v>
      </c>
      <c r="H60" s="20">
        <f>'增加值 (2001-2060, 2020RMB)'!H60*$B$73</f>
        <v>3061.7955148639662</v>
      </c>
      <c r="I60" s="20">
        <f>'增加值 (2001-2060, 2020RMB)'!I60*$B$73</f>
        <v>3429.7288409109169</v>
      </c>
      <c r="J60" s="20">
        <f>'增加值 (2001-2060, 2020RMB)'!J60*$B$73</f>
        <v>4091.0322632234879</v>
      </c>
      <c r="K60" s="21">
        <f>'增加值 (2001-2060, 2020RMB)'!K60*$B$73</f>
        <v>4509.1328253853526</v>
      </c>
      <c r="L60" s="19">
        <f>'增加值 (2001-2060, 2020RMB)'!L60*$B$73</f>
        <v>4987.390817657064</v>
      </c>
      <c r="M60" s="20">
        <f>'增加值 (2001-2060, 2020RMB)'!M60*$B$73</f>
        <v>5592.9147480115871</v>
      </c>
      <c r="N60" s="20">
        <f>'增加值 (2001-2060, 2020RMB)'!N60*$B$73</f>
        <v>6411.0259637493928</v>
      </c>
      <c r="O60" s="20">
        <f>'增加值 (2001-2060, 2020RMB)'!O60*$B$73</f>
        <v>7198.2825882291809</v>
      </c>
      <c r="P60" s="21">
        <f>'增加值 (2001-2060, 2020RMB)'!P60*$B$73</f>
        <v>8646.4873926158689</v>
      </c>
      <c r="Q60" s="19">
        <f>'增加值 (2001-2060, 2020RMB)'!Q60*$B$73</f>
        <v>9077.2806174726575</v>
      </c>
      <c r="R60" s="20">
        <f>'增加值 (2001-2060, 2020RMB)'!R60*$B$73</f>
        <v>9413.2889940005916</v>
      </c>
      <c r="S60" s="20">
        <f>'增加值 (2001-2060, 2020RMB)'!S60*$B$73</f>
        <v>9899.101919664623</v>
      </c>
      <c r="T60" s="20">
        <f>'增加值 (2001-2060, 2020RMB)'!T60*$B$73</f>
        <v>10558.966690894093</v>
      </c>
      <c r="U60" s="20">
        <f>'增加值 (2001-2060, 2020RMB)'!U60*$B$73</f>
        <v>11518.040116145148</v>
      </c>
      <c r="V60" s="19">
        <f>'增加值 (2001-2060, 2020RMB)'!V60*$B$73</f>
        <v>12010.857614349379</v>
      </c>
      <c r="W60" s="20">
        <f>'增加值 (2001-2060, 2020RMB)'!W60*$B$73</f>
        <v>12469.938513456913</v>
      </c>
      <c r="X60" s="90">
        <f>'增加值 (2001-2060, 2020RMB)'!X60*$B$73</f>
        <v>13109.068524510543</v>
      </c>
      <c r="Y60" s="90">
        <f>'增加值 (2001-2060, 2020RMB)'!Y60*$B$73</f>
        <v>13799.049050526763</v>
      </c>
      <c r="Z60" s="101">
        <f>'增加值 (2001-2060, 2020RMB)'!Z60*$B$73</f>
        <v>14532.223792863531</v>
      </c>
      <c r="AA60" s="90">
        <f>'增加值 (2001-2060, 2020RMB)'!AA60*$B$73</f>
        <v>15298.765266012653</v>
      </c>
      <c r="AB60" s="90">
        <f>'增加值 (2001-2060, 2020RMB)'!AB60*$B$73</f>
        <v>16086.362863765842</v>
      </c>
      <c r="AC60" s="90">
        <f>'增加值 (2001-2060, 2020RMB)'!AC60*$B$73</f>
        <v>16879.994764165367</v>
      </c>
      <c r="AD60" s="90">
        <f>'增加值 (2001-2060, 2020RMB)'!AD60*$B$73</f>
        <v>17661.82234178271</v>
      </c>
      <c r="AE60" s="90">
        <f>'增加值 (2001-2060, 2020RMB)'!AE60*$B$73</f>
        <v>18411.249565315175</v>
      </c>
      <c r="AF60" s="89">
        <f>'增加值 (2001-2060, 2020RMB)'!AF60*$B$73</f>
        <v>19109.801017572554</v>
      </c>
      <c r="AG60" s="90">
        <f>'增加值 (2001-2060, 2020RMB)'!AG60*$B$73</f>
        <v>19756.683400960588</v>
      </c>
      <c r="AH60" s="90">
        <f>'增加值 (2001-2060, 2020RMB)'!AH60*$B$73</f>
        <v>20357.363294143481</v>
      </c>
      <c r="AI60" s="90">
        <f>'增加值 (2001-2060, 2020RMB)'!AI60*$B$73</f>
        <v>20919.11275736244</v>
      </c>
      <c r="AJ60" s="101">
        <f>'增加值 (2001-2060, 2020RMB)'!AJ60*$B$73</f>
        <v>21450.818962941801</v>
      </c>
      <c r="AK60" s="90">
        <f>'增加值 (2001-2060, 2020RMB)'!AK60*$B$73</f>
        <v>21960.410598482562</v>
      </c>
      <c r="AL60" s="90">
        <f>'增加值 (2001-2060, 2020RMB)'!AL60*$B$73</f>
        <v>22447.079543833941</v>
      </c>
      <c r="AM60" s="90">
        <f>'增加值 (2001-2060, 2020RMB)'!AM60*$B$73</f>
        <v>22907.692185684751</v>
      </c>
      <c r="AN60" s="90">
        <f>'增加值 (2001-2060, 2020RMB)'!AN60*$B$73</f>
        <v>23339.106627763198</v>
      </c>
      <c r="AO60" s="90">
        <f>'增加值 (2001-2060, 2020RMB)'!AO60*$B$73</f>
        <v>23738.201172124867</v>
      </c>
      <c r="AP60" s="89">
        <f>'增加值 (2001-2060, 2020RMB)'!AP60*$B$73</f>
        <v>24101.904693945362</v>
      </c>
      <c r="AQ60" s="90">
        <f>'增加值 (2001-2060, 2020RMB)'!AQ60*$B$73</f>
        <v>24427.228611472518</v>
      </c>
      <c r="AR60" s="90">
        <f>'增加值 (2001-2060, 2020RMB)'!AR60*$B$73</f>
        <v>24711.300096949468</v>
      </c>
      <c r="AS60" s="90">
        <f>'增加值 (2001-2060, 2020RMB)'!AS60*$B$73</f>
        <v>24951.396120564343</v>
      </c>
      <c r="AT60" s="101">
        <f>'增加值 (2001-2060, 2020RMB)'!AT60*$B$73</f>
        <v>25144.977869334802</v>
      </c>
      <c r="AU60" s="90">
        <f>'增加值 (2001-2060, 2020RMB)'!AU60*$B$73</f>
        <v>25289.725037931672</v>
      </c>
      <c r="AV60" s="90">
        <f>'增加值 (2001-2060, 2020RMB)'!AV60*$B$73</f>
        <v>25383.569450399606</v>
      </c>
      <c r="AW60" s="90">
        <f>'增加值 (2001-2060, 2020RMB)'!AW60*$B$73</f>
        <v>25424.727442185325</v>
      </c>
      <c r="AX60" s="90">
        <f>'增加值 (2001-2060, 2020RMB)'!AX60*$B$73</f>
        <v>25411.730412359477</v>
      </c>
      <c r="AY60" s="90">
        <f>'增加值 (2001-2060, 2020RMB)'!AY60*$B$73</f>
        <v>25343.452947837439</v>
      </c>
      <c r="AZ60" s="89">
        <f>'增加值 (2001-2060, 2020RMB)'!AZ60*$B$73</f>
        <v>25219.137925982432</v>
      </c>
      <c r="BA60" s="90">
        <f>'增加值 (2001-2060, 2020RMB)'!BA60*$B$73</f>
        <v>25038.418020168374</v>
      </c>
      <c r="BB60" s="90">
        <f>'增加值 (2001-2060, 2020RMB)'!BB60*$B$73</f>
        <v>24801.333065354138</v>
      </c>
      <c r="BC60" s="90">
        <f>'增加值 (2001-2060, 2020RMB)'!BC60*$B$73</f>
        <v>24508.342787761307</v>
      </c>
      <c r="BD60" s="101">
        <f>'增加值 (2001-2060, 2020RMB)'!BD60*$B$73</f>
        <v>24160.3344642478</v>
      </c>
      <c r="BE60" s="90">
        <f>'增加值 (2001-2060, 2020RMB)'!BE60*$B$73</f>
        <v>23758.625152375513</v>
      </c>
      <c r="BF60" s="90">
        <f>'增加值 (2001-2060, 2020RMB)'!BF60*$B$73</f>
        <v>23304.95822047719</v>
      </c>
      <c r="BG60" s="90">
        <f>'增加值 (2001-2060, 2020RMB)'!BG60*$B$73</f>
        <v>22801.494006759312</v>
      </c>
      <c r="BH60" s="90">
        <f>'增加值 (2001-2060, 2020RMB)'!BH60*$B$73</f>
        <v>22250.794545714605</v>
      </c>
      <c r="BI60" s="101">
        <f>'增加值 (2001-2060, 2020RMB)'!BI60*$B$73</f>
        <v>21655.802416503728</v>
      </c>
    </row>
    <row r="61" spans="1:61" s="9" customFormat="1" x14ac:dyDescent="0.2">
      <c r="A61" s="14" t="s">
        <v>8</v>
      </c>
      <c r="B61" s="19">
        <f>'增加值 (2001-2060, 2020RMB)'!B61*$B$73</f>
        <v>1219.0212583278549</v>
      </c>
      <c r="C61" s="20">
        <f>'增加值 (2001-2060, 2020RMB)'!C61*$B$73</f>
        <v>1373.1900105983616</v>
      </c>
      <c r="D61" s="20">
        <f>'增加值 (2001-2060, 2020RMB)'!D61*$B$73</f>
        <v>1544.1701634192118</v>
      </c>
      <c r="E61" s="20">
        <f>'增加值 (2001-2060, 2020RMB)'!E61*$B$73</f>
        <v>1676.9370442829156</v>
      </c>
      <c r="F61" s="21">
        <f>'增加值 (2001-2060, 2020RMB)'!F61*$B$73</f>
        <v>1914.2880443395622</v>
      </c>
      <c r="G61" s="19">
        <f>'增加值 (2001-2060, 2020RMB)'!G61*$B$73</f>
        <v>2240.6985755238452</v>
      </c>
      <c r="H61" s="20">
        <f>'增加值 (2001-2060, 2020RMB)'!H61*$B$73</f>
        <v>2762.4647165029232</v>
      </c>
      <c r="I61" s="20">
        <f>'增加值 (2001-2060, 2020RMB)'!I61*$B$73</f>
        <v>2729.5411431597586</v>
      </c>
      <c r="J61" s="20">
        <f>'增加值 (2001-2060, 2020RMB)'!J61*$B$73</f>
        <v>3514.7004494341772</v>
      </c>
      <c r="K61" s="21">
        <f>'增加值 (2001-2060, 2020RMB)'!K61*$B$73</f>
        <v>4087.449151662021</v>
      </c>
      <c r="L61" s="19">
        <f>'增加值 (2001-2060, 2020RMB)'!L61*$B$73</f>
        <v>4506.2057061483838</v>
      </c>
      <c r="M61" s="20">
        <f>'增加值 (2001-2060, 2020RMB)'!M61*$B$73</f>
        <v>4876.1561524196823</v>
      </c>
      <c r="N61" s="20">
        <f>'增加值 (2001-2060, 2020RMB)'!N61*$B$73</f>
        <v>5486.7901884874836</v>
      </c>
      <c r="O61" s="20">
        <f>'增加值 (2001-2060, 2020RMB)'!O61*$B$73</f>
        <v>5851.371938180193</v>
      </c>
      <c r="P61" s="21">
        <f>'增加值 (2001-2060, 2020RMB)'!P61*$B$73</f>
        <v>6538.4570630046546</v>
      </c>
      <c r="Q61" s="19">
        <f>'增加值 (2001-2060, 2020RMB)'!Q61*$B$73</f>
        <v>7564.3096872579927</v>
      </c>
      <c r="R61" s="20">
        <f>'增加值 (2001-2060, 2020RMB)'!R61*$B$73</f>
        <v>8287.0354913464689</v>
      </c>
      <c r="S61" s="20">
        <f>'增加值 (2001-2060, 2020RMB)'!S61*$B$73</f>
        <v>9059.7216461973221</v>
      </c>
      <c r="T61" s="20">
        <f>'增加值 (2001-2060, 2020RMB)'!T61*$B$73</f>
        <v>9754.9959835948321</v>
      </c>
      <c r="U61" s="20">
        <f>'增加值 (2001-2060, 2020RMB)'!U61*$B$73</f>
        <v>10114.073347389278</v>
      </c>
      <c r="V61" s="19">
        <f>'增加值 (2001-2060, 2020RMB)'!V61*$B$73</f>
        <v>10213.975076695173</v>
      </c>
      <c r="W61" s="20">
        <f>'增加值 (2001-2060, 2020RMB)'!W61*$B$73</f>
        <v>9508.7032670198314</v>
      </c>
      <c r="X61" s="90">
        <f>'增加值 (2001-2060, 2020RMB)'!X61*$B$73</f>
        <v>10044.343406671402</v>
      </c>
      <c r="Y61" s="90">
        <f>'增加值 (2001-2060, 2020RMB)'!Y61*$B$73</f>
        <v>10584.938769293158</v>
      </c>
      <c r="Z61" s="101">
        <f>'增加值 (2001-2060, 2020RMB)'!Z61*$B$73</f>
        <v>11125.38840155389</v>
      </c>
      <c r="AA61" s="90">
        <f>'增加值 (2001-2060, 2020RMB)'!AA61*$B$73</f>
        <v>11659.919203618932</v>
      </c>
      <c r="AB61" s="90">
        <f>'增加值 (2001-2060, 2020RMB)'!AB61*$B$73</f>
        <v>12182.121366708352</v>
      </c>
      <c r="AC61" s="90">
        <f>'增加值 (2001-2060, 2020RMB)'!AC61*$B$73</f>
        <v>12685.010125499344</v>
      </c>
      <c r="AD61" s="90">
        <f>'增加值 (2001-2060, 2020RMB)'!AD61*$B$73</f>
        <v>13161.116205883496</v>
      </c>
      <c r="AE61" s="90">
        <f>'增加值 (2001-2060, 2020RMB)'!AE61*$B$73</f>
        <v>13602.606420252814</v>
      </c>
      <c r="AF61" s="89">
        <f>'增加值 (2001-2060, 2020RMB)'!AF61*$B$73</f>
        <v>14004.28729122251</v>
      </c>
      <c r="AG61" s="90">
        <f>'增加值 (2001-2060, 2020RMB)'!AG61*$B$73</f>
        <v>14372.927144154928</v>
      </c>
      <c r="AH61" s="90">
        <f>'增加值 (2001-2060, 2020RMB)'!AH61*$B$73</f>
        <v>14719.705014017771</v>
      </c>
      <c r="AI61" s="90">
        <f>'增加值 (2001-2060, 2020RMB)'!AI61*$B$73</f>
        <v>15057.296271608813</v>
      </c>
      <c r="AJ61" s="101">
        <f>'增加值 (2001-2060, 2020RMB)'!AJ61*$B$73</f>
        <v>15399.734302235805</v>
      </c>
      <c r="AK61" s="90">
        <f>'增加值 (2001-2060, 2020RMB)'!AK61*$B$73</f>
        <v>15759.247489758051</v>
      </c>
      <c r="AL61" s="90">
        <f>'增加值 (2001-2060, 2020RMB)'!AL61*$B$73</f>
        <v>16136.329701122551</v>
      </c>
      <c r="AM61" s="90">
        <f>'增加值 (2001-2060, 2020RMB)'!AM61*$B$73</f>
        <v>16528.195157365128</v>
      </c>
      <c r="AN61" s="90">
        <f>'增加值 (2001-2060, 2020RMB)'!AN61*$B$73</f>
        <v>16931.750141845572</v>
      </c>
      <c r="AO61" s="90">
        <f>'增加值 (2001-2060, 2020RMB)'!AO61*$B$73</f>
        <v>17343.564947035604</v>
      </c>
      <c r="AP61" s="89">
        <f>'增加值 (2001-2060, 2020RMB)'!AP61*$B$73</f>
        <v>17759.852203221366</v>
      </c>
      <c r="AQ61" s="90">
        <f>'增加值 (2001-2060, 2020RMB)'!AQ61*$B$73</f>
        <v>18176.452896143259</v>
      </c>
      <c r="AR61" s="90">
        <f>'增加值 (2001-2060, 2020RMB)'!AR61*$B$73</f>
        <v>18588.831489505177</v>
      </c>
      <c r="AS61" s="90">
        <f>'增加值 (2001-2060, 2020RMB)'!AS61*$B$73</f>
        <v>18992.081625042472</v>
      </c>
      <c r="AT61" s="101">
        <f>'增加值 (2001-2060, 2020RMB)'!AT61*$B$73</f>
        <v>19380.943864542169</v>
      </c>
      <c r="AU61" s="90">
        <f>'增加值 (2001-2060, 2020RMB)'!AU61*$B$73</f>
        <v>19749.836851705615</v>
      </c>
      <c r="AV61" s="90">
        <f>'增加值 (2001-2060, 2020RMB)'!AV61*$B$73</f>
        <v>20092.903094588597</v>
      </c>
      <c r="AW61" s="90">
        <f>'增加值 (2001-2060, 2020RMB)'!AW61*$B$73</f>
        <v>20404.070290940745</v>
      </c>
      <c r="AX61" s="90">
        <f>'增加值 (2001-2060, 2020RMB)'!AX61*$B$73</f>
        <v>20677.128731665605</v>
      </c>
      <c r="AY61" s="90">
        <f>'增加值 (2001-2060, 2020RMB)'!AY61*$B$73</f>
        <v>20905.824819016936</v>
      </c>
      <c r="AZ61" s="89">
        <f>'增加值 (2001-2060, 2020RMB)'!AZ61*$B$73</f>
        <v>21083.97012928101</v>
      </c>
      <c r="BA61" s="90">
        <f>'增加值 (2001-2060, 2020RMB)'!BA61*$B$73</f>
        <v>21205.564745267522</v>
      </c>
      <c r="BB61" s="90">
        <f>'增加值 (2001-2060, 2020RMB)'!BB61*$B$73</f>
        <v>21264.932801226678</v>
      </c>
      <c r="BC61" s="90">
        <f>'增加值 (2001-2060, 2020RMB)'!BC61*$B$73</f>
        <v>21256.867350405919</v>
      </c>
      <c r="BD61" s="101">
        <f>'增加值 (2001-2060, 2020RMB)'!BD61*$B$73</f>
        <v>21176.78082141266</v>
      </c>
      <c r="BE61" s="90">
        <f>'增加值 (2001-2060, 2020RMB)'!BE61*$B$73</f>
        <v>21020.856520732003</v>
      </c>
      <c r="BF61" s="90">
        <f>'增加值 (2001-2060, 2020RMB)'!BF61*$B$73</f>
        <v>20786.195919396778</v>
      </c>
      <c r="BG61" s="90">
        <f>'增加值 (2001-2060, 2020RMB)'!BG61*$B$73</f>
        <v>20470.955890976202</v>
      </c>
      <c r="BH61" s="90">
        <f>'增加值 (2001-2060, 2020RMB)'!BH61*$B$73</f>
        <v>20074.46970617053</v>
      </c>
      <c r="BI61" s="101">
        <f>'增加值 (2001-2060, 2020RMB)'!BI61*$B$73</f>
        <v>19597.345493755565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'增加值 (2001-2060, 2020RMB)'!K62*$B$73</f>
        <v>1585.7513991664366</v>
      </c>
      <c r="L62" s="19">
        <f>'增加值 (2001-2060, 2020RMB)'!L62*$B$73</f>
        <v>1671.5039059749345</v>
      </c>
      <c r="M62" s="20">
        <f>'增加值 (2001-2060, 2020RMB)'!M62*$B$73</f>
        <v>1891.4669953846324</v>
      </c>
      <c r="N62" s="20">
        <f>'增加值 (2001-2060, 2020RMB)'!N62*$B$73</f>
        <v>2131.6109396293364</v>
      </c>
      <c r="O62" s="20">
        <f>'增加值 (2001-2060, 2020RMB)'!O62*$B$73</f>
        <v>2376.8125815727003</v>
      </c>
      <c r="P62" s="21">
        <f>'增加值 (2001-2060, 2020RMB)'!P62*$B$73</f>
        <v>2690.2189769585975</v>
      </c>
      <c r="Q62" s="19">
        <f>'增加值 (2001-2060, 2020RMB)'!Q62*$B$73</f>
        <v>3046.3628656207311</v>
      </c>
      <c r="R62" s="20">
        <f>'增加值 (2001-2060, 2020RMB)'!R62*$B$73</f>
        <v>3456.2799865101592</v>
      </c>
      <c r="S62" s="20">
        <f>'增加值 (2001-2060, 2020RMB)'!S62*$B$73</f>
        <v>4028.2486409020134</v>
      </c>
      <c r="T62" s="20">
        <f>'增加值 (2001-2060, 2020RMB)'!T62*$B$73</f>
        <v>4624.0016989898741</v>
      </c>
      <c r="U62" s="20">
        <f>'增加值 (2001-2060, 2020RMB)'!U62*$B$73</f>
        <v>5267.9884522758539</v>
      </c>
      <c r="V62" s="89">
        <f>'增加值 (2001-2060, 2020RMB)'!V62*$B$73</f>
        <v>5624.0165034330857</v>
      </c>
      <c r="W62" s="90">
        <f>'增加值 (2001-2060, 2020RMB)'!W62*$B$73</f>
        <v>5797.9897714259087</v>
      </c>
      <c r="X62" s="90">
        <f>'增加值 (2001-2060, 2020RMB)'!X62*$B$73</f>
        <v>6589.4023168363365</v>
      </c>
      <c r="Y62" s="90">
        <f>'增加值 (2001-2060, 2020RMB)'!Y62*$B$73</f>
        <v>7480.4477098204834</v>
      </c>
      <c r="Z62" s="101">
        <f>'增加值 (2001-2060, 2020RMB)'!Z62*$B$73</f>
        <v>8477.8457706639547</v>
      </c>
      <c r="AA62" s="90">
        <f>'增加值 (2001-2060, 2020RMB)'!AA62*$B$73</f>
        <v>9587.0093261778893</v>
      </c>
      <c r="AB62" s="90">
        <f>'增加值 (2001-2060, 2020RMB)'!AB62*$B$73</f>
        <v>10811.448187892242</v>
      </c>
      <c r="AC62" s="90">
        <f>'增加值 (2001-2060, 2020RMB)'!AC62*$B$73</f>
        <v>12152.091791212615</v>
      </c>
      <c r="AD62" s="90">
        <f>'增加值 (2001-2060, 2020RMB)'!AD62*$B$73</f>
        <v>13606.550092977051</v>
      </c>
      <c r="AE62" s="90">
        <f>'增加值 (2001-2060, 2020RMB)'!AE62*$B$73</f>
        <v>15168.34462127087</v>
      </c>
      <c r="AF62" s="89">
        <f>'增加值 (2001-2060, 2020RMB)'!AF62*$B$73</f>
        <v>16829.160820373876</v>
      </c>
      <c r="AG62" s="90">
        <f>'增加值 (2001-2060, 2020RMB)'!AG62*$B$73</f>
        <v>18589.68566170194</v>
      </c>
      <c r="AH62" s="90">
        <f>'增加值 (2001-2060, 2020RMB)'!AH62*$B$73</f>
        <v>20454.82236807391</v>
      </c>
      <c r="AI62" s="90">
        <f>'增加值 (2001-2060, 2020RMB)'!AI62*$B$73</f>
        <v>22431.702029260843</v>
      </c>
      <c r="AJ62" s="101">
        <f>'增加值 (2001-2060, 2020RMB)'!AJ62*$B$73</f>
        <v>24530.158790755857</v>
      </c>
      <c r="AK62" s="90">
        <f>'增加值 (2001-2060, 2020RMB)'!AK62*$B$73</f>
        <v>26760.953719658828</v>
      </c>
      <c r="AL62" s="90">
        <f>'增加值 (2001-2060, 2020RMB)'!AL62*$B$73</f>
        <v>29127.836440815576</v>
      </c>
      <c r="AM62" s="90">
        <f>'增加值 (2001-2060, 2020RMB)'!AM62*$B$73</f>
        <v>31631.902102744236</v>
      </c>
      <c r="AN62" s="90">
        <f>'增加值 (2001-2060, 2020RMB)'!AN62*$B$73</f>
        <v>34273.452608457701</v>
      </c>
      <c r="AO62" s="90">
        <f>'增加值 (2001-2060, 2020RMB)'!AO62*$B$73</f>
        <v>37051.935526849353</v>
      </c>
      <c r="AP62" s="89">
        <f>'增加值 (2001-2060, 2020RMB)'!AP62*$B$73</f>
        <v>39965.887883942298</v>
      </c>
      <c r="AQ62" s="90">
        <f>'增加值 (2001-2060, 2020RMB)'!AQ62*$B$73</f>
        <v>43012.885874260493</v>
      </c>
      <c r="AR62" s="90">
        <f>'增加值 (2001-2060, 2020RMB)'!AR62*$B$73</f>
        <v>46189.501507693269</v>
      </c>
      <c r="AS62" s="90">
        <f>'增加值 (2001-2060, 2020RMB)'!AS62*$B$73</f>
        <v>49491.267163541917</v>
      </c>
      <c r="AT62" s="101">
        <f>'增加值 (2001-2060, 2020RMB)'!AT62*$B$73</f>
        <v>52912.648960789105</v>
      </c>
      <c r="AU62" s="90">
        <f>'增加值 (2001-2060, 2020RMB)'!AU62*$B$73</f>
        <v>56447.029772264548</v>
      </c>
      <c r="AV62" s="90">
        <f>'增加值 (2001-2060, 2020RMB)'!AV62*$B$73</f>
        <v>60086.702610942957</v>
      </c>
      <c r="AW62" s="90">
        <f>'增加值 (2001-2060, 2020RMB)'!AW62*$B$73</f>
        <v>63822.875000165623</v>
      </c>
      <c r="AX62" s="90">
        <f>'增加值 (2001-2060, 2020RMB)'!AX62*$B$73</f>
        <v>67645.684807591912</v>
      </c>
      <c r="AY62" s="90">
        <f>'增加值 (2001-2060, 2020RMB)'!AY62*$B$73</f>
        <v>71544.227877020705</v>
      </c>
      <c r="AZ62" s="89">
        <f>'增加值 (2001-2060, 2020RMB)'!AZ62*$B$73</f>
        <v>75506.597635069382</v>
      </c>
      <c r="BA62" s="90">
        <f>'增加值 (2001-2060, 2020RMB)'!BA62*$B$73</f>
        <v>79519.936683612264</v>
      </c>
      <c r="BB62" s="90">
        <f>'增加值 (2001-2060, 2020RMB)'!BB62*$B$73</f>
        <v>83570.500216624772</v>
      </c>
      <c r="BC62" s="90">
        <f>'增加值 (2001-2060, 2020RMB)'!BC62*$B$73</f>
        <v>87643.730924691932</v>
      </c>
      <c r="BD62" s="101">
        <f>'增加值 (2001-2060, 2020RMB)'!BD62*$B$73</f>
        <v>91724.344875065988</v>
      </c>
      <c r="BE62" s="90">
        <f>'增加值 (2001-2060, 2020RMB)'!BE62*$B$73</f>
        <v>95796.427683027228</v>
      </c>
      <c r="BF62" s="90">
        <f>'增加值 (2001-2060, 2020RMB)'!BF62*$B$73</f>
        <v>99843.540124683263</v>
      </c>
      <c r="BG62" s="90">
        <f>'增加值 (2001-2060, 2020RMB)'!BG62*$B$73</f>
        <v>103848.83218541071</v>
      </c>
      <c r="BH62" s="90">
        <f>'增加值 (2001-2060, 2020RMB)'!BH62*$B$73</f>
        <v>107795.16439493236</v>
      </c>
      <c r="BI62" s="101">
        <f>'增加值 (2001-2060, 2020RMB)'!BI62*$B$73</f>
        <v>111665.2351724123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'增加值 (2001-2060, 2020RMB)'!K63*$B$73</f>
        <v>1272.1126675656094</v>
      </c>
      <c r="L63" s="19">
        <f>'增加值 (2001-2060, 2020RMB)'!L63*$B$73</f>
        <v>1484.2204642935185</v>
      </c>
      <c r="M63" s="20">
        <f>'增加值 (2001-2060, 2020RMB)'!M63*$B$73</f>
        <v>1726.3538998843667</v>
      </c>
      <c r="N63" s="20">
        <f>'增加值 (2001-2060, 2020RMB)'!N63*$B$73</f>
        <v>2003.5562331895542</v>
      </c>
      <c r="O63" s="20">
        <f>'增加值 (2001-2060, 2020RMB)'!O63*$B$73</f>
        <v>2373.8474423522207</v>
      </c>
      <c r="P63" s="21">
        <f>'增加值 (2001-2060, 2020RMB)'!P63*$B$73</f>
        <v>2778.204593732185</v>
      </c>
      <c r="Q63" s="19">
        <f>'增加值 (2001-2060, 2020RMB)'!Q63*$B$73</f>
        <v>3258.9744430211772</v>
      </c>
      <c r="R63" s="20">
        <f>'增加值 (2001-2060, 2020RMB)'!R63*$B$73</f>
        <v>3668.8633655089989</v>
      </c>
      <c r="S63" s="20">
        <f>'增加值 (2001-2060, 2020RMB)'!S63*$B$73</f>
        <v>4131.290830369463</v>
      </c>
      <c r="T63" s="20">
        <f>'增加值 (2001-2060, 2020RMB)'!T63*$B$73</f>
        <v>4519.6176142535451</v>
      </c>
      <c r="U63" s="20">
        <f>'增加值 (2001-2060, 2020RMB)'!U63*$B$73</f>
        <v>4472.2961678562579</v>
      </c>
      <c r="V63" s="89">
        <f>'增加值 (2001-2060, 2020RMB)'!V63*$B$73</f>
        <v>4774.5487075617966</v>
      </c>
      <c r="W63" s="90">
        <f>'增加值 (2001-2060, 2020RMB)'!W63*$B$73</f>
        <v>4922.2445475968289</v>
      </c>
      <c r="X63" s="90">
        <f>'增加值 (2001-2060, 2020RMB)'!X63*$B$73</f>
        <v>5441.7998573210371</v>
      </c>
      <c r="Y63" s="90">
        <f>'增加值 (2001-2060, 2020RMB)'!Y63*$B$73</f>
        <v>6010.513934577395</v>
      </c>
      <c r="Z63" s="101">
        <f>'增加值 (2001-2060, 2020RMB)'!Z63*$B$73</f>
        <v>6629.1930882172592</v>
      </c>
      <c r="AA63" s="90">
        <f>'增加值 (2001-2060, 2020RMB)'!AA63*$B$73</f>
        <v>7297.6007337548062</v>
      </c>
      <c r="AB63" s="90">
        <f>'增加值 (2001-2060, 2020RMB)'!AB63*$B$73</f>
        <v>8014.2013486202241</v>
      </c>
      <c r="AC63" s="90">
        <f>'增加值 (2001-2060, 2020RMB)'!AC63*$B$73</f>
        <v>8775.8961133900812</v>
      </c>
      <c r="AD63" s="90">
        <f>'增加值 (2001-2060, 2020RMB)'!AD63*$B$73</f>
        <v>9577.7638072465506</v>
      </c>
      <c r="AE63" s="90">
        <f>'增加值 (2001-2060, 2020RMB)'!AE63*$B$73</f>
        <v>10412.824519496437</v>
      </c>
      <c r="AF63" s="89">
        <f>'增加值 (2001-2060, 2020RMB)'!AF63*$B$73</f>
        <v>11273.739049891037</v>
      </c>
      <c r="AG63" s="90">
        <f>'增加值 (2001-2060, 2020RMB)'!AG63*$B$73</f>
        <v>12159.539368944366</v>
      </c>
      <c r="AH63" s="90">
        <f>'增加值 (2001-2060, 2020RMB)'!AH63*$B$73</f>
        <v>13072.046137024103</v>
      </c>
      <c r="AI63" s="90">
        <f>'增加值 (2001-2060, 2020RMB)'!AI63*$B$73</f>
        <v>14014.41299760961</v>
      </c>
      <c r="AJ63" s="101">
        <f>'增加值 (2001-2060, 2020RMB)'!AJ63*$B$73</f>
        <v>14991.280480821802</v>
      </c>
      <c r="AK63" s="90">
        <f>'增加值 (2001-2060, 2020RMB)'!AK63*$B$73</f>
        <v>16007.454413687439</v>
      </c>
      <c r="AL63" s="90">
        <f>'增加值 (2001-2060, 2020RMB)'!AL63*$B$73</f>
        <v>17062.844562136044</v>
      </c>
      <c r="AM63" s="90">
        <f>'增加值 (2001-2060, 2020RMB)'!AM63*$B$73</f>
        <v>18155.648393158688</v>
      </c>
      <c r="AN63" s="90">
        <f>'增加值 (2001-2060, 2020RMB)'!AN63*$B$73</f>
        <v>19283.63098512475</v>
      </c>
      <c r="AO63" s="90">
        <f>'增加值 (2001-2060, 2020RMB)'!AO63*$B$73</f>
        <v>20444.10636973018</v>
      </c>
      <c r="AP63" s="89">
        <f>'增加值 (2001-2060, 2020RMB)'!AP63*$B$73</f>
        <v>21633.922728240432</v>
      </c>
      <c r="AQ63" s="90">
        <f>'增加值 (2001-2060, 2020RMB)'!AQ63*$B$73</f>
        <v>22849.452082335811</v>
      </c>
      <c r="AR63" s="90">
        <f>'增加值 (2001-2060, 2020RMB)'!AR63*$B$73</f>
        <v>24086.585108514199</v>
      </c>
      <c r="AS63" s="90">
        <f>'增加值 (2001-2060, 2020RMB)'!AS63*$B$73</f>
        <v>25340.731678796772</v>
      </c>
      <c r="AT63" s="101">
        <f>'增加值 (2001-2060, 2020RMB)'!AT63*$B$73</f>
        <v>26606.827688240399</v>
      </c>
      <c r="AU63" s="90">
        <f>'增加值 (2001-2060, 2020RMB)'!AU63*$B$73</f>
        <v>27879.348670603675</v>
      </c>
      <c r="AV63" s="90">
        <f>'增加值 (2001-2060, 2020RMB)'!AV63*$B$73</f>
        <v>29152.33062691542</v>
      </c>
      <c r="AW63" s="90">
        <f>'增加值 (2001-2060, 2020RMB)'!AW63*$B$73</f>
        <v>30419.398397563051</v>
      </c>
      <c r="AX63" s="90">
        <f>'增加值 (2001-2060, 2020RMB)'!AX63*$B$73</f>
        <v>31673.801797224954</v>
      </c>
      <c r="AY63" s="90">
        <f>'增加值 (2001-2060, 2020RMB)'!AY63*$B$73</f>
        <v>32908.459604443706</v>
      </c>
      <c r="AZ63" s="89">
        <f>'增加值 (2001-2060, 2020RMB)'!AZ63*$B$73</f>
        <v>34116.011355337723</v>
      </c>
      <c r="BA63" s="90">
        <f>'增加值 (2001-2060, 2020RMB)'!BA63*$B$73</f>
        <v>35288.876735955411</v>
      </c>
      <c r="BB63" s="90">
        <f>'增加值 (2001-2060, 2020RMB)'!BB63*$B$73</f>
        <v>36419.322202731768</v>
      </c>
      <c r="BC63" s="90">
        <f>'增加值 (2001-2060, 2020RMB)'!BC63*$B$73</f>
        <v>37499.534288644441</v>
      </c>
      <c r="BD63" s="101">
        <f>'增加值 (2001-2060, 2020RMB)'!BD63*$B$73</f>
        <v>38521.69887773606</v>
      </c>
      <c r="BE63" s="90">
        <f>'增加值 (2001-2060, 2020RMB)'!BE63*$B$73</f>
        <v>39478.085556905804</v>
      </c>
      <c r="BF63" s="90">
        <f>'增加值 (2001-2060, 2020RMB)'!BF63*$B$73</f>
        <v>40361.135985871166</v>
      </c>
      <c r="BG63" s="90">
        <f>'增加值 (2001-2060, 2020RMB)'!BG63*$B$73</f>
        <v>41163.555068848029</v>
      </c>
      <c r="BH63" s="90">
        <f>'增加值 (2001-2060, 2020RMB)'!BH63*$B$73</f>
        <v>41878.403569812319</v>
      </c>
      <c r="BI63" s="101">
        <f>'增加值 (2001-2060, 2020RMB)'!BI63*$B$73</f>
        <v>42499.190692183409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'增加值 (2001-2060, 2020RMB)'!K64*$B$73</f>
        <v>1132.7196227092165</v>
      </c>
      <c r="L64" s="19">
        <f>'增加值 (2001-2060, 2020RMB)'!L64*$B$73</f>
        <v>1288.6969404733388</v>
      </c>
      <c r="M64" s="20">
        <f>'增加值 (2001-2060, 2020RMB)'!M64*$B$73</f>
        <v>1499.4006937098445</v>
      </c>
      <c r="N64" s="20">
        <f>'增加值 (2001-2060, 2020RMB)'!N64*$B$73</f>
        <v>1711.4120271908421</v>
      </c>
      <c r="O64" s="20">
        <f>'增加值 (2001-2060, 2020RMB)'!O64*$B$73</f>
        <v>1916.7397365131933</v>
      </c>
      <c r="P64" s="21">
        <f>'增加值 (2001-2060, 2020RMB)'!P64*$B$73</f>
        <v>2132.7873228454646</v>
      </c>
      <c r="Q64" s="19">
        <f>'增加值 (2001-2060, 2020RMB)'!Q64*$B$73</f>
        <v>2330.3561016859712</v>
      </c>
      <c r="R64" s="20">
        <f>'增加值 (2001-2060, 2020RMB)'!R64*$B$73</f>
        <v>2532.4045831883782</v>
      </c>
      <c r="S64" s="20">
        <f>'增加值 (2001-2060, 2020RMB)'!S64*$B$73</f>
        <v>2828.4450138267316</v>
      </c>
      <c r="T64" s="20">
        <f>'增加值 (2001-2060, 2020RMB)'!T64*$B$73</f>
        <v>3132.9488568587681</v>
      </c>
      <c r="U64" s="20">
        <f>'增加值 (2001-2060, 2020RMB)'!U64*$B$73</f>
        <v>3328.8079085503055</v>
      </c>
      <c r="V64" s="89">
        <f>'增加值 (2001-2060, 2020RMB)'!V64*$B$73</f>
        <v>3553.7797366198879</v>
      </c>
      <c r="W64" s="90">
        <f>'增加值 (2001-2060, 2020RMB)'!W64*$B$73</f>
        <v>3663.7123220113112</v>
      </c>
      <c r="X64" s="90">
        <f>'增加值 (2001-2060, 2020RMB)'!X64*$B$73</f>
        <v>4012.2084814093464</v>
      </c>
      <c r="Y64" s="90">
        <f>'增加值 (2001-2060, 2020RMB)'!Y64*$B$73</f>
        <v>4389.9763598047384</v>
      </c>
      <c r="Z64" s="101">
        <f>'增加值 (2001-2060, 2020RMB)'!Z64*$B$73</f>
        <v>4796.8614691011735</v>
      </c>
      <c r="AA64" s="90">
        <f>'增加值 (2001-2060, 2020RMB)'!AA64*$B$73</f>
        <v>5232.0058133334614</v>
      </c>
      <c r="AB64" s="90">
        <f>'增加值 (2001-2060, 2020RMB)'!AB64*$B$73</f>
        <v>5693.7061205841983</v>
      </c>
      <c r="AC64" s="90">
        <f>'增加值 (2001-2060, 2020RMB)'!AC64*$B$73</f>
        <v>6179.273338301171</v>
      </c>
      <c r="AD64" s="90">
        <f>'增加值 (2001-2060, 2020RMB)'!AD64*$B$73</f>
        <v>6684.9018760670597</v>
      </c>
      <c r="AE64" s="90">
        <f>'增加值 (2001-2060, 2020RMB)'!AE64*$B$73</f>
        <v>7205.5590233306184</v>
      </c>
      <c r="AF64" s="89">
        <f>'增加值 (2001-2060, 2020RMB)'!AF64*$B$73</f>
        <v>7736.1752048255094</v>
      </c>
      <c r="AG64" s="90">
        <f>'增加值 (2001-2060, 2020RMB)'!AG64*$B$73</f>
        <v>8276.1189925497147</v>
      </c>
      <c r="AH64" s="90">
        <f>'增加值 (2001-2060, 2020RMB)'!AH64*$B$73</f>
        <v>8826.6524460489672</v>
      </c>
      <c r="AI64" s="90">
        <f>'增加值 (2001-2060, 2020RMB)'!AI64*$B$73</f>
        <v>9389.906231771598</v>
      </c>
      <c r="AJ64" s="101">
        <f>'增加值 (2001-2060, 2020RMB)'!AJ64*$B$73</f>
        <v>9968.9512348184871</v>
      </c>
      <c r="AK64" s="90">
        <f>'增加值 (2001-2060, 2020RMB)'!AK64*$B$73</f>
        <v>10566.869821981612</v>
      </c>
      <c r="AL64" s="90">
        <f>'增加值 (2001-2060, 2020RMB)'!AL64*$B$73</f>
        <v>11183.354482188171</v>
      </c>
      <c r="AM64" s="90">
        <f>'增加值 (2001-2060, 2020RMB)'!AM64*$B$73</f>
        <v>11816.952128742872</v>
      </c>
      <c r="AN64" s="90">
        <f>'增加值 (2001-2060, 2020RMB)'!AN64*$B$73</f>
        <v>12465.948127687689</v>
      </c>
      <c r="AO64" s="90">
        <f>'增加值 (2001-2060, 2020RMB)'!AO64*$B$73</f>
        <v>13128.358019146255</v>
      </c>
      <c r="AP64" s="89">
        <f>'增加值 (2001-2060, 2020RMB)'!AP64*$B$73</f>
        <v>13801.921977816673</v>
      </c>
      <c r="AQ64" s="90">
        <f>'增加值 (2001-2060, 2020RMB)'!AQ64*$B$73</f>
        <v>14484.102423796148</v>
      </c>
      <c r="AR64" s="90">
        <f>'增加值 (2001-2060, 2020RMB)'!AR64*$B$73</f>
        <v>15172.085182972045</v>
      </c>
      <c r="AS64" s="90">
        <f>'增加值 (2001-2060, 2020RMB)'!AS64*$B$73</f>
        <v>15862.784573342806</v>
      </c>
      <c r="AT64" s="101">
        <f>'增加值 (2001-2060, 2020RMB)'!AT64*$B$73</f>
        <v>16552.852758937672</v>
      </c>
      <c r="AU64" s="90">
        <f>'增加值 (2001-2060, 2020RMB)'!AU64*$B$73</f>
        <v>17238.693665827475</v>
      </c>
      <c r="AV64" s="90">
        <f>'增加值 (2001-2060, 2020RMB)'!AV64*$B$73</f>
        <v>17916.481694682203</v>
      </c>
      <c r="AW64" s="90">
        <f>'增加值 (2001-2060, 2020RMB)'!AW64*$B$73</f>
        <v>18582.185391410982</v>
      </c>
      <c r="AX64" s="90">
        <f>'增加值 (2001-2060, 2020RMB)'!AX64*$B$73</f>
        <v>19231.596151986796</v>
      </c>
      <c r="AY64" s="90">
        <f>'增加值 (2001-2060, 2020RMB)'!AY64*$B$73</f>
        <v>19860.361940425275</v>
      </c>
      <c r="AZ64" s="89">
        <f>'增加值 (2001-2060, 2020RMB)'!AZ64*$B$73</f>
        <v>20464.025891345405</v>
      </c>
      <c r="BA64" s="90">
        <f>'增加值 (2001-2060, 2020RMB)'!BA64*$B$73</f>
        <v>21038.069552378263</v>
      </c>
      <c r="BB64" s="90">
        <f>'增加值 (2001-2060, 2020RMB)'!BB64*$B$73</f>
        <v>21577.960399185031</v>
      </c>
      <c r="BC64" s="90">
        <f>'增加值 (2001-2060, 2020RMB)'!BC64*$B$73</f>
        <v>22079.203129773767</v>
      </c>
      <c r="BD64" s="101">
        <f>'增加值 (2001-2060, 2020RMB)'!BD64*$B$73</f>
        <v>22537.394118373861</v>
      </c>
      <c r="BE64" s="90">
        <f>'增加值 (2001-2060, 2020RMB)'!BE64*$B$73</f>
        <v>22948.278285930686</v>
      </c>
      <c r="BF64" s="90">
        <f>'增加值 (2001-2060, 2020RMB)'!BF64*$B$73</f>
        <v>23307.807528226283</v>
      </c>
      <c r="BG64" s="90">
        <f>'增加值 (2001-2060, 2020RMB)'!BG64*$B$73</f>
        <v>23612.199737796698</v>
      </c>
      <c r="BH64" s="90">
        <f>'增加值 (2001-2060, 2020RMB)'!BH64*$B$73</f>
        <v>23857.997366366384</v>
      </c>
      <c r="BI64" s="101">
        <f>'增加值 (2001-2060, 2020RMB)'!BI64*$B$73</f>
        <v>24042.124404528084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'增加值 (2001-2060, 2020RMB)'!K65*$B$73</f>
        <v>356.60438163072968</v>
      </c>
      <c r="L65" s="19">
        <f>'增加值 (2001-2060, 2020RMB)'!L65*$B$73</f>
        <v>405.40230884666897</v>
      </c>
      <c r="M65" s="20">
        <f>'增加值 (2001-2060, 2020RMB)'!M65*$B$73</f>
        <v>479.60969937544712</v>
      </c>
      <c r="N65" s="20">
        <f>'增加值 (2001-2060, 2020RMB)'!N65*$B$73</f>
        <v>569.02679991809589</v>
      </c>
      <c r="O65" s="20">
        <f>'增加值 (2001-2060, 2020RMB)'!O65*$B$73</f>
        <v>605.45684735691282</v>
      </c>
      <c r="P65" s="21">
        <f>'增加值 (2001-2060, 2020RMB)'!P65*$B$73</f>
        <v>634.06775599831394</v>
      </c>
      <c r="Q65" s="19">
        <f>'增加值 (2001-2060, 2020RMB)'!Q65*$B$73</f>
        <v>659.19428618581878</v>
      </c>
      <c r="R65" s="20">
        <f>'增加值 (2001-2060, 2020RMB)'!R65*$B$73</f>
        <v>668.14822465177554</v>
      </c>
      <c r="S65" s="20">
        <f>'增加值 (2001-2060, 2020RMB)'!S65*$B$73</f>
        <v>714.43986631982693</v>
      </c>
      <c r="T65" s="20">
        <f>'增加值 (2001-2060, 2020RMB)'!T65*$B$73</f>
        <v>811.65618979178566</v>
      </c>
      <c r="U65" s="20">
        <f>'增加值 (2001-2060, 2020RMB)'!U65*$B$73</f>
        <v>807.62112573020568</v>
      </c>
      <c r="V65" s="89">
        <f>'增加值 (2001-2060, 2020RMB)'!V65*$B$73</f>
        <v>862.20282765912987</v>
      </c>
      <c r="W65" s="90">
        <f>'增加值 (2001-2060, 2020RMB)'!W65*$B$73</f>
        <v>888.87420095772279</v>
      </c>
      <c r="X65" s="90">
        <f>'增加值 (2001-2060, 2020RMB)'!X65*$B$73</f>
        <v>947.70067469151934</v>
      </c>
      <c r="Y65" s="90">
        <f>'增加值 (2001-2060, 2020RMB)'!Y65*$B$73</f>
        <v>1009.7090220240497</v>
      </c>
      <c r="Z65" s="101">
        <f>'增加值 (2001-2060, 2020RMB)'!Z65*$B$73</f>
        <v>1074.5881495700976</v>
      </c>
      <c r="AA65" s="90">
        <f>'增加值 (2001-2060, 2020RMB)'!AA65*$B$73</f>
        <v>1141.9188045078581</v>
      </c>
      <c r="AB65" s="90">
        <f>'增加值 (2001-2060, 2020RMB)'!AB65*$B$73</f>
        <v>1211.1623862655731</v>
      </c>
      <c r="AC65" s="90">
        <f>'增加值 (2001-2060, 2020RMB)'!AC65*$B$73</f>
        <v>1281.6519487714806</v>
      </c>
      <c r="AD65" s="90">
        <f>'增加值 (2001-2060, 2020RMB)'!AD65*$B$73</f>
        <v>1352.5863837373261</v>
      </c>
      <c r="AE65" s="90">
        <f>'增加值 (2001-2060, 2020RMB)'!AE65*$B$73</f>
        <v>1423.0288548769477</v>
      </c>
      <c r="AF65" s="89">
        <f>'增加值 (2001-2060, 2020RMB)'!AF65*$B$73</f>
        <v>1492.1388115364778</v>
      </c>
      <c r="AG65" s="90">
        <f>'增加值 (2001-2060, 2020RMB)'!AG65*$B$73</f>
        <v>1559.948812715525</v>
      </c>
      <c r="AH65" s="90">
        <f>'增加值 (2001-2060, 2020RMB)'!AH65*$B$73</f>
        <v>1626.8304001201509</v>
      </c>
      <c r="AI65" s="90">
        <f>'增加值 (2001-2060, 2020RMB)'!AI65*$B$73</f>
        <v>1693.2856615757926</v>
      </c>
      <c r="AJ65" s="101">
        <f>'增加值 (2001-2060, 2020RMB)'!AJ65*$B$73</f>
        <v>1759.9462815947165</v>
      </c>
      <c r="AK65" s="90">
        <f>'增加值 (2001-2060, 2020RMB)'!AK65*$B$73</f>
        <v>1827.3879642260026</v>
      </c>
      <c r="AL65" s="90">
        <f>'增加值 (2001-2060, 2020RMB)'!AL65*$B$73</f>
        <v>1895.518908545072</v>
      </c>
      <c r="AM65" s="90">
        <f>'增加值 (2001-2060, 2020RMB)'!AM65*$B$73</f>
        <v>1964.0433449798472</v>
      </c>
      <c r="AN65" s="90">
        <f>'增加值 (2001-2060, 2020RMB)'!AN65*$B$73</f>
        <v>2032.6339484893949</v>
      </c>
      <c r="AO65" s="90">
        <f>'增加值 (2001-2060, 2020RMB)'!AO65*$B$73</f>
        <v>2100.9320889148207</v>
      </c>
      <c r="AP65" s="89">
        <f>'增加值 (2001-2060, 2020RMB)'!AP65*$B$73</f>
        <v>2168.5486031433352</v>
      </c>
      <c r="AQ65" s="90">
        <f>'增加值 (2001-2060, 2020RMB)'!AQ65*$B$73</f>
        <v>2235.0651451697936</v>
      </c>
      <c r="AR65" s="90">
        <f>'增加值 (2001-2060, 2020RMB)'!AR65*$B$73</f>
        <v>2300.0361646822603</v>
      </c>
      <c r="AS65" s="90">
        <f>'增加值 (2001-2060, 2020RMB)'!AS65*$B$73</f>
        <v>2362.991557021157</v>
      </c>
      <c r="AT65" s="101">
        <f>'增加值 (2001-2060, 2020RMB)'!AT65*$B$73</f>
        <v>2423.4400171298571</v>
      </c>
      <c r="AU65" s="90">
        <f>'增加值 (2001-2060, 2020RMB)'!AU65*$B$73</f>
        <v>2480.8731173611181</v>
      </c>
      <c r="AV65" s="90">
        <f>'增加值 (2001-2060, 2020RMB)'!AV65*$B$73</f>
        <v>2534.7701137471136</v>
      </c>
      <c r="AW65" s="90">
        <f>'增加值 (2001-2060, 2020RMB)'!AW65*$B$73</f>
        <v>2584.6034676996373</v>
      </c>
      <c r="AX65" s="90">
        <f>'增加值 (2001-2060, 2020RMB)'!AX65*$B$73</f>
        <v>2629.8450503143363</v>
      </c>
      <c r="AY65" s="90">
        <f>'增加值 (2001-2060, 2020RMB)'!AY65*$B$73</f>
        <v>2669.9729748640261</v>
      </c>
      <c r="AZ65" s="89">
        <f>'增加值 (2001-2060, 2020RMB)'!AZ65*$B$73</f>
        <v>2704.4789801676116</v>
      </c>
      <c r="BA65" s="90">
        <f>'增加值 (2001-2060, 2020RMB)'!BA65*$B$73</f>
        <v>2732.8762639281777</v>
      </c>
      <c r="BB65" s="90">
        <f>'增加值 (2001-2060, 2020RMB)'!BB65*$B$73</f>
        <v>2754.7076415863285</v>
      </c>
      <c r="BC65" s="90">
        <f>'增加值 (2001-2060, 2020RMB)'!BC65*$B$73</f>
        <v>2769.5538835823395</v>
      </c>
      <c r="BD65" s="101">
        <f>'增加值 (2001-2060, 2020RMB)'!BD65*$B$73</f>
        <v>2777.0420631029788</v>
      </c>
      <c r="BE65" s="90">
        <f>'增加值 (2001-2060, 2020RMB)'!BE65*$B$73</f>
        <v>2776.8537284035115</v>
      </c>
      <c r="BF65" s="90">
        <f>'增加值 (2001-2060, 2020RMB)'!BF65*$B$73</f>
        <v>2768.7326996627467</v>
      </c>
      <c r="BG65" s="90">
        <f>'增加值 (2001-2060, 2020RMB)'!BG65*$B$73</f>
        <v>2752.4922810462126</v>
      </c>
      <c r="BH65" s="90">
        <f>'增加值 (2001-2060, 2020RMB)'!BH65*$B$73</f>
        <v>2728.0216751420694</v>
      </c>
      <c r="BI65" s="101">
        <f>'增加值 (2001-2060, 2020RMB)'!BI65*$B$73</f>
        <v>2695.2913899918453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'增加值 (2001-2060, 2020RMB)'!K66*$B$73</f>
        <v>1131.6156928756584</v>
      </c>
      <c r="L66" s="19">
        <f>'增加值 (2001-2060, 2020RMB)'!L66*$B$73</f>
        <v>1228.6643735529401</v>
      </c>
      <c r="M66" s="20">
        <f>'增加值 (2001-2060, 2020RMB)'!M66*$B$73</f>
        <v>1304.6360579632044</v>
      </c>
      <c r="N66" s="20">
        <f>'增加值 (2001-2060, 2020RMB)'!N66*$B$73</f>
        <v>1351.9180010495766</v>
      </c>
      <c r="O66" s="20">
        <f>'增加值 (2001-2060, 2020RMB)'!O66*$B$73</f>
        <v>1480.0346466575704</v>
      </c>
      <c r="P66" s="21">
        <f>'增加值 (2001-2060, 2020RMB)'!P66*$B$73</f>
        <v>1625.8986369295526</v>
      </c>
      <c r="Q66" s="19">
        <f>'增加值 (2001-2060, 2020RMB)'!Q66*$B$73</f>
        <v>1844.3240678236632</v>
      </c>
      <c r="R66" s="20">
        <f>'增加值 (2001-2060, 2020RMB)'!R66*$B$73</f>
        <v>1992.4828667786642</v>
      </c>
      <c r="S66" s="20">
        <f>'增加值 (2001-2060, 2020RMB)'!S66*$B$73</f>
        <v>2073.9238387058922</v>
      </c>
      <c r="T66" s="20">
        <f>'增加值 (2001-2060, 2020RMB)'!T66*$B$73</f>
        <v>2351.8130335778433</v>
      </c>
      <c r="U66" s="20">
        <f>'增加值 (2001-2060, 2020RMB)'!U66*$B$73</f>
        <v>2252.5950083217408</v>
      </c>
      <c r="V66" s="89">
        <f>'增加值 (2001-2060, 2020RMB)'!V66*$B$73</f>
        <v>2404.8328156223297</v>
      </c>
      <c r="W66" s="90">
        <f>'增加值 (2001-2060, 2020RMB)'!W66*$B$73</f>
        <v>2479.2238889157334</v>
      </c>
      <c r="X66" s="90">
        <f>'增加值 (2001-2060, 2020RMB)'!X66*$B$73</f>
        <v>2671.6326761297296</v>
      </c>
      <c r="Y66" s="90">
        <f>'增加值 (2001-2060, 2020RMB)'!Y66*$B$73</f>
        <v>2876.7407641544473</v>
      </c>
      <c r="Z66" s="101">
        <f>'增加值 (2001-2060, 2020RMB)'!Z66*$B$73</f>
        <v>3093.8805472932436</v>
      </c>
      <c r="AA66" s="90">
        <f>'增加值 (2001-2060, 2020RMB)'!AA66*$B$73</f>
        <v>3322.0108080624145</v>
      </c>
      <c r="AB66" s="90">
        <f>'增加值 (2001-2060, 2020RMB)'!AB66*$B$73</f>
        <v>3559.6645733741916</v>
      </c>
      <c r="AC66" s="90">
        <f>'增加值 (2001-2060, 2020RMB)'!AC66*$B$73</f>
        <v>3804.9022071778336</v>
      </c>
      <c r="AD66" s="90">
        <f>'增加值 (2001-2060, 2020RMB)'!AD66*$B$73</f>
        <v>4055.2736007410863</v>
      </c>
      <c r="AE66" s="90">
        <f>'增加值 (2001-2060, 2020RMB)'!AE66*$B$73</f>
        <v>4307.7938487237061</v>
      </c>
      <c r="AF66" s="89">
        <f>'增加值 (2001-2060, 2020RMB)'!AF66*$B$73</f>
        <v>4559.6547937141395</v>
      </c>
      <c r="AG66" s="90">
        <f>'增加值 (2001-2060, 2020RMB)'!AG66*$B$73</f>
        <v>4810.7076633694915</v>
      </c>
      <c r="AH66" s="90">
        <f>'增加值 (2001-2060, 2020RMB)'!AH66*$B$73</f>
        <v>5061.8809714760127</v>
      </c>
      <c r="AI66" s="90">
        <f>'增加值 (2001-2060, 2020RMB)'!AI66*$B$73</f>
        <v>5314.5544314935614</v>
      </c>
      <c r="AJ66" s="101">
        <f>'增加值 (2001-2060, 2020RMB)'!AJ66*$B$73</f>
        <v>5570.5716946360135</v>
      </c>
      <c r="AK66" s="90">
        <f>'增加值 (2001-2060, 2020RMB)'!AK66*$B$73</f>
        <v>5831.6780307884947</v>
      </c>
      <c r="AL66" s="90">
        <f>'增加值 (2001-2060, 2020RMB)'!AL66*$B$73</f>
        <v>6097.5946872490613</v>
      </c>
      <c r="AM66" s="90">
        <f>'增加值 (2001-2060, 2020RMB)'!AM66*$B$73</f>
        <v>6367.3990642971976</v>
      </c>
      <c r="AN66" s="90">
        <f>'增加值 (2001-2060, 2020RMB)'!AN66*$B$73</f>
        <v>6640.049920391054</v>
      </c>
      <c r="AO66" s="90">
        <f>'增加值 (2001-2060, 2020RMB)'!AO66*$B$73</f>
        <v>6914.3862417478658</v>
      </c>
      <c r="AP66" s="89">
        <f>'增加值 (2001-2060, 2020RMB)'!AP66*$B$73</f>
        <v>7189.1277454233286</v>
      </c>
      <c r="AQ66" s="90">
        <f>'增加值 (2001-2060, 2020RMB)'!AQ66*$B$73</f>
        <v>7462.8772187880459</v>
      </c>
      <c r="AR66" s="90">
        <f>'增加值 (2001-2060, 2020RMB)'!AR66*$B$73</f>
        <v>7734.1248855621025</v>
      </c>
      <c r="AS66" s="90">
        <f>'增加值 (2001-2060, 2020RMB)'!AS66*$B$73</f>
        <v>8001.2549688711506</v>
      </c>
      <c r="AT66" s="101">
        <f>'增加值 (2001-2060, 2020RMB)'!AT66*$B$73</f>
        <v>8262.5545946214315</v>
      </c>
      <c r="AU66" s="90">
        <f>'增加值 (2001-2060, 2020RMB)'!AU66*$B$73</f>
        <v>8516.2251435407088</v>
      </c>
      <c r="AV66" s="90">
        <f>'增加值 (2001-2060, 2020RMB)'!AV66*$B$73</f>
        <v>8760.3961173946045</v>
      </c>
      <c r="AW66" s="90">
        <f>'增加值 (2001-2060, 2020RMB)'!AW66*$B$73</f>
        <v>8993.1415343321041</v>
      </c>
      <c r="AX66" s="90">
        <f>'增加值 (2001-2060, 2020RMB)'!AX66*$B$73</f>
        <v>9212.4988105170014</v>
      </c>
      <c r="AY66" s="90">
        <f>'增加值 (2001-2060, 2020RMB)'!AY66*$B$73</f>
        <v>9416.4900209716616</v>
      </c>
      <c r="AZ66" s="89">
        <f>'增加值 (2001-2060, 2020RMB)'!AZ66*$B$73</f>
        <v>9603.1453630693595</v>
      </c>
      <c r="BA66" s="90">
        <f>'增加值 (2001-2060, 2020RMB)'!BA66*$B$73</f>
        <v>9770.5285728991657</v>
      </c>
      <c r="BB66" s="90">
        <f>'增加值 (2001-2060, 2020RMB)'!BB66*$B$73</f>
        <v>9916.7639696965489</v>
      </c>
      <c r="BC66" s="90">
        <f>'增加值 (2001-2060, 2020RMB)'!BC66*$B$73</f>
        <v>10040.064728921006</v>
      </c>
      <c r="BD66" s="101">
        <f>'增加值 (2001-2060, 2020RMB)'!BD66*$B$73</f>
        <v>10138.761912905044</v>
      </c>
      <c r="BE66" s="90">
        <f>'增加值 (2001-2060, 2020RMB)'!BE66*$B$73</f>
        <v>10211.333722057065</v>
      </c>
      <c r="BF66" s="90">
        <f>'增加值 (2001-2060, 2020RMB)'!BF66*$B$73</f>
        <v>10256.434372282862</v>
      </c>
      <c r="BG66" s="90">
        <f>'增加值 (2001-2060, 2020RMB)'!BG66*$B$73</f>
        <v>10272.921958537867</v>
      </c>
      <c r="BH66" s="90">
        <f>'增加值 (2001-2060, 2020RMB)'!BH66*$B$73</f>
        <v>10259.884633100142</v>
      </c>
      <c r="BI66" s="101">
        <f>'增加值 (2001-2060, 2020RMB)'!BI66*$B$73</f>
        <v>10216.664412894035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'增加值 (2001-2060, 2020RMB)'!K67*$B$73</f>
        <v>2167.1894902317831</v>
      </c>
      <c r="L67" s="19">
        <f>'增加值 (2001-2060, 2020RMB)'!L67*$B$73</f>
        <v>2396.5338103813046</v>
      </c>
      <c r="M67" s="20">
        <f>'增加值 (2001-2060, 2020RMB)'!M67*$B$73</f>
        <v>2639.4152057704505</v>
      </c>
      <c r="N67" s="20">
        <f>'增加值 (2001-2060, 2020RMB)'!N67*$B$73</f>
        <v>2942.3083943051492</v>
      </c>
      <c r="O67" s="20">
        <f>'增加值 (2001-2060, 2020RMB)'!O67*$B$73</f>
        <v>3258.7340935541315</v>
      </c>
      <c r="P67" s="21">
        <f>'增加值 (2001-2060, 2020RMB)'!P67*$B$73</f>
        <v>3742.8058536929975</v>
      </c>
      <c r="Q67" s="19">
        <f>'增加值 (2001-2060, 2020RMB)'!Q67*$B$73</f>
        <v>4081.9152178321742</v>
      </c>
      <c r="R67" s="20">
        <f>'增加值 (2001-2060, 2020RMB)'!R67*$B$73</f>
        <v>4385.2798047996121</v>
      </c>
      <c r="S67" s="20">
        <f>'增加值 (2001-2060, 2020RMB)'!S67*$B$73</f>
        <v>4766.7737428007631</v>
      </c>
      <c r="T67" s="20">
        <f>'增加值 (2001-2060, 2020RMB)'!T67*$B$73</f>
        <v>5253.006512067388</v>
      </c>
      <c r="U67" s="20">
        <f>'增加值 (2001-2060, 2020RMB)'!U67*$B$73</f>
        <v>5522.5163157140132</v>
      </c>
      <c r="V67" s="89">
        <f>'增加值 (2001-2060, 2020RMB)'!V67*$B$73</f>
        <v>5895.746200171764</v>
      </c>
      <c r="W67" s="90">
        <f>'增加值 (2001-2060, 2020RMB)'!W67*$B$73</f>
        <v>6078.1251517758401</v>
      </c>
      <c r="X67" s="90">
        <f>'增加值 (2001-2060, 2020RMB)'!X67*$B$73</f>
        <v>6568.1448435677539</v>
      </c>
      <c r="Y67" s="90">
        <f>'增加值 (2001-2060, 2020RMB)'!Y67*$B$73</f>
        <v>7092.0320366134529</v>
      </c>
      <c r="Z67" s="101">
        <f>'增加值 (2001-2060, 2020RMB)'!Z67*$B$73</f>
        <v>7648.3294952151182</v>
      </c>
      <c r="AA67" s="90">
        <f>'增加值 (2001-2060, 2020RMB)'!AA67*$B$73</f>
        <v>8234.618291194658</v>
      </c>
      <c r="AB67" s="90">
        <f>'增加值 (2001-2060, 2020RMB)'!AB67*$B$73</f>
        <v>8847.3740297792665</v>
      </c>
      <c r="AC67" s="90">
        <f>'增加值 (2001-2060, 2020RMB)'!AC67*$B$73</f>
        <v>9481.83479599165</v>
      </c>
      <c r="AD67" s="90">
        <f>'增加值 (2001-2060, 2020RMB)'!AD67*$B$73</f>
        <v>10131.891053455585</v>
      </c>
      <c r="AE67" s="90">
        <f>'增加值 (2001-2060, 2020RMB)'!AE67*$B$73</f>
        <v>10790.009278070662</v>
      </c>
      <c r="AF67" s="89">
        <f>'增加值 (2001-2060, 2020RMB)'!AF67*$B$73</f>
        <v>11449.017346341807</v>
      </c>
      <c r="AG67" s="90">
        <f>'增加值 (2001-2060, 2020RMB)'!AG67*$B$73</f>
        <v>12108.407885346678</v>
      </c>
      <c r="AH67" s="90">
        <f>'增加值 (2001-2060, 2020RMB)'!AH67*$B$73</f>
        <v>12770.400250022922</v>
      </c>
      <c r="AI67" s="90">
        <f>'增加值 (2001-2060, 2020RMB)'!AI67*$B$73</f>
        <v>13438.376935495062</v>
      </c>
      <c r="AJ67" s="101">
        <f>'增加值 (2001-2060, 2020RMB)'!AJ67*$B$73</f>
        <v>14116.92719160358</v>
      </c>
      <c r="AK67" s="90">
        <f>'增加值 (2001-2060, 2020RMB)'!AK67*$B$73</f>
        <v>14810.43992357014</v>
      </c>
      <c r="AL67" s="90">
        <f>'增加值 (2001-2060, 2020RMB)'!AL67*$B$73</f>
        <v>15518.232582399673</v>
      </c>
      <c r="AM67" s="90">
        <f>'增加值 (2001-2060, 2020RMB)'!AM67*$B$73</f>
        <v>16237.992287145184</v>
      </c>
      <c r="AN67" s="90">
        <f>'增加值 (2001-2060, 2020RMB)'!AN67*$B$73</f>
        <v>16967.093133296472</v>
      </c>
      <c r="AO67" s="90">
        <f>'增加值 (2001-2060, 2020RMB)'!AO67*$B$73</f>
        <v>17702.591911823445</v>
      </c>
      <c r="AP67" s="89">
        <f>'增加值 (2001-2060, 2020RMB)'!AP67*$B$73</f>
        <v>18441.227939278586</v>
      </c>
      <c r="AQ67" s="90">
        <f>'增加值 (2001-2060, 2020RMB)'!AQ67*$B$73</f>
        <v>19179.427527650969</v>
      </c>
      <c r="AR67" s="90">
        <f>'增加值 (2001-2060, 2020RMB)'!AR67*$B$73</f>
        <v>19913.313593313364</v>
      </c>
      <c r="AS67" s="90">
        <f>'增加值 (2001-2060, 2020RMB)'!AS67*$B$73</f>
        <v>20638.720857729673</v>
      </c>
      <c r="AT67" s="101">
        <f>'增加值 (2001-2060, 2020RMB)'!AT67*$B$73</f>
        <v>21351.217027297094</v>
      </c>
      <c r="AU67" s="90">
        <f>'增加值 (2001-2060, 2020RMB)'!AU67*$B$73</f>
        <v>22046.130254918397</v>
      </c>
      <c r="AV67" s="90">
        <f>'增加值 (2001-2060, 2020RMB)'!AV67*$B$73</f>
        <v>22718.583081310604</v>
      </c>
      <c r="AW67" s="90">
        <f>'增加值 (2001-2060, 2020RMB)'!AW67*$B$73</f>
        <v>23363.532929971785</v>
      </c>
      <c r="AX67" s="90">
        <f>'增加值 (2001-2060, 2020RMB)'!AX67*$B$73</f>
        <v>23975.819087195214</v>
      </c>
      <c r="AY67" s="90">
        <f>'增加值 (2001-2060, 2020RMB)'!AY67*$B$73</f>
        <v>24550.215939420319</v>
      </c>
      <c r="AZ67" s="89">
        <f>'增加值 (2001-2060, 2020RMB)'!AZ67*$B$73</f>
        <v>25081.492067271371</v>
      </c>
      <c r="BA67" s="90">
        <f>'增加值 (2001-2060, 2020RMB)'!BA67*$B$73</f>
        <v>25564.474612506463</v>
      </c>
      <c r="BB67" s="90">
        <f>'增加值 (2001-2060, 2020RMB)'!BB67*$B$73</f>
        <v>25994.118145307541</v>
      </c>
      <c r="BC67" s="90">
        <f>'增加值 (2001-2060, 2020RMB)'!BC67*$B$73</f>
        <v>26365.57707024493</v>
      </c>
      <c r="BD67" s="101">
        <f>'增加值 (2001-2060, 2020RMB)'!BD67*$B$73</f>
        <v>26674.280425960347</v>
      </c>
      <c r="BE67" s="90">
        <f>'增加值 (2001-2060, 2020RMB)'!BE67*$B$73</f>
        <v>26916.0077628117</v>
      </c>
      <c r="BF67" s="90">
        <f>'增加值 (2001-2060, 2020RMB)'!BF67*$B$73</f>
        <v>27086.964631500468</v>
      </c>
      <c r="BG67" s="90">
        <f>'增加值 (2001-2060, 2020RMB)'!BG67*$B$73</f>
        <v>27183.856091297952</v>
      </c>
      <c r="BH67" s="90">
        <f>'增加值 (2001-2060, 2020RMB)'!BH67*$B$73</f>
        <v>27203.956555981265</v>
      </c>
      <c r="BI67" s="101">
        <f>'增加值 (2001-2060, 2020RMB)'!BI67*$B$73</f>
        <v>27145.174245644932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'增加值 (2001-2060, 2020RMB)'!K68*$B$73</f>
        <v>1031.981644723119</v>
      </c>
      <c r="L68" s="19">
        <f>'增加值 (2001-2060, 2020RMB)'!L68*$B$73</f>
        <v>1204.9984683551932</v>
      </c>
      <c r="M68" s="20">
        <f>'增加值 (2001-2060, 2020RMB)'!M68*$B$73</f>
        <v>1428.8553982252886</v>
      </c>
      <c r="N68" s="20">
        <f>'增加值 (2001-2060, 2020RMB)'!N68*$B$73</f>
        <v>1713.1508883840104</v>
      </c>
      <c r="O68" s="20">
        <f>'增加值 (2001-2060, 2020RMB)'!O68*$B$73</f>
        <v>1943.9790724609161</v>
      </c>
      <c r="P68" s="21">
        <f>'增加值 (2001-2060, 2020RMB)'!P68*$B$73</f>
        <v>2267.6607189888832</v>
      </c>
      <c r="Q68" s="19">
        <f>'增加值 (2001-2060, 2020RMB)'!Q68*$B$73</f>
        <v>2538.1386941671763</v>
      </c>
      <c r="R68" s="20">
        <f>'增加值 (2001-2060, 2020RMB)'!R68*$B$73</f>
        <v>2692.6840893018843</v>
      </c>
      <c r="S68" s="20">
        <f>'增加值 (2001-2060, 2020RMB)'!S68*$B$73</f>
        <v>2895.3593499257977</v>
      </c>
      <c r="T68" s="20">
        <f>'增加值 (2001-2060, 2020RMB)'!T68*$B$73</f>
        <v>3095.6015662599511</v>
      </c>
      <c r="U68" s="20">
        <f>'增加值 (2001-2060, 2020RMB)'!U68*$B$73</f>
        <v>3360.4758140619583</v>
      </c>
      <c r="V68" s="89">
        <f>'增加值 (2001-2060, 2020RMB)'!V68*$B$73</f>
        <v>3587.5878637333317</v>
      </c>
      <c r="W68" s="90">
        <f>'增加值 (2001-2060, 2020RMB)'!W68*$B$73</f>
        <v>3698.5662693770705</v>
      </c>
      <c r="X68" s="90">
        <f>'增加值 (2001-2060, 2020RMB)'!X68*$B$73</f>
        <v>3931.9495004905425</v>
      </c>
      <c r="Y68" s="90">
        <f>'增加值 (2001-2060, 2020RMB)'!Y68*$B$73</f>
        <v>4177.1987806801762</v>
      </c>
      <c r="Z68" s="101">
        <f>'增加值 (2001-2060, 2020RMB)'!Z68*$B$73</f>
        <v>4432.9677758231337</v>
      </c>
      <c r="AA68" s="90">
        <f>'增加值 (2001-2060, 2020RMB)'!AA68*$B$73</f>
        <v>4697.4889037332487</v>
      </c>
      <c r="AB68" s="90">
        <f>'增加值 (2001-2060, 2020RMB)'!AB68*$B$73</f>
        <v>4968.5337526239264</v>
      </c>
      <c r="AC68" s="90">
        <f>'增加值 (2001-2060, 2020RMB)'!AC68*$B$73</f>
        <v>5243.3826802182475</v>
      </c>
      <c r="AD68" s="90">
        <f>'增加值 (2001-2060, 2020RMB)'!AD68*$B$73</f>
        <v>5518.8073154568292</v>
      </c>
      <c r="AE68" s="90">
        <f>'增加值 (2001-2060, 2020RMB)'!AE68*$B$73</f>
        <v>5791.0699261285981</v>
      </c>
      <c r="AF68" s="89">
        <f>'增加值 (2001-2060, 2020RMB)'!AF68*$B$73</f>
        <v>6056.8627342176214</v>
      </c>
      <c r="AG68" s="90">
        <f>'增加值 (2001-2060, 2020RMB)'!AG68*$B$73</f>
        <v>6316.4210127189208</v>
      </c>
      <c r="AH68" s="90">
        <f>'增加值 (2001-2060, 2020RMB)'!AH68*$B$73</f>
        <v>6571.337934820006</v>
      </c>
      <c r="AI68" s="90">
        <f>'增加值 (2001-2060, 2020RMB)'!AI68*$B$73</f>
        <v>6823.7154024970578</v>
      </c>
      <c r="AJ68" s="101">
        <f>'增加值 (2001-2060, 2020RMB)'!AJ68*$B$73</f>
        <v>7076.1553509262631</v>
      </c>
      <c r="AK68" s="90">
        <f>'增加值 (2001-2060, 2020RMB)'!AK68*$B$73</f>
        <v>7331.0057057559434</v>
      </c>
      <c r="AL68" s="90">
        <f>'增加值 (2001-2060, 2020RMB)'!AL68*$B$73</f>
        <v>7587.8994221441089</v>
      </c>
      <c r="AM68" s="90">
        <f>'增加值 (2001-2060, 2020RMB)'!AM68*$B$73</f>
        <v>7845.6488267803516</v>
      </c>
      <c r="AN68" s="90">
        <f>'增加值 (2001-2060, 2020RMB)'!AN68*$B$73</f>
        <v>8102.9458673322733</v>
      </c>
      <c r="AO68" s="90">
        <f>'增加值 (2001-2060, 2020RMB)'!AO68*$B$73</f>
        <v>8358.363700081778</v>
      </c>
      <c r="AP68" s="89">
        <f>'增加值 (2001-2060, 2020RMB)'!AP68*$B$73</f>
        <v>8610.3603739638347</v>
      </c>
      <c r="AQ68" s="90">
        <f>'增加值 (2001-2060, 2020RMB)'!AQ68*$B$73</f>
        <v>8857.2848266567089</v>
      </c>
      <c r="AR68" s="90">
        <f>'增加值 (2001-2060, 2020RMB)'!AR68*$B$73</f>
        <v>9097.3853848752642</v>
      </c>
      <c r="AS68" s="90">
        <f>'增加值 (2001-2060, 2020RMB)'!AS68*$B$73</f>
        <v>9328.8209281069176</v>
      </c>
      <c r="AT68" s="101">
        <f>'增加值 (2001-2060, 2020RMB)'!AT68*$B$73</f>
        <v>9549.6748321981577</v>
      </c>
      <c r="AU68" s="90">
        <f>'增加值 (2001-2060, 2020RMB)'!AU68*$B$73</f>
        <v>9757.9717562247006</v>
      </c>
      <c r="AV68" s="90">
        <f>'增加值 (2001-2060, 2020RMB)'!AV68*$B$73</f>
        <v>9951.6972731047208</v>
      </c>
      <c r="AW68" s="90">
        <f>'增加值 (2001-2060, 2020RMB)'!AW68*$B$73</f>
        <v>10128.820272001276</v>
      </c>
      <c r="AX68" s="90">
        <f>'增加值 (2001-2060, 2020RMB)'!AX68*$B$73</f>
        <v>10287.317979744877</v>
      </c>
      <c r="AY68" s="90">
        <f>'增加值 (2001-2060, 2020RMB)'!AY68*$B$73</f>
        <v>10425.203360835769</v>
      </c>
      <c r="AZ68" s="89">
        <f>'增加值 (2001-2060, 2020RMB)'!AZ68*$B$73</f>
        <v>10540.554563147591</v>
      </c>
      <c r="BA68" s="90">
        <f>'增加值 (2001-2060, 2020RMB)'!BA68*$B$73</f>
        <v>10631.54598186029</v>
      </c>
      <c r="BB68" s="90">
        <f>'增加值 (2001-2060, 2020RMB)'!BB68*$B$73</f>
        <v>10696.480420526981</v>
      </c>
      <c r="BC68" s="90">
        <f>'增加值 (2001-2060, 2020RMB)'!BC68*$B$73</f>
        <v>10733.821739081153</v>
      </c>
      <c r="BD68" s="101">
        <f>'增加值 (2001-2060, 2020RMB)'!BD68*$B$73</f>
        <v>10742.227297929159</v>
      </c>
      <c r="BE68" s="90">
        <f>'增加值 (2001-2060, 2020RMB)'!BE68*$B$73</f>
        <v>10720.579439160974</v>
      </c>
      <c r="BF68" s="90">
        <f>'增加值 (2001-2060, 2020RMB)'!BF68*$B$73</f>
        <v>10668.015194529991</v>
      </c>
      <c r="BG68" s="90">
        <f>'增加值 (2001-2060, 2020RMB)'!BG68*$B$73</f>
        <v>10583.953379219656</v>
      </c>
      <c r="BH68" s="90">
        <f>'增加值 (2001-2060, 2020RMB)'!BH68*$B$73</f>
        <v>10468.118224208883</v>
      </c>
      <c r="BI68" s="101">
        <f>'增加值 (2001-2060, 2020RMB)'!BI68*$B$73</f>
        <v>10320.558721346093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'增加值 (2001-2060, 2020RMB)'!K69*$B$73</f>
        <v>495.48926830977069</v>
      </c>
      <c r="L69" s="19">
        <f>'增加值 (2001-2060, 2020RMB)'!L69*$B$73</f>
        <v>539.48207057701609</v>
      </c>
      <c r="M69" s="20">
        <f>'增加值 (2001-2060, 2020RMB)'!M69*$B$73</f>
        <v>595.91667675895314</v>
      </c>
      <c r="N69" s="20">
        <f>'增加值 (2001-2060, 2020RMB)'!N69*$B$73</f>
        <v>642.43158314400387</v>
      </c>
      <c r="O69" s="20">
        <f>'增加值 (2001-2060, 2020RMB)'!O69*$B$73</f>
        <v>688.3885650364432</v>
      </c>
      <c r="P69" s="21">
        <f>'增加值 (2001-2060, 2020RMB)'!P69*$B$73</f>
        <v>777.69517580396791</v>
      </c>
      <c r="Q69" s="19">
        <f>'增加值 (2001-2060, 2020RMB)'!Q69*$B$73</f>
        <v>844.66363800570241</v>
      </c>
      <c r="R69" s="20">
        <f>'增加值 (2001-2060, 2020RMB)'!R69*$B$73</f>
        <v>961.79317073129823</v>
      </c>
      <c r="S69" s="20">
        <f>'增加值 (2001-2060, 2020RMB)'!S69*$B$73</f>
        <v>1023.5944734131891</v>
      </c>
      <c r="T69" s="20">
        <f>'增加值 (2001-2060, 2020RMB)'!T69*$B$73</f>
        <v>1126.8994491473895</v>
      </c>
      <c r="U69" s="20">
        <f>'增加值 (2001-2060, 2020RMB)'!U69*$B$73</f>
        <v>961.63541521511002</v>
      </c>
      <c r="V69" s="89">
        <f>'增加值 (2001-2060, 2020RMB)'!V69*$B$73</f>
        <v>1026.6259112848011</v>
      </c>
      <c r="W69" s="90">
        <f>'增加值 (2001-2060, 2020RMB)'!W69*$B$73</f>
        <v>1058.3835465412587</v>
      </c>
      <c r="X69" s="90">
        <f>'增加值 (2001-2060, 2020RMB)'!X69*$B$73</f>
        <v>1143.5139594945442</v>
      </c>
      <c r="Y69" s="90">
        <f>'增加值 (2001-2060, 2020RMB)'!Y69*$B$73</f>
        <v>1236.8608800342745</v>
      </c>
      <c r="Z69" s="101">
        <f>'增加值 (2001-2060, 2020RMB)'!Z69*$B$73</f>
        <v>1338.2902807483399</v>
      </c>
      <c r="AA69" s="90">
        <f>'增加值 (2001-2060, 2020RMB)'!AA69*$B$73</f>
        <v>1447.4346882867608</v>
      </c>
      <c r="AB69" s="90">
        <f>'增加值 (2001-2060, 2020RMB)'!AB69*$B$73</f>
        <v>1563.6368838420533</v>
      </c>
      <c r="AC69" s="90">
        <f>'增加值 (2001-2060, 2020RMB)'!AC69*$B$73</f>
        <v>1685.893780064373</v>
      </c>
      <c r="AD69" s="90">
        <f>'增加值 (2001-2060, 2020RMB)'!AD69*$B$73</f>
        <v>1812.8045305457633</v>
      </c>
      <c r="AE69" s="90">
        <f>'增加值 (2001-2060, 2020RMB)'!AE69*$B$73</f>
        <v>1942.528099930257</v>
      </c>
      <c r="AF69" s="89">
        <f>'增加值 (2001-2060, 2020RMB)'!AF69*$B$73</f>
        <v>2073.160661158835</v>
      </c>
      <c r="AG69" s="90">
        <f>'增加值 (2001-2060, 2020RMB)'!AG69*$B$73</f>
        <v>2204.1458148396018</v>
      </c>
      <c r="AH69" s="90">
        <f>'增加值 (2001-2060, 2020RMB)'!AH69*$B$73</f>
        <v>2335.4278375701292</v>
      </c>
      <c r="AI69" s="90">
        <f>'增加值 (2001-2060, 2020RMB)'!AI69*$B$73</f>
        <v>2467.1093947842137</v>
      </c>
      <c r="AJ69" s="101">
        <f>'增加值 (2001-2060, 2020RMB)'!AJ69*$B$73</f>
        <v>2599.4606095817803</v>
      </c>
      <c r="AK69" s="90">
        <f>'增加值 (2001-2060, 2020RMB)'!AK69*$B$73</f>
        <v>2732.7425467739486</v>
      </c>
      <c r="AL69" s="90">
        <f>'增加值 (2001-2060, 2020RMB)'!AL69*$B$73</f>
        <v>2866.5890792895498</v>
      </c>
      <c r="AM69" s="90">
        <f>'增加值 (2001-2060, 2020RMB)'!AM69*$B$73</f>
        <v>3000.4384530924503</v>
      </c>
      <c r="AN69" s="90">
        <f>'增加值 (2001-2060, 2020RMB)'!AN69*$B$73</f>
        <v>3133.7032762472841</v>
      </c>
      <c r="AO69" s="90">
        <f>'增加值 (2001-2060, 2020RMB)'!AO69*$B$73</f>
        <v>3265.7745494784081</v>
      </c>
      <c r="AP69" s="89">
        <f>'增加值 (2001-2060, 2020RMB)'!AP69*$B$73</f>
        <v>3396.0261019689769</v>
      </c>
      <c r="AQ69" s="90">
        <f>'增加值 (2001-2060, 2020RMB)'!AQ69*$B$73</f>
        <v>3523.8193904088357</v>
      </c>
      <c r="AR69" s="90">
        <f>'增加值 (2001-2060, 2020RMB)'!AR69*$B$73</f>
        <v>3648.5086121474292</v>
      </c>
      <c r="AS69" s="90">
        <f>'增加值 (2001-2060, 2020RMB)'!AS69*$B$73</f>
        <v>3769.446076752728</v>
      </c>
      <c r="AT69" s="101">
        <f>'增加值 (2001-2060, 2020RMB)'!AT69*$B$73</f>
        <v>3885.9877744696441</v>
      </c>
      <c r="AU69" s="90">
        <f>'增加值 (2001-2060, 2020RMB)'!AU69*$B$73</f>
        <v>3997.4990751478117</v>
      </c>
      <c r="AV69" s="90">
        <f>'增加值 (2001-2060, 2020RMB)'!AV69*$B$73</f>
        <v>4103.3604872927363</v>
      </c>
      <c r="AW69" s="90">
        <f>'增加值 (2001-2060, 2020RMB)'!AW69*$B$73</f>
        <v>4202.9734040893691</v>
      </c>
      <c r="AX69" s="90">
        <f>'增加值 (2001-2060, 2020RMB)'!AX69*$B$73</f>
        <v>4295.7657616368861</v>
      </c>
      <c r="AY69" s="90">
        <f>'增加值 (2001-2060, 2020RMB)'!AY69*$B$73</f>
        <v>4381.1975342767309</v>
      </c>
      <c r="AZ69" s="89">
        <f>'增加值 (2001-2060, 2020RMB)'!AZ69*$B$73</f>
        <v>4458.7659928249413</v>
      </c>
      <c r="BA69" s="90">
        <f>'增加值 (2001-2060, 2020RMB)'!BA69*$B$73</f>
        <v>4528.0106537432885</v>
      </c>
      <c r="BB69" s="90">
        <f>'增加值 (2001-2060, 2020RMB)'!BB69*$B$73</f>
        <v>4588.5178507771343</v>
      </c>
      <c r="BC69" s="90">
        <f>'增加值 (2001-2060, 2020RMB)'!BC69*$B$73</f>
        <v>4639.9248653057148</v>
      </c>
      <c r="BD69" s="101">
        <f>'增加值 (2001-2060, 2020RMB)'!BD69*$B$73</f>
        <v>4681.9235575131988</v>
      </c>
      <c r="BE69" s="90">
        <f>'增加值 (2001-2060, 2020RMB)'!BE69*$B$73</f>
        <v>4714.2634473993494</v>
      </c>
      <c r="BF69" s="90">
        <f>'增加值 (2001-2060, 2020RMB)'!BF69*$B$73</f>
        <v>4736.7542024793929</v>
      </c>
      <c r="BG69" s="90">
        <f>'增加值 (2001-2060, 2020RMB)'!BG69*$B$73</f>
        <v>4749.2674976309381</v>
      </c>
      <c r="BH69" s="90">
        <f>'增加值 (2001-2060, 2020RMB)'!BH69*$B$73</f>
        <v>4751.7382217699706</v>
      </c>
      <c r="BI69" s="101">
        <f>'增加值 (2001-2060, 2020RMB)'!BI69*$B$73</f>
        <v>4744.1650157012282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'增加值 (2001-2060, 2020RMB)'!K70*$B$73</f>
        <v>2856.6725234196342</v>
      </c>
      <c r="L70" s="25">
        <f>'增加值 (2001-2060, 2020RMB)'!L70*$B$73</f>
        <v>2932.5284446200644</v>
      </c>
      <c r="M70" s="26">
        <f>'增加值 (2001-2060, 2020RMB)'!M70*$B$73</f>
        <v>3187.413724976172</v>
      </c>
      <c r="N70" s="26">
        <f>'增加值 (2001-2060, 2020RMB)'!N70*$B$73</f>
        <v>3367.9567735186633</v>
      </c>
      <c r="O70" s="26">
        <f>'增加值 (2001-2060, 2020RMB)'!O70*$B$73</f>
        <v>3733.4943639751859</v>
      </c>
      <c r="P70" s="27">
        <f>'增加值 (2001-2060, 2020RMB)'!P70*$B$73</f>
        <v>4368.9949883952995</v>
      </c>
      <c r="Q70" s="25">
        <f>'增加值 (2001-2060, 2020RMB)'!Q70*$B$73</f>
        <v>5123.840619106315</v>
      </c>
      <c r="R70" s="26">
        <f>'增加值 (2001-2060, 2020RMB)'!R70*$B$73</f>
        <v>5639.5856146204096</v>
      </c>
      <c r="S70" s="26">
        <f>'增加值 (2001-2060, 2020RMB)'!S70*$B$73</f>
        <v>6157.7311458472932</v>
      </c>
      <c r="T70" s="26">
        <f>'增加值 (2001-2060, 2020RMB)'!T70*$B$73</f>
        <v>6617.8928118752383</v>
      </c>
      <c r="U70" s="26">
        <f>'增加值 (2001-2060, 2020RMB)'!U70*$B$73</f>
        <v>6785.6511288582524</v>
      </c>
      <c r="V70" s="91">
        <f>'增加值 (2001-2060, 2020RMB)'!V70*$B$73</f>
        <v>7244.2478340572889</v>
      </c>
      <c r="W70" s="92">
        <f>'增加值 (2001-2060, 2020RMB)'!W70*$B$73</f>
        <v>7468.3413211712659</v>
      </c>
      <c r="X70" s="92">
        <f>'增加值 (2001-2060, 2020RMB)'!X70*$B$73</f>
        <v>8079.3932953004387</v>
      </c>
      <c r="Y70" s="92">
        <f>'增加值 (2001-2060, 2020RMB)'!Y70*$B$73</f>
        <v>8733.4334518950691</v>
      </c>
      <c r="Z70" s="102">
        <f>'增加值 (2001-2060, 2020RMB)'!Z70*$B$73</f>
        <v>9428.7667643756067</v>
      </c>
      <c r="AA70" s="92">
        <f>'增加值 (2001-2060, 2020RMB)'!AA70*$B$73</f>
        <v>10162.494418825798</v>
      </c>
      <c r="AB70" s="92">
        <f>'增加值 (2001-2060, 2020RMB)'!AB70*$B$73</f>
        <v>10930.329007318896</v>
      </c>
      <c r="AC70" s="92">
        <f>'增加值 (2001-2060, 2020RMB)'!AC70*$B$73</f>
        <v>11726.423484231733</v>
      </c>
      <c r="AD70" s="92">
        <f>'增加值 (2001-2060, 2020RMB)'!AD70*$B$73</f>
        <v>12543.226838302931</v>
      </c>
      <c r="AE70" s="92">
        <f>'增加值 (2001-2060, 2020RMB)'!AE70*$B$73</f>
        <v>13371.381474546675</v>
      </c>
      <c r="AF70" s="91">
        <f>'增加值 (2001-2060, 2020RMB)'!AF70*$B$73</f>
        <v>14201.936844430862</v>
      </c>
      <c r="AG70" s="92">
        <f>'增加值 (2001-2060, 2020RMB)'!AG70*$B$73</f>
        <v>15034.202430172834</v>
      </c>
      <c r="AH70" s="92">
        <f>'增加值 (2001-2060, 2020RMB)'!AH70*$B$73</f>
        <v>15870.880041990107</v>
      </c>
      <c r="AI70" s="92">
        <f>'增加值 (2001-2060, 2020RMB)'!AI70*$B$73</f>
        <v>16716.128616629241</v>
      </c>
      <c r="AJ70" s="102">
        <f>'增加值 (2001-2060, 2020RMB)'!AJ70*$B$73</f>
        <v>17575.624230810488</v>
      </c>
      <c r="AK70" s="92">
        <f>'增加值 (2001-2060, 2020RMB)'!AK70*$B$73</f>
        <v>18454.817295170451</v>
      </c>
      <c r="AL70" s="92">
        <f>'增加值 (2001-2060, 2020RMB)'!AL70*$B$73</f>
        <v>19352.872693755613</v>
      </c>
      <c r="AM70" s="92">
        <f>'增加值 (2001-2060, 2020RMB)'!AM70*$B$73</f>
        <v>20266.926215512358</v>
      </c>
      <c r="AN70" s="92">
        <f>'增加值 (2001-2060, 2020RMB)'!AN70*$B$73</f>
        <v>21193.717843399565</v>
      </c>
      <c r="AO70" s="92">
        <f>'增加值 (2001-2060, 2020RMB)'!AO70*$B$73</f>
        <v>22129.585705733243</v>
      </c>
      <c r="AP70" s="91">
        <f>'增加值 (2001-2060, 2020RMB)'!AP70*$B$73</f>
        <v>23070.465129242355</v>
      </c>
      <c r="AQ70" s="92">
        <f>'增加值 (2001-2060, 2020RMB)'!AQ70*$B$73</f>
        <v>24011.893458868824</v>
      </c>
      <c r="AR70" s="92">
        <f>'增加值 (2001-2060, 2020RMB)'!AR70*$B$73</f>
        <v>24949.021274224375</v>
      </c>
      <c r="AS70" s="92">
        <f>'增加值 (2001-2060, 2020RMB)'!AS70*$B$73</f>
        <v>25876.630576092586</v>
      </c>
      <c r="AT70" s="102">
        <f>'增加值 (2001-2060, 2020RMB)'!AT70*$B$73</f>
        <v>26789.160436828828</v>
      </c>
      <c r="AU70" s="92">
        <f>'增加值 (2001-2060, 2020RMB)'!AU70*$B$73</f>
        <v>27680.740504846915</v>
      </c>
      <c r="AV70" s="92">
        <f>'增加值 (2001-2060, 2020RMB)'!AV70*$B$73</f>
        <v>28545.232625166707</v>
      </c>
      <c r="AW70" s="92">
        <f>'增加值 (2001-2060, 2020RMB)'!AW70*$B$73</f>
        <v>29376.28068555682</v>
      </c>
      <c r="AX70" s="92">
        <f>'增加值 (2001-2060, 2020RMB)'!AX70*$B$73</f>
        <v>30167.368622397793</v>
      </c>
      <c r="AY70" s="92">
        <f>'增加值 (2001-2060, 2020RMB)'!AY70*$B$73</f>
        <v>30911.886324236224</v>
      </c>
      <c r="AZ70" s="91">
        <f>'增加值 (2001-2060, 2020RMB)'!AZ70*$B$73</f>
        <v>31603.202957419981</v>
      </c>
      <c r="BA70" s="92">
        <f>'增加值 (2001-2060, 2020RMB)'!BA70*$B$73</f>
        <v>32234.747011591062</v>
      </c>
      <c r="BB70" s="92">
        <f>'增加值 (2001-2060, 2020RMB)'!BB70*$B$73</f>
        <v>32800.092128668388</v>
      </c>
      <c r="BC70" s="92">
        <f>'增加值 (2001-2060, 2020RMB)'!BC70*$B$73</f>
        <v>33293.047543797293</v>
      </c>
      <c r="BD70" s="102">
        <f>'增加值 (2001-2060, 2020RMB)'!BD70*$B$73</f>
        <v>33707.751738018</v>
      </c>
      <c r="BE70" s="92">
        <f>'增加值 (2001-2060, 2020RMB)'!BE70*$B$73</f>
        <v>34038.767688276166</v>
      </c>
      <c r="BF70" s="92">
        <f>'增加值 (2001-2060, 2020RMB)'!BF70*$B$73</f>
        <v>34281.177909555081</v>
      </c>
      <c r="BG70" s="92">
        <f>'增加值 (2001-2060, 2020RMB)'!BG70*$B$73</f>
        <v>34430.677325214034</v>
      </c>
      <c r="BH70" s="92">
        <f>'增加值 (2001-2060, 2020RMB)'!BH70*$B$73</f>
        <v>34483.661883835666</v>
      </c>
      <c r="BI70" s="102">
        <f>'增加值 (2001-2060, 2020RMB)'!BI70*$B$73</f>
        <v>34437.310772231329</v>
      </c>
    </row>
    <row r="73" spans="1:61" x14ac:dyDescent="0.2">
      <c r="A73" s="119" t="s">
        <v>286</v>
      </c>
      <c r="B73" s="120">
        <v>0.13774643545738699</v>
      </c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</row>
    <row r="74" spans="1:61" x14ac:dyDescent="0.2">
      <c r="A74" s="174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</row>
    <row r="75" spans="1:61" x14ac:dyDescent="0.2">
      <c r="A75" s="174"/>
    </row>
    <row r="78" spans="1:61" x14ac:dyDescent="0.2">
      <c r="A78" s="112" t="s">
        <v>168</v>
      </c>
      <c r="B78" s="116">
        <f>B13</f>
        <v>11360.305148771144</v>
      </c>
      <c r="C78" s="117">
        <f t="shared" ref="C78:BI78" si="0">C13</f>
        <v>12298.062693286282</v>
      </c>
      <c r="D78" s="117">
        <f t="shared" si="0"/>
        <v>13884.790875628891</v>
      </c>
      <c r="E78" s="117">
        <f t="shared" si="0"/>
        <v>15422.095104095906</v>
      </c>
      <c r="F78" s="117">
        <f t="shared" si="0"/>
        <v>17592.823233998242</v>
      </c>
      <c r="G78" s="117">
        <f t="shared" si="0"/>
        <v>20024.670878731729</v>
      </c>
      <c r="H78" s="117">
        <f t="shared" si="0"/>
        <v>22498.315163918967</v>
      </c>
      <c r="I78" s="117">
        <f t="shared" si="0"/>
        <v>24625.937654813672</v>
      </c>
      <c r="J78" s="117">
        <f t="shared" si="0"/>
        <v>25871.065445139207</v>
      </c>
      <c r="K78" s="117">
        <f t="shared" si="0"/>
        <v>28934.018460247236</v>
      </c>
      <c r="L78" s="117">
        <f t="shared" si="0"/>
        <v>31652.799458352747</v>
      </c>
      <c r="M78" s="117">
        <f t="shared" si="0"/>
        <v>33124.32229745431</v>
      </c>
      <c r="N78" s="117">
        <f t="shared" si="0"/>
        <v>34518.444056519606</v>
      </c>
      <c r="O78" s="117">
        <f t="shared" si="0"/>
        <v>35827.085847351853</v>
      </c>
      <c r="P78" s="117">
        <f t="shared" si="0"/>
        <v>36086.373868234325</v>
      </c>
      <c r="Q78" s="117">
        <f t="shared" si="0"/>
        <v>37149.335570071082</v>
      </c>
      <c r="R78" s="117">
        <f t="shared" si="0"/>
        <v>39938.398266727323</v>
      </c>
      <c r="S78" s="117">
        <f t="shared" si="0"/>
        <v>42210.749247921012</v>
      </c>
      <c r="T78" s="117">
        <f t="shared" si="0"/>
        <v>43185.307729585511</v>
      </c>
      <c r="U78" s="117">
        <f t="shared" si="0"/>
        <v>43101.259119279217</v>
      </c>
      <c r="V78" s="117">
        <f t="shared" si="0"/>
        <v>49064.409191140723</v>
      </c>
      <c r="W78" s="117">
        <f t="shared" si="0"/>
        <v>51734.614096336591</v>
      </c>
      <c r="X78" s="117">
        <f t="shared" si="0"/>
        <v>53529.891961528432</v>
      </c>
      <c r="Y78" s="117">
        <f t="shared" si="0"/>
        <v>55458.990267115252</v>
      </c>
      <c r="Z78" s="117">
        <f t="shared" si="0"/>
        <v>57495.217965868636</v>
      </c>
      <c r="AA78" s="117">
        <f t="shared" si="0"/>
        <v>59608.908115716571</v>
      </c>
      <c r="AB78" s="117">
        <f t="shared" si="0"/>
        <v>61766.80203302727</v>
      </c>
      <c r="AC78" s="117">
        <f t="shared" si="0"/>
        <v>63931.642358351739</v>
      </c>
      <c r="AD78" s="117">
        <f t="shared" si="0"/>
        <v>66062.033938402572</v>
      </c>
      <c r="AE78" s="117">
        <f t="shared" si="0"/>
        <v>68112.644156483293</v>
      </c>
      <c r="AF78" s="117">
        <f t="shared" si="0"/>
        <v>70044.80314215619</v>
      </c>
      <c r="AG78" s="117">
        <f t="shared" si="0"/>
        <v>71858.742574282631</v>
      </c>
      <c r="AH78" s="117">
        <f t="shared" si="0"/>
        <v>73566.279824424331</v>
      </c>
      <c r="AI78" s="117">
        <f t="shared" si="0"/>
        <v>75180.784062338178</v>
      </c>
      <c r="AJ78" s="117">
        <f t="shared" si="0"/>
        <v>76716.789996604566</v>
      </c>
      <c r="AK78" s="117">
        <f t="shared" si="0"/>
        <v>78186.307260368383</v>
      </c>
      <c r="AL78" s="117">
        <f t="shared" si="0"/>
        <v>79588.483676221338</v>
      </c>
      <c r="AM78" s="117">
        <f t="shared" si="0"/>
        <v>80919.720930519659</v>
      </c>
      <c r="AN78" s="117">
        <f t="shared" si="0"/>
        <v>82177.075487444497</v>
      </c>
      <c r="AO78" s="117">
        <f t="shared" si="0"/>
        <v>83358.270270051536</v>
      </c>
      <c r="AP78" s="117">
        <f t="shared" si="0"/>
        <v>84461.697825134848</v>
      </c>
      <c r="AQ78" s="117">
        <f t="shared" si="0"/>
        <v>85486.415771472268</v>
      </c>
      <c r="AR78" s="117">
        <f t="shared" si="0"/>
        <v>86432.135443929641</v>
      </c>
      <c r="AS78" s="117">
        <f t="shared" si="0"/>
        <v>87299.204721763308</v>
      </c>
      <c r="AT78" s="117">
        <f t="shared" si="0"/>
        <v>88088.58607187969</v>
      </c>
      <c r="AU78" s="117">
        <f t="shared" si="0"/>
        <v>88801.830851343708</v>
      </c>
      <c r="AV78" s="117">
        <f t="shared" si="0"/>
        <v>89441.05090323514</v>
      </c>
      <c r="AW78" s="117">
        <f t="shared" si="0"/>
        <v>90008.888451499544</v>
      </c>
      <c r="AX78" s="117">
        <f t="shared" si="0"/>
        <v>90508.485259212888</v>
      </c>
      <c r="AY78" s="117">
        <f t="shared" si="0"/>
        <v>90943.45196604084</v>
      </c>
      <c r="AZ78" s="117">
        <f t="shared" si="0"/>
        <v>91317.838469723574</v>
      </c>
      <c r="BA78" s="117">
        <f t="shared" si="0"/>
        <v>91636.106167972423</v>
      </c>
      <c r="BB78" s="117">
        <f t="shared" si="0"/>
        <v>91903.102835769299</v>
      </c>
      <c r="BC78" s="117">
        <f t="shared" si="0"/>
        <v>92124.040883067777</v>
      </c>
      <c r="BD78" s="117">
        <f t="shared" si="0"/>
        <v>92304.479723627053</v>
      </c>
      <c r="BE78" s="117">
        <f t="shared" si="0"/>
        <v>92450.312991628743</v>
      </c>
      <c r="BF78" s="117">
        <f t="shared" si="0"/>
        <v>92567.761373711517</v>
      </c>
      <c r="BG78" s="117">
        <f t="shared" si="0"/>
        <v>92663.371885732791</v>
      </c>
      <c r="BH78" s="117">
        <f t="shared" si="0"/>
        <v>92744.024522721622</v>
      </c>
      <c r="BI78" s="118">
        <f t="shared" si="0"/>
        <v>92816.947355611701</v>
      </c>
    </row>
    <row r="79" spans="1:61" x14ac:dyDescent="0.2">
      <c r="A79" s="113" t="s">
        <v>10</v>
      </c>
      <c r="B79" s="10"/>
      <c r="C79" s="44"/>
      <c r="D79" s="44"/>
      <c r="E79" s="44"/>
      <c r="F79" s="44"/>
      <c r="G79" s="44"/>
      <c r="H79" s="44"/>
      <c r="I79" s="23">
        <f>I14</f>
        <v>1608.2848584278597</v>
      </c>
      <c r="J79" s="23">
        <f t="shared" ref="J79:BI79" si="1">J14</f>
        <v>1651.0989121675054</v>
      </c>
      <c r="K79" s="23">
        <f t="shared" si="1"/>
        <v>1879.1923219537205</v>
      </c>
      <c r="L79" s="23">
        <f t="shared" si="1"/>
        <v>2105.4222125807664</v>
      </c>
      <c r="M79" s="23">
        <f t="shared" si="1"/>
        <v>2200.7748797618237</v>
      </c>
      <c r="N79" s="23">
        <f t="shared" si="1"/>
        <v>2209.8174876911885</v>
      </c>
      <c r="O79" s="23">
        <f t="shared" si="1"/>
        <v>2171.579848017881</v>
      </c>
      <c r="P79" s="23">
        <f t="shared" si="1"/>
        <v>2099.3377117375903</v>
      </c>
      <c r="Q79" s="23">
        <f t="shared" si="1"/>
        <v>2017.9816653801363</v>
      </c>
      <c r="R79" s="23">
        <f t="shared" si="1"/>
        <v>1999.7266103568845</v>
      </c>
      <c r="S79" s="23">
        <f t="shared" si="1"/>
        <v>2034.9296418416018</v>
      </c>
      <c r="T79" s="23">
        <f t="shared" si="1"/>
        <v>2069.922408755594</v>
      </c>
      <c r="U79" s="23">
        <f t="shared" si="1"/>
        <v>2036.4097192215513</v>
      </c>
      <c r="V79" s="23">
        <f t="shared" si="1"/>
        <v>2262.3473207375118</v>
      </c>
      <c r="W79" s="23">
        <f t="shared" si="1"/>
        <v>2479.7197729678542</v>
      </c>
      <c r="X79" s="23">
        <f t="shared" si="1"/>
        <v>2504.8652864475293</v>
      </c>
      <c r="Y79" s="23">
        <f t="shared" si="1"/>
        <v>2541.3253789756022</v>
      </c>
      <c r="Z79" s="23">
        <f t="shared" si="1"/>
        <v>2586.0259780063802</v>
      </c>
      <c r="AA79" s="23">
        <f t="shared" si="1"/>
        <v>2635.753447624787</v>
      </c>
      <c r="AB79" s="23">
        <f t="shared" si="1"/>
        <v>2687.06735931906</v>
      </c>
      <c r="AC79" s="23">
        <f t="shared" si="1"/>
        <v>2736.2562957391619</v>
      </c>
      <c r="AD79" s="23">
        <f t="shared" si="1"/>
        <v>2779.3422178793899</v>
      </c>
      <c r="AE79" s="23">
        <f t="shared" si="1"/>
        <v>2812.1396576400189</v>
      </c>
      <c r="AF79" s="23">
        <f t="shared" si="1"/>
        <v>2831.4459928583838</v>
      </c>
      <c r="AG79" s="23">
        <f t="shared" si="1"/>
        <v>2838.445298393015</v>
      </c>
      <c r="AH79" s="23">
        <f t="shared" si="1"/>
        <v>2835.5824823760358</v>
      </c>
      <c r="AI79" s="23">
        <f t="shared" si="1"/>
        <v>2825.414753821859</v>
      </c>
      <c r="AJ79" s="23">
        <f t="shared" si="1"/>
        <v>2810.5347557788564</v>
      </c>
      <c r="AK79" s="23">
        <f t="shared" si="1"/>
        <v>2793.0998910046405</v>
      </c>
      <c r="AL79" s="23">
        <f t="shared" si="1"/>
        <v>2773.573858964955</v>
      </c>
      <c r="AM79" s="23">
        <f t="shared" si="1"/>
        <v>2752.0038415913455</v>
      </c>
      <c r="AN79" s="23">
        <f t="shared" si="1"/>
        <v>2728.4414703594271</v>
      </c>
      <c r="AO79" s="23">
        <f t="shared" si="1"/>
        <v>2702.9426213518418</v>
      </c>
      <c r="AP79" s="23">
        <f t="shared" si="1"/>
        <v>2675.5671956158635</v>
      </c>
      <c r="AQ79" s="23">
        <f t="shared" si="1"/>
        <v>2646.3788860174891</v>
      </c>
      <c r="AR79" s="23">
        <f t="shared" si="1"/>
        <v>2615.4449318542447</v>
      </c>
      <c r="AS79" s="23">
        <f t="shared" si="1"/>
        <v>2582.8358625411124</v>
      </c>
      <c r="AT79" s="23">
        <f t="shared" si="1"/>
        <v>2548.6252317266653</v>
      </c>
      <c r="AU79" s="23">
        <f t="shared" si="1"/>
        <v>2512.8893432302966</v>
      </c>
      <c r="AV79" s="23">
        <f t="shared" si="1"/>
        <v>2475.7069702159456</v>
      </c>
      <c r="AW79" s="23">
        <f t="shared" si="1"/>
        <v>2437.1590690329904</v>
      </c>
      <c r="AX79" s="23">
        <f t="shared" si="1"/>
        <v>2397.3284891606836</v>
      </c>
      <c r="AY79" s="23">
        <f t="shared" si="1"/>
        <v>2356.2996806896876</v>
      </c>
      <c r="AZ79" s="23">
        <f t="shared" si="1"/>
        <v>2314.1584007617075</v>
      </c>
      <c r="BA79" s="23">
        <f t="shared" si="1"/>
        <v>2270.9914203678104</v>
      </c>
      <c r="BB79" s="23">
        <f t="shared" si="1"/>
        <v>2226.8862328765176</v>
      </c>
      <c r="BC79" s="23">
        <f t="shared" si="1"/>
        <v>2181.9307656257402</v>
      </c>
      <c r="BD79" s="23">
        <f t="shared" si="1"/>
        <v>2136.2130958677335</v>
      </c>
      <c r="BE79" s="23">
        <f t="shared" si="1"/>
        <v>2089.8211723044978</v>
      </c>
      <c r="BF79" s="23">
        <f t="shared" si="1"/>
        <v>2042.8425433925413</v>
      </c>
      <c r="BG79" s="23">
        <f t="shared" si="1"/>
        <v>1995.3640935315077</v>
      </c>
      <c r="BH79" s="23">
        <f t="shared" si="1"/>
        <v>1947.4717881813799</v>
      </c>
      <c r="BI79" s="24">
        <f t="shared" si="1"/>
        <v>1899.2504288782513</v>
      </c>
    </row>
    <row r="80" spans="1:61" x14ac:dyDescent="0.2">
      <c r="A80" s="114" t="s">
        <v>11</v>
      </c>
      <c r="B80" s="14"/>
      <c r="I80" s="20">
        <f t="shared" ref="I80" si="2">I15</f>
        <v>1691.9642035906934</v>
      </c>
      <c r="J80" s="20">
        <f t="shared" ref="J80:BI80" si="3">J15</f>
        <v>1680.8699560030407</v>
      </c>
      <c r="K80" s="20">
        <f t="shared" si="3"/>
        <v>1629.0528811988204</v>
      </c>
      <c r="L80" s="20">
        <f t="shared" si="3"/>
        <v>1645.1568841099402</v>
      </c>
      <c r="M80" s="20">
        <f t="shared" si="3"/>
        <v>1616.2967364381511</v>
      </c>
      <c r="N80" s="20">
        <f t="shared" si="3"/>
        <v>1570.7335794601238</v>
      </c>
      <c r="O80" s="20">
        <f t="shared" si="3"/>
        <v>1558.6134131412034</v>
      </c>
      <c r="P80" s="20">
        <f t="shared" si="3"/>
        <v>1540.772253083157</v>
      </c>
      <c r="Q80" s="20">
        <f t="shared" si="3"/>
        <v>1502.1130367157548</v>
      </c>
      <c r="R80" s="20">
        <f t="shared" si="3"/>
        <v>1479.4019047376719</v>
      </c>
      <c r="S80" s="20">
        <f t="shared" si="3"/>
        <v>1502.499103959708</v>
      </c>
      <c r="T80" s="20">
        <f t="shared" si="3"/>
        <v>1502.2602870929002</v>
      </c>
      <c r="U80" s="20">
        <f t="shared" si="3"/>
        <v>1460.4994252894223</v>
      </c>
      <c r="V80" s="20">
        <f t="shared" si="3"/>
        <v>1579.9619826365199</v>
      </c>
      <c r="W80" s="20">
        <f t="shared" si="3"/>
        <v>1694.8545592328228</v>
      </c>
      <c r="X80" s="20">
        <f t="shared" si="3"/>
        <v>1693.3899573458925</v>
      </c>
      <c r="Y80" s="20">
        <f t="shared" si="3"/>
        <v>1698.1736204462113</v>
      </c>
      <c r="Z80" s="20">
        <f t="shared" si="3"/>
        <v>1707.3416444376569</v>
      </c>
      <c r="AA80" s="20">
        <f t="shared" si="3"/>
        <v>1719.0348295720169</v>
      </c>
      <c r="AB80" s="20">
        <f t="shared" si="3"/>
        <v>1731.360417161497</v>
      </c>
      <c r="AC80" s="20">
        <f t="shared" si="3"/>
        <v>1742.3745731508952</v>
      </c>
      <c r="AD80" s="20">
        <f t="shared" si="3"/>
        <v>1750.0862939637225</v>
      </c>
      <c r="AE80" s="20">
        <f t="shared" si="3"/>
        <v>1752.4836197978882</v>
      </c>
      <c r="AF80" s="20">
        <f t="shared" si="3"/>
        <v>1748.1585476363737</v>
      </c>
      <c r="AG80" s="20">
        <f t="shared" si="3"/>
        <v>1738.0739868291798</v>
      </c>
      <c r="AH80" s="20">
        <f t="shared" si="3"/>
        <v>1723.8030786743541</v>
      </c>
      <c r="AI80" s="20">
        <f t="shared" si="3"/>
        <v>1706.9089466462915</v>
      </c>
      <c r="AJ80" s="20">
        <f t="shared" si="3"/>
        <v>1688.9147457419122</v>
      </c>
      <c r="AK80" s="20">
        <f t="shared" si="3"/>
        <v>1671.0330361226261</v>
      </c>
      <c r="AL80" s="20">
        <f t="shared" si="3"/>
        <v>1653.4199342644986</v>
      </c>
      <c r="AM80" s="20">
        <f t="shared" si="3"/>
        <v>1635.9759802672422</v>
      </c>
      <c r="AN80" s="20">
        <f t="shared" si="3"/>
        <v>1618.6057992621409</v>
      </c>
      <c r="AO80" s="20">
        <f t="shared" si="3"/>
        <v>1601.2180307035371</v>
      </c>
      <c r="AP80" s="20">
        <f t="shared" si="3"/>
        <v>1583.7253109486107</v>
      </c>
      <c r="AQ80" s="20">
        <f t="shared" si="3"/>
        <v>1566.044305090388</v>
      </c>
      <c r="AR80" s="20">
        <f t="shared" si="3"/>
        <v>1548.0957840013652</v>
      </c>
      <c r="AS80" s="20">
        <f t="shared" si="3"/>
        <v>1529.8047424659085</v>
      </c>
      <c r="AT80" s="20">
        <f t="shared" si="3"/>
        <v>1511.1005541386933</v>
      </c>
      <c r="AU80" s="20">
        <f t="shared" si="3"/>
        <v>1491.9171588736081</v>
      </c>
      <c r="AV80" s="20">
        <f t="shared" si="3"/>
        <v>1472.1932777324801</v>
      </c>
      <c r="AW80" s="20">
        <f t="shared" si="3"/>
        <v>1451.872650717105</v>
      </c>
      <c r="AX80" s="20">
        <f t="shared" si="3"/>
        <v>1430.9042919821209</v>
      </c>
      <c r="AY80" s="20">
        <f t="shared" si="3"/>
        <v>1409.242756992802</v>
      </c>
      <c r="AZ80" s="20">
        <f t="shared" si="3"/>
        <v>1386.8484158031922</v>
      </c>
      <c r="BA80" s="20">
        <f t="shared" si="3"/>
        <v>1363.6877263596211</v>
      </c>
      <c r="BB80" s="20">
        <f t="shared" si="3"/>
        <v>1339.7335014960208</v>
      </c>
      <c r="BC80" s="20">
        <f t="shared" si="3"/>
        <v>1314.9651630945575</v>
      </c>
      <c r="BD80" s="20">
        <f t="shared" si="3"/>
        <v>1289.3689767518781</v>
      </c>
      <c r="BE80" s="20">
        <f t="shared" si="3"/>
        <v>1262.9382602311459</v>
      </c>
      <c r="BF80" s="20">
        <f t="shared" si="3"/>
        <v>1235.6735590063467</v>
      </c>
      <c r="BG80" s="20">
        <f t="shared" si="3"/>
        <v>1207.5827823297598</v>
      </c>
      <c r="BH80" s="20">
        <f t="shared" si="3"/>
        <v>1178.6812934870957</v>
      </c>
      <c r="BI80" s="21">
        <f t="shared" si="3"/>
        <v>1148.9919482560936</v>
      </c>
    </row>
    <row r="81" spans="1:61" x14ac:dyDescent="0.2">
      <c r="A81" s="114" t="s">
        <v>12</v>
      </c>
      <c r="B81" s="14"/>
      <c r="I81" s="20">
        <f>I16+I17</f>
        <v>461.97504430714594</v>
      </c>
      <c r="J81" s="20">
        <f t="shared" ref="J81:BI81" si="4">J16+J17</f>
        <v>539.30689229828624</v>
      </c>
      <c r="K81" s="20">
        <f t="shared" si="4"/>
        <v>612.89930133806774</v>
      </c>
      <c r="L81" s="20">
        <f t="shared" si="4"/>
        <v>697.13326073626968</v>
      </c>
      <c r="M81" s="20">
        <f t="shared" si="4"/>
        <v>787.98266440397038</v>
      </c>
      <c r="N81" s="20">
        <f t="shared" si="4"/>
        <v>846.74247191151085</v>
      </c>
      <c r="O81" s="20">
        <f t="shared" si="4"/>
        <v>889.23816899073245</v>
      </c>
      <c r="P81" s="20">
        <f t="shared" si="4"/>
        <v>869.65121887680755</v>
      </c>
      <c r="Q81" s="20">
        <f t="shared" si="4"/>
        <v>840.84215326483059</v>
      </c>
      <c r="R81" s="20">
        <f t="shared" si="4"/>
        <v>824.9623680408763</v>
      </c>
      <c r="S81" s="20">
        <f t="shared" si="4"/>
        <v>800.03282171269313</v>
      </c>
      <c r="T81" s="20">
        <f t="shared" si="4"/>
        <v>814.98449384399464</v>
      </c>
      <c r="U81" s="20">
        <f t="shared" si="4"/>
        <v>779.56559972921377</v>
      </c>
      <c r="V81" s="20">
        <f t="shared" si="4"/>
        <v>824.91563116752479</v>
      </c>
      <c r="W81" s="20">
        <f t="shared" si="4"/>
        <v>924.98677110439587</v>
      </c>
      <c r="X81" s="20">
        <f t="shared" si="4"/>
        <v>919.82595817692891</v>
      </c>
      <c r="Y81" s="20">
        <f t="shared" si="4"/>
        <v>916.61573117987098</v>
      </c>
      <c r="Z81" s="20">
        <f t="shared" si="4"/>
        <v>914.70258243369403</v>
      </c>
      <c r="AA81" s="20">
        <f t="shared" si="4"/>
        <v>913.44528727921488</v>
      </c>
      <c r="AB81" s="20">
        <f t="shared" si="4"/>
        <v>912.20813232434091</v>
      </c>
      <c r="AC81" s="20">
        <f t="shared" si="4"/>
        <v>910.35862594220998</v>
      </c>
      <c r="AD81" s="20">
        <f t="shared" si="4"/>
        <v>907.26963218762057</v>
      </c>
      <c r="AE81" s="20">
        <f t="shared" si="4"/>
        <v>902.32586959918922</v>
      </c>
      <c r="AF81" s="20">
        <f t="shared" si="4"/>
        <v>895.11017477143173</v>
      </c>
      <c r="AG81" s="20">
        <f t="shared" si="4"/>
        <v>885.9297307738002</v>
      </c>
      <c r="AH81" s="20">
        <f t="shared" si="4"/>
        <v>875.26773257959235</v>
      </c>
      <c r="AI81" s="20">
        <f t="shared" si="4"/>
        <v>863.5965515588407</v>
      </c>
      <c r="AJ81" s="20">
        <f t="shared" si="4"/>
        <v>851.37122827196868</v>
      </c>
      <c r="AK81" s="20">
        <f t="shared" si="4"/>
        <v>838.95470464910204</v>
      </c>
      <c r="AL81" s="20">
        <f t="shared" si="4"/>
        <v>826.41211688943542</v>
      </c>
      <c r="AM81" s="20">
        <f t="shared" si="4"/>
        <v>813.73691862933845</v>
      </c>
      <c r="AN81" s="20">
        <f t="shared" si="4"/>
        <v>800.92363320897289</v>
      </c>
      <c r="AO81" s="20">
        <f t="shared" si="4"/>
        <v>787.96786389551835</v>
      </c>
      <c r="AP81" s="20">
        <f t="shared" si="4"/>
        <v>774.86630276340782</v>
      </c>
      <c r="AQ81" s="20">
        <f t="shared" si="4"/>
        <v>761.61673787844825</v>
      </c>
      <c r="AR81" s="20">
        <f t="shared" si="4"/>
        <v>748.21805843986726</v>
      </c>
      <c r="AS81" s="20">
        <f t="shared" si="4"/>
        <v>734.67025754364693</v>
      </c>
      <c r="AT81" s="20">
        <f t="shared" si="4"/>
        <v>720.97443224244046</v>
      </c>
      <c r="AU81" s="20">
        <f t="shared" si="4"/>
        <v>707.13278059180561</v>
      </c>
      <c r="AV81" s="20">
        <f t="shared" si="4"/>
        <v>693.14859538973656</v>
      </c>
      <c r="AW81" s="20">
        <f t="shared" si="4"/>
        <v>679.02625433660683</v>
      </c>
      <c r="AX81" s="20">
        <f t="shared" si="4"/>
        <v>664.77120636564587</v>
      </c>
      <c r="AY81" s="20">
        <f t="shared" si="4"/>
        <v>650.38995392012669</v>
      </c>
      <c r="AZ81" s="20">
        <f t="shared" si="4"/>
        <v>635.89003098233025</v>
      </c>
      <c r="BA81" s="20">
        <f t="shared" si="4"/>
        <v>621.27997669126353</v>
      </c>
      <c r="BB81" s="20">
        <f t="shared" si="4"/>
        <v>606.56930442070131</v>
      </c>
      <c r="BC81" s="20">
        <f t="shared" si="4"/>
        <v>591.76846622642427</v>
      </c>
      <c r="BD81" s="20">
        <f t="shared" si="4"/>
        <v>576.88881261122015</v>
      </c>
      <c r="BE81" s="20">
        <f t="shared" si="4"/>
        <v>561.94254759813202</v>
      </c>
      <c r="BF81" s="20">
        <f t="shared" si="4"/>
        <v>546.94267914619809</v>
      </c>
      <c r="BG81" s="20">
        <f t="shared" si="4"/>
        <v>531.90296498829412</v>
      </c>
      <c r="BH81" s="20">
        <f t="shared" si="4"/>
        <v>516.83785401711782</v>
      </c>
      <c r="BI81" s="21">
        <f t="shared" si="4"/>
        <v>501.76242339255748</v>
      </c>
    </row>
    <row r="82" spans="1:61" x14ac:dyDescent="0.2">
      <c r="A82" s="114" t="s">
        <v>13</v>
      </c>
      <c r="B82" s="14"/>
      <c r="I82" s="20">
        <f>I18+I19+I20</f>
        <v>188.3346119683618</v>
      </c>
      <c r="J82" s="20">
        <f t="shared" ref="J82:BI82" si="5">J18+J19+J20</f>
        <v>214.70342317481749</v>
      </c>
      <c r="K82" s="20">
        <f t="shared" si="5"/>
        <v>251.56475822637498</v>
      </c>
      <c r="L82" s="20">
        <f t="shared" si="5"/>
        <v>292.08518704151152</v>
      </c>
      <c r="M82" s="20">
        <f t="shared" si="5"/>
        <v>311.08586603752508</v>
      </c>
      <c r="N82" s="20">
        <f t="shared" si="5"/>
        <v>322.17631259331768</v>
      </c>
      <c r="O82" s="20">
        <f t="shared" si="5"/>
        <v>318.56814556928987</v>
      </c>
      <c r="P82" s="20">
        <f t="shared" si="5"/>
        <v>300.29256631472447</v>
      </c>
      <c r="Q82" s="20">
        <f t="shared" si="5"/>
        <v>286.41109626760812</v>
      </c>
      <c r="R82" s="20">
        <f t="shared" si="5"/>
        <v>306.71509543851101</v>
      </c>
      <c r="S82" s="20">
        <f t="shared" si="5"/>
        <v>333.28245206526765</v>
      </c>
      <c r="T82" s="20">
        <f t="shared" si="5"/>
        <v>348.95326179918055</v>
      </c>
      <c r="U82" s="20">
        <f t="shared" si="5"/>
        <v>317.85993717896542</v>
      </c>
      <c r="V82" s="20">
        <f t="shared" si="5"/>
        <v>353.02230805270131</v>
      </c>
      <c r="W82" s="20">
        <f t="shared" si="5"/>
        <v>370.00171069210728</v>
      </c>
      <c r="X82" s="20">
        <f t="shared" si="5"/>
        <v>378.48444048767146</v>
      </c>
      <c r="Y82" s="20">
        <f t="shared" si="5"/>
        <v>387.28021761069181</v>
      </c>
      <c r="Z82" s="20">
        <f t="shared" si="5"/>
        <v>396.15445304256951</v>
      </c>
      <c r="AA82" s="20">
        <f t="shared" si="5"/>
        <v>404.88310357618781</v>
      </c>
      <c r="AB82" s="20">
        <f t="shared" si="5"/>
        <v>413.25216101015707</v>
      </c>
      <c r="AC82" s="20">
        <f t="shared" si="5"/>
        <v>421.0579764776914</v>
      </c>
      <c r="AD82" s="20">
        <f t="shared" si="5"/>
        <v>428.1083517016873</v>
      </c>
      <c r="AE82" s="20">
        <f t="shared" si="5"/>
        <v>434.22434593238023</v>
      </c>
      <c r="AF82" s="20">
        <f t="shared" si="5"/>
        <v>439.2916390431547</v>
      </c>
      <c r="AG82" s="20">
        <f t="shared" si="5"/>
        <v>443.40860975269123</v>
      </c>
      <c r="AH82" s="20">
        <f t="shared" si="5"/>
        <v>446.73696707955713</v>
      </c>
      <c r="AI82" s="20">
        <f t="shared" si="5"/>
        <v>449.44943623515991</v>
      </c>
      <c r="AJ82" s="20">
        <f t="shared" si="5"/>
        <v>451.72695141050781</v>
      </c>
      <c r="AK82" s="20">
        <f t="shared" si="5"/>
        <v>453.72119665764268</v>
      </c>
      <c r="AL82" s="20">
        <f t="shared" si="5"/>
        <v>455.44616503050906</v>
      </c>
      <c r="AM82" s="20">
        <f t="shared" si="5"/>
        <v>456.88173509276544</v>
      </c>
      <c r="AN82" s="20">
        <f t="shared" si="5"/>
        <v>458.00878512650439</v>
      </c>
      <c r="AO82" s="20">
        <f t="shared" si="5"/>
        <v>458.80930393339577</v>
      </c>
      <c r="AP82" s="20">
        <f t="shared" si="5"/>
        <v>459.26649797590062</v>
      </c>
      <c r="AQ82" s="20">
        <f t="shared" si="5"/>
        <v>459.36489382807076</v>
      </c>
      <c r="AR82" s="20">
        <f t="shared" si="5"/>
        <v>459.09043492927992</v>
      </c>
      <c r="AS82" s="20">
        <f t="shared" si="5"/>
        <v>458.43057166905521</v>
      </c>
      <c r="AT82" s="20">
        <f t="shared" si="5"/>
        <v>457.37434387695885</v>
      </c>
      <c r="AU82" s="20">
        <f t="shared" si="5"/>
        <v>455.9124548478564</v>
      </c>
      <c r="AV82" s="20">
        <f t="shared" si="5"/>
        <v>454.03733609956288</v>
      </c>
      <c r="AW82" s="20">
        <f t="shared" si="5"/>
        <v>451.7432021361376</v>
      </c>
      <c r="AX82" s="20">
        <f t="shared" si="5"/>
        <v>449.02609457536096</v>
      </c>
      <c r="AY82" s="20">
        <f t="shared" si="5"/>
        <v>445.88391509227517</v>
      </c>
      <c r="AZ82" s="20">
        <f t="shared" si="5"/>
        <v>442.31644673115187</v>
      </c>
      <c r="BA82" s="20">
        <f t="shared" si="5"/>
        <v>438.32536324477758</v>
      </c>
      <c r="BB82" s="20">
        <f t="shared" si="5"/>
        <v>433.91422623132604</v>
      </c>
      <c r="BC82" s="20">
        <f t="shared" si="5"/>
        <v>429.08846995405537</v>
      </c>
      <c r="BD82" s="20">
        <f t="shared" si="5"/>
        <v>423.85537384628543</v>
      </c>
      <c r="BE82" s="20">
        <f t="shared" si="5"/>
        <v>418.22402282219139</v>
      </c>
      <c r="BF82" s="20">
        <f t="shared" si="5"/>
        <v>412.20525563150056</v>
      </c>
      <c r="BG82" s="20">
        <f t="shared" si="5"/>
        <v>405.81160161177087</v>
      </c>
      <c r="BH82" s="20">
        <f t="shared" si="5"/>
        <v>399.05720630414936</v>
      </c>
      <c r="BI82" s="21">
        <f t="shared" si="5"/>
        <v>391.95774650605284</v>
      </c>
    </row>
    <row r="83" spans="1:61" x14ac:dyDescent="0.2">
      <c r="A83" s="114" t="s">
        <v>14</v>
      </c>
      <c r="B83" s="14"/>
      <c r="I83" s="20">
        <f>I21+I22+I23+I24</f>
        <v>2454.8371613017289</v>
      </c>
      <c r="J83" s="20">
        <f t="shared" ref="J83:BI83" si="6">J21+J22+J23+J24</f>
        <v>2625.8153773714039</v>
      </c>
      <c r="K83" s="20">
        <f t="shared" si="6"/>
        <v>2906.3916262115386</v>
      </c>
      <c r="L83" s="20">
        <f t="shared" si="6"/>
        <v>3210.2341245899033</v>
      </c>
      <c r="M83" s="20">
        <f t="shared" si="6"/>
        <v>3416.4197497834148</v>
      </c>
      <c r="N83" s="20">
        <f t="shared" si="6"/>
        <v>3537.0991015896575</v>
      </c>
      <c r="O83" s="20">
        <f t="shared" si="6"/>
        <v>3654.9197138031955</v>
      </c>
      <c r="P83" s="20">
        <f t="shared" si="6"/>
        <v>3662.0951607589686</v>
      </c>
      <c r="Q83" s="20">
        <f t="shared" si="6"/>
        <v>3672.0622717658493</v>
      </c>
      <c r="R83" s="20">
        <f t="shared" si="6"/>
        <v>3970.0491173401556</v>
      </c>
      <c r="S83" s="20">
        <f t="shared" si="6"/>
        <v>4203.9675093378282</v>
      </c>
      <c r="T83" s="20">
        <f t="shared" si="6"/>
        <v>4224.0130373930315</v>
      </c>
      <c r="U83" s="20">
        <f t="shared" si="6"/>
        <v>4086.3310130589362</v>
      </c>
      <c r="V83" s="20">
        <f t="shared" si="6"/>
        <v>4562.6322638797656</v>
      </c>
      <c r="W83" s="20">
        <f t="shared" si="6"/>
        <v>4807.5125763941342</v>
      </c>
      <c r="X83" s="20">
        <f t="shared" si="6"/>
        <v>4899.3911520171787</v>
      </c>
      <c r="Y83" s="20">
        <f t="shared" si="6"/>
        <v>4989.2180782205296</v>
      </c>
      <c r="Z83" s="20">
        <f t="shared" si="6"/>
        <v>5075.334167752706</v>
      </c>
      <c r="AA83" s="20">
        <f t="shared" si="6"/>
        <v>5155.999408550103</v>
      </c>
      <c r="AB83" s="20">
        <f t="shared" si="6"/>
        <v>5229.4070209034517</v>
      </c>
      <c r="AC83" s="20">
        <f t="shared" si="6"/>
        <v>5293.7032986663644</v>
      </c>
      <c r="AD83" s="20">
        <f t="shared" si="6"/>
        <v>5347.0133640536369</v>
      </c>
      <c r="AE83" s="20">
        <f t="shared" si="6"/>
        <v>5387.4727701640895</v>
      </c>
      <c r="AF83" s="20">
        <f t="shared" si="6"/>
        <v>5413.8697692051201</v>
      </c>
      <c r="AG83" s="20">
        <f t="shared" si="6"/>
        <v>5427.5123000752501</v>
      </c>
      <c r="AH83" s="20">
        <f t="shared" si="6"/>
        <v>5430.4320527720402</v>
      </c>
      <c r="AI83" s="20">
        <f t="shared" si="6"/>
        <v>5424.7415397093337</v>
      </c>
      <c r="AJ83" s="20">
        <f t="shared" si="6"/>
        <v>5412.5962742658066</v>
      </c>
      <c r="AK83" s="20">
        <f t="shared" si="6"/>
        <v>5395.8093811062899</v>
      </c>
      <c r="AL83" s="20">
        <f t="shared" si="6"/>
        <v>5374.7723635004522</v>
      </c>
      <c r="AM83" s="20">
        <f t="shared" si="6"/>
        <v>5349.5286566472223</v>
      </c>
      <c r="AN83" s="20">
        <f t="shared" si="6"/>
        <v>5320.1306331633377</v>
      </c>
      <c r="AO83" s="20">
        <f t="shared" si="6"/>
        <v>5286.6394280438999</v>
      </c>
      <c r="AP83" s="20">
        <f t="shared" si="6"/>
        <v>5249.1247500558929</v>
      </c>
      <c r="AQ83" s="20">
        <f t="shared" si="6"/>
        <v>5207.6646795174629</v>
      </c>
      <c r="AR83" s="20">
        <f t="shared" si="6"/>
        <v>5162.3454522403863</v>
      </c>
      <c r="AS83" s="20">
        <f t="shared" si="6"/>
        <v>5113.2612292628528</v>
      </c>
      <c r="AT83" s="20">
        <f t="shared" si="6"/>
        <v>5060.5138518780086</v>
      </c>
      <c r="AU83" s="20">
        <f t="shared" si="6"/>
        <v>5004.2125813729126</v>
      </c>
      <c r="AV83" s="20">
        <f t="shared" si="6"/>
        <v>4944.4738228347369</v>
      </c>
      <c r="AW83" s="20">
        <f t="shared" si="6"/>
        <v>4881.4208323576804</v>
      </c>
      <c r="AX83" s="20">
        <f t="shared" si="6"/>
        <v>4815.1834069952274</v>
      </c>
      <c r="AY83" s="20">
        <f t="shared" si="6"/>
        <v>4745.8975568485994</v>
      </c>
      <c r="AZ83" s="20">
        <f t="shared" si="6"/>
        <v>4673.7051587620927</v>
      </c>
      <c r="BA83" s="20">
        <f t="shared" si="6"/>
        <v>4598.7535912088915</v>
      </c>
      <c r="BB83" s="20">
        <f t="shared" si="6"/>
        <v>4521.1953500938826</v>
      </c>
      <c r="BC83" s="20">
        <f t="shared" si="6"/>
        <v>4441.1876453715277</v>
      </c>
      <c r="BD83" s="20">
        <f t="shared" si="6"/>
        <v>4358.891978573115</v>
      </c>
      <c r="BE83" s="20">
        <f t="shared" si="6"/>
        <v>4274.4737015557257</v>
      </c>
      <c r="BF83" s="20">
        <f t="shared" si="6"/>
        <v>4188.1015570208783</v>
      </c>
      <c r="BG83" s="20">
        <f t="shared" si="6"/>
        <v>4099.9472016001655</v>
      </c>
      <c r="BH83" s="20">
        <f t="shared" si="6"/>
        <v>4010.1847125635754</v>
      </c>
      <c r="BI83" s="21">
        <f t="shared" si="6"/>
        <v>3918.9900794694809</v>
      </c>
    </row>
    <row r="84" spans="1:61" x14ac:dyDescent="0.2">
      <c r="A84" s="114" t="s">
        <v>15</v>
      </c>
      <c r="B84" s="14"/>
      <c r="I84" s="20">
        <f>I25</f>
        <v>777.95991739521935</v>
      </c>
      <c r="J84" s="20">
        <f t="shared" ref="J84:BI84" si="7">J25</f>
        <v>800.14486261054606</v>
      </c>
      <c r="K84" s="20">
        <f t="shared" si="7"/>
        <v>867.16819741371125</v>
      </c>
      <c r="L84" s="20">
        <f t="shared" si="7"/>
        <v>902.40443183874095</v>
      </c>
      <c r="M84" s="20">
        <f t="shared" si="7"/>
        <v>963.89151239458693</v>
      </c>
      <c r="N84" s="20">
        <f t="shared" si="7"/>
        <v>995.32175969285993</v>
      </c>
      <c r="O84" s="20">
        <f t="shared" si="7"/>
        <v>1018.1773917073065</v>
      </c>
      <c r="P84" s="20">
        <f t="shared" si="7"/>
        <v>1033.569172982455</v>
      </c>
      <c r="Q84" s="20">
        <f t="shared" si="7"/>
        <v>1064.120195424287</v>
      </c>
      <c r="R84" s="20">
        <f t="shared" si="7"/>
        <v>1120.1978705238769</v>
      </c>
      <c r="S84" s="20">
        <f t="shared" si="7"/>
        <v>1126.5331937839655</v>
      </c>
      <c r="T84" s="20">
        <f t="shared" si="7"/>
        <v>1100.2861515096881</v>
      </c>
      <c r="U84" s="20">
        <f t="shared" si="7"/>
        <v>1071.8283979331518</v>
      </c>
      <c r="V84" s="20">
        <f t="shared" si="7"/>
        <v>1131.5999339945606</v>
      </c>
      <c r="W84" s="20">
        <f t="shared" si="7"/>
        <v>1118.4784851316513</v>
      </c>
      <c r="X84" s="20">
        <f t="shared" si="7"/>
        <v>1107.3374983278889</v>
      </c>
      <c r="Y84" s="20">
        <f t="shared" si="7"/>
        <v>1098.7346705046207</v>
      </c>
      <c r="Z84" s="20">
        <f t="shared" si="7"/>
        <v>1091.8841933724143</v>
      </c>
      <c r="AA84" s="20">
        <f t="shared" si="7"/>
        <v>1086.029784087485</v>
      </c>
      <c r="AB84" s="20">
        <f t="shared" si="7"/>
        <v>1080.4353322368534</v>
      </c>
      <c r="AC84" s="20">
        <f t="shared" si="7"/>
        <v>1074.3806650759223</v>
      </c>
      <c r="AD84" s="20">
        <f t="shared" si="7"/>
        <v>1067.1621971451202</v>
      </c>
      <c r="AE84" s="20">
        <f t="shared" si="7"/>
        <v>1058.098264519846</v>
      </c>
      <c r="AF84" s="20">
        <f t="shared" si="7"/>
        <v>1046.7272046125502</v>
      </c>
      <c r="AG84" s="20">
        <f t="shared" si="7"/>
        <v>1033.3659384877683</v>
      </c>
      <c r="AH84" s="20">
        <f t="shared" si="7"/>
        <v>1018.5144982350494</v>
      </c>
      <c r="AI84" s="20">
        <f t="shared" si="7"/>
        <v>1002.6562199907981</v>
      </c>
      <c r="AJ84" s="20">
        <f t="shared" si="7"/>
        <v>986.25217596262428</v>
      </c>
      <c r="AK84" s="20">
        <f t="shared" si="7"/>
        <v>969.66882334985587</v>
      </c>
      <c r="AL84" s="20">
        <f t="shared" si="7"/>
        <v>952.97914079447173</v>
      </c>
      <c r="AM84" s="20">
        <f t="shared" si="7"/>
        <v>936.18560445138371</v>
      </c>
      <c r="AN84" s="20">
        <f t="shared" si="7"/>
        <v>919.29145276232202</v>
      </c>
      <c r="AO84" s="20">
        <f t="shared" si="7"/>
        <v>902.30067581733897</v>
      </c>
      <c r="AP84" s="20">
        <f t="shared" si="7"/>
        <v>885.21800281387993</v>
      </c>
      <c r="AQ84" s="20">
        <f t="shared" si="7"/>
        <v>868.04888752992792</v>
      </c>
      <c r="AR84" s="20">
        <f t="shared" si="7"/>
        <v>850.7994917393296</v>
      </c>
      <c r="AS84" s="20">
        <f t="shared" si="7"/>
        <v>833.47666650958888</v>
      </c>
      <c r="AT84" s="20">
        <f t="shared" si="7"/>
        <v>816.08793133554354</v>
      </c>
      <c r="AU84" s="20">
        <f t="shared" si="7"/>
        <v>798.6414510760959</v>
      </c>
      <c r="AV84" s="20">
        <f t="shared" si="7"/>
        <v>781.1460106756341</v>
      </c>
      <c r="AW84" s="20">
        <f t="shared" si="7"/>
        <v>763.61098766684438</v>
      </c>
      <c r="AX84" s="20">
        <f t="shared" si="7"/>
        <v>746.04632246723827</v>
      </c>
      <c r="AY84" s="20">
        <f t="shared" si="7"/>
        <v>728.46248649771735</v>
      </c>
      <c r="AZ84" s="20">
        <f t="shared" si="7"/>
        <v>710.87044816796538</v>
      </c>
      <c r="BA84" s="20">
        <f t="shared" si="7"/>
        <v>693.28163679000556</v>
      </c>
      <c r="BB84" s="20">
        <f t="shared" si="7"/>
        <v>675.70790449811739</v>
      </c>
      <c r="BC84" s="20">
        <f t="shared" si="7"/>
        <v>658.16148627000973</v>
      </c>
      <c r="BD84" s="20">
        <f t="shared" si="7"/>
        <v>640.65495816082739</v>
      </c>
      <c r="BE84" s="20">
        <f t="shared" si="7"/>
        <v>623.20119387794375</v>
      </c>
      <c r="BF84" s="20">
        <f t="shared" si="7"/>
        <v>605.81331984045323</v>
      </c>
      <c r="BG84" s="20">
        <f t="shared" si="7"/>
        <v>588.50466888273343</v>
      </c>
      <c r="BH84" s="20">
        <f t="shared" si="7"/>
        <v>571.28873277615298</v>
      </c>
      <c r="BI84" s="21">
        <f t="shared" si="7"/>
        <v>554.1791137569096</v>
      </c>
    </row>
    <row r="85" spans="1:61" x14ac:dyDescent="0.2">
      <c r="A85" s="114" t="s">
        <v>16</v>
      </c>
      <c r="B85" s="14"/>
      <c r="I85" s="20">
        <f>I26+I27</f>
        <v>794.13119388446216</v>
      </c>
      <c r="J85" s="20">
        <f t="shared" ref="J85:BI85" si="8">J26+J27</f>
        <v>825.51106162498331</v>
      </c>
      <c r="K85" s="20">
        <f t="shared" si="8"/>
        <v>926.7062844402725</v>
      </c>
      <c r="L85" s="20">
        <f t="shared" si="8"/>
        <v>1020.4272871821819</v>
      </c>
      <c r="M85" s="20">
        <f t="shared" si="8"/>
        <v>1043.3087046749624</v>
      </c>
      <c r="N85" s="20">
        <f t="shared" si="8"/>
        <v>1066.0064245156573</v>
      </c>
      <c r="O85" s="20">
        <f t="shared" si="8"/>
        <v>1091.5137260003926</v>
      </c>
      <c r="P85" s="20">
        <f t="shared" si="8"/>
        <v>1083.1465453210731</v>
      </c>
      <c r="Q85" s="20">
        <f t="shared" si="8"/>
        <v>1095.5096754342712</v>
      </c>
      <c r="R85" s="20">
        <f t="shared" si="8"/>
        <v>1167.9142875743082</v>
      </c>
      <c r="S85" s="20">
        <f t="shared" si="8"/>
        <v>1215.434406539068</v>
      </c>
      <c r="T85" s="20">
        <f t="shared" si="8"/>
        <v>1187.9873679037082</v>
      </c>
      <c r="U85" s="20">
        <f t="shared" si="8"/>
        <v>1033.4340072709037</v>
      </c>
      <c r="V85" s="20">
        <f t="shared" si="8"/>
        <v>1167.8811127670378</v>
      </c>
      <c r="W85" s="20">
        <f t="shared" si="8"/>
        <v>1170.7906159687132</v>
      </c>
      <c r="X85" s="20">
        <f t="shared" si="8"/>
        <v>1161.7746784359865</v>
      </c>
      <c r="Y85" s="20">
        <f t="shared" si="8"/>
        <v>1155.0851908351899</v>
      </c>
      <c r="Z85" s="20">
        <f t="shared" si="8"/>
        <v>1149.9551184555473</v>
      </c>
      <c r="AA85" s="20">
        <f t="shared" si="8"/>
        <v>1145.6391203709534</v>
      </c>
      <c r="AB85" s="20">
        <f t="shared" si="8"/>
        <v>1141.4058826153553</v>
      </c>
      <c r="AC85" s="20">
        <f t="shared" si="8"/>
        <v>1136.5352252719561</v>
      </c>
      <c r="AD85" s="20">
        <f t="shared" si="8"/>
        <v>1130.3198296959642</v>
      </c>
      <c r="AE85" s="20">
        <f t="shared" si="8"/>
        <v>1122.0714432196216</v>
      </c>
      <c r="AF85" s="20">
        <f t="shared" si="8"/>
        <v>1111.3250105224911</v>
      </c>
      <c r="AG85" s="20">
        <f t="shared" si="8"/>
        <v>1098.4151475015847</v>
      </c>
      <c r="AH85" s="20">
        <f t="shared" si="8"/>
        <v>1083.8668292648372</v>
      </c>
      <c r="AI85" s="20">
        <f t="shared" si="8"/>
        <v>1068.1899503575901</v>
      </c>
      <c r="AJ85" s="20">
        <f t="shared" si="8"/>
        <v>1051.8731816073293</v>
      </c>
      <c r="AK85" s="20">
        <f t="shared" si="8"/>
        <v>1035.3064878880043</v>
      </c>
      <c r="AL85" s="20">
        <f t="shared" si="8"/>
        <v>1018.5679385108914</v>
      </c>
      <c r="AM85" s="20">
        <f t="shared" si="8"/>
        <v>1001.6605558423167</v>
      </c>
      <c r="AN85" s="20">
        <f t="shared" si="8"/>
        <v>984.58823699687559</v>
      </c>
      <c r="AO85" s="20">
        <f t="shared" si="8"/>
        <v>967.3557431867473</v>
      </c>
      <c r="AP85" s="20">
        <f t="shared" si="8"/>
        <v>949.96868706299915</v>
      </c>
      <c r="AQ85" s="20">
        <f t="shared" si="8"/>
        <v>932.4335179285996</v>
      </c>
      <c r="AR85" s="20">
        <f t="shared" si="8"/>
        <v>914.75750471521883</v>
      </c>
      <c r="AS85" s="20">
        <f t="shared" si="8"/>
        <v>896.94871662916648</v>
      </c>
      <c r="AT85" s="20">
        <f t="shared" si="8"/>
        <v>879.0160013860517</v>
      </c>
      <c r="AU85" s="20">
        <f t="shared" si="8"/>
        <v>860.96896096890816</v>
      </c>
      <c r="AV85" s="20">
        <f t="shared" si="8"/>
        <v>842.81792486058066</v>
      </c>
      <c r="AW85" s="20">
        <f t="shared" si="8"/>
        <v>824.57392071809875</v>
      </c>
      <c r="AX85" s="20">
        <f t="shared" si="8"/>
        <v>806.24864247442224</v>
      </c>
      <c r="AY85" s="20">
        <f t="shared" si="8"/>
        <v>787.85441587146909</v>
      </c>
      <c r="AZ85" s="20">
        <f t="shared" si="8"/>
        <v>769.40416144734616</v>
      </c>
      <c r="BA85" s="20">
        <f t="shared" si="8"/>
        <v>750.91135502036718</v>
      </c>
      <c r="BB85" s="20">
        <f t="shared" si="8"/>
        <v>732.38998573250853</v>
      </c>
      <c r="BC85" s="20">
        <f t="shared" si="8"/>
        <v>713.85451173530907</v>
      </c>
      <c r="BD85" s="20">
        <f t="shared" si="8"/>
        <v>695.31981362175895</v>
      </c>
      <c r="BE85" s="20">
        <f t="shared" si="8"/>
        <v>676.80114572825482</v>
      </c>
      <c r="BF85" s="20">
        <f t="shared" si="8"/>
        <v>658.31408545111094</v>
      </c>
      <c r="BG85" s="20">
        <f t="shared" si="8"/>
        <v>639.87448074216263</v>
      </c>
      <c r="BH85" s="20">
        <f t="shared" si="8"/>
        <v>621.49839596757533</v>
      </c>
      <c r="BI85" s="21">
        <f t="shared" si="8"/>
        <v>603.20205633282467</v>
      </c>
    </row>
    <row r="86" spans="1:61" x14ac:dyDescent="0.2">
      <c r="A86" s="114" t="s">
        <v>17</v>
      </c>
      <c r="B86" s="14"/>
      <c r="I86" s="20">
        <f>I28+I29</f>
        <v>312.88148361152503</v>
      </c>
      <c r="J86" s="20">
        <f t="shared" ref="J86:BI86" si="9">J28+J29</f>
        <v>338.13805783384225</v>
      </c>
      <c r="K86" s="20">
        <f t="shared" si="9"/>
        <v>398.41529338817213</v>
      </c>
      <c r="L86" s="20">
        <f t="shared" si="9"/>
        <v>454.54989898416466</v>
      </c>
      <c r="M86" s="20">
        <f t="shared" si="9"/>
        <v>484.41888292328485</v>
      </c>
      <c r="N86" s="20">
        <f t="shared" si="9"/>
        <v>511.42123288645234</v>
      </c>
      <c r="O86" s="20">
        <f t="shared" si="9"/>
        <v>535.42946394546993</v>
      </c>
      <c r="P86" s="20">
        <f t="shared" si="9"/>
        <v>541.1003690431055</v>
      </c>
      <c r="Q86" s="20">
        <f t="shared" si="9"/>
        <v>563.56545296461491</v>
      </c>
      <c r="R86" s="20">
        <f t="shared" si="9"/>
        <v>613.4637742737151</v>
      </c>
      <c r="S86" s="20">
        <f t="shared" si="9"/>
        <v>634.43255277677679</v>
      </c>
      <c r="T86" s="20">
        <f t="shared" si="9"/>
        <v>625.86579158336508</v>
      </c>
      <c r="U86" s="20">
        <f t="shared" si="9"/>
        <v>588.07392999604315</v>
      </c>
      <c r="V86" s="20">
        <f t="shared" si="9"/>
        <v>680.17697929486417</v>
      </c>
      <c r="W86" s="20">
        <f t="shared" si="9"/>
        <v>670.99484812682158</v>
      </c>
      <c r="X86" s="20">
        <f t="shared" si="9"/>
        <v>675.32718677798357</v>
      </c>
      <c r="Y86" s="20">
        <f t="shared" si="9"/>
        <v>679.9328947118654</v>
      </c>
      <c r="Z86" s="20">
        <f t="shared" si="9"/>
        <v>684.52925194929753</v>
      </c>
      <c r="AA86" s="20">
        <f t="shared" si="9"/>
        <v>688.82593180233289</v>
      </c>
      <c r="AB86" s="20">
        <f t="shared" si="9"/>
        <v>692.52565811788088</v>
      </c>
      <c r="AC86" s="20">
        <f t="shared" si="9"/>
        <v>695.32612118033762</v>
      </c>
      <c r="AD86" s="20">
        <f t="shared" si="9"/>
        <v>696.92318801425665</v>
      </c>
      <c r="AE86" s="20">
        <f t="shared" si="9"/>
        <v>697.01541217123645</v>
      </c>
      <c r="AF86" s="20">
        <f t="shared" si="9"/>
        <v>695.40607338786219</v>
      </c>
      <c r="AG86" s="20">
        <f t="shared" si="9"/>
        <v>692.29509819134228</v>
      </c>
      <c r="AH86" s="20">
        <f t="shared" si="9"/>
        <v>687.98487215939213</v>
      </c>
      <c r="AI86" s="20">
        <f t="shared" si="9"/>
        <v>682.77805186213277</v>
      </c>
      <c r="AJ86" s="20">
        <f t="shared" si="9"/>
        <v>676.97311724433882</v>
      </c>
      <c r="AK86" s="20">
        <f t="shared" si="9"/>
        <v>670.81358226964244</v>
      </c>
      <c r="AL86" s="20">
        <f t="shared" si="9"/>
        <v>664.34679762962287</v>
      </c>
      <c r="AM86" s="20">
        <f t="shared" si="9"/>
        <v>657.57244850355471</v>
      </c>
      <c r="AN86" s="20">
        <f t="shared" si="9"/>
        <v>650.49104939130507</v>
      </c>
      <c r="AO86" s="20">
        <f t="shared" si="9"/>
        <v>643.10396320376367</v>
      </c>
      <c r="AP86" s="20">
        <f t="shared" si="9"/>
        <v>635.41341756748659</v>
      </c>
      <c r="AQ86" s="20">
        <f t="shared" si="9"/>
        <v>627.42251811653773</v>
      </c>
      <c r="AR86" s="20">
        <f t="shared" si="9"/>
        <v>619.13525855464263</v>
      </c>
      <c r="AS86" s="20">
        <f t="shared" si="9"/>
        <v>610.5565272831991</v>
      </c>
      <c r="AT86" s="20">
        <f t="shared" si="9"/>
        <v>601.69211040538812</v>
      </c>
      <c r="AU86" s="20">
        <f t="shared" si="9"/>
        <v>592.54869093368643</v>
      </c>
      <c r="AV86" s="20">
        <f t="shared" si="9"/>
        <v>583.13384404737485</v>
      </c>
      <c r="AW86" s="20">
        <f t="shared" si="9"/>
        <v>573.45602826817003</v>
      </c>
      <c r="AX86" s="20">
        <f t="shared" si="9"/>
        <v>563.52457244579341</v>
      </c>
      <c r="AY86" s="20">
        <f t="shared" si="9"/>
        <v>553.34965847100034</v>
      </c>
      <c r="AZ86" s="20">
        <f t="shared" si="9"/>
        <v>542.94229966119963</v>
      </c>
      <c r="BA86" s="20">
        <f t="shared" si="9"/>
        <v>532.31431479312778</v>
      </c>
      <c r="BB86" s="20">
        <f t="shared" si="9"/>
        <v>521.47829778790265</v>
      </c>
      <c r="BC86" s="20">
        <f t="shared" si="9"/>
        <v>510.447583085926</v>
      </c>
      <c r="BD86" s="20">
        <f t="shared" si="9"/>
        <v>499.23620678231907</v>
      </c>
      <c r="BE86" s="20">
        <f t="shared" si="9"/>
        <v>487.85886362752137</v>
      </c>
      <c r="BF86" s="20">
        <f t="shared" si="9"/>
        <v>476.33086003210286</v>
      </c>
      <c r="BG86" s="20">
        <f t="shared" si="9"/>
        <v>464.66806324937204</v>
      </c>
      <c r="BH86" s="20">
        <f t="shared" si="9"/>
        <v>452.88684694371852</v>
      </c>
      <c r="BI86" s="21">
        <f t="shared" si="9"/>
        <v>441.0040333863426</v>
      </c>
    </row>
    <row r="87" spans="1:61" x14ac:dyDescent="0.2">
      <c r="A87" s="114" t="s">
        <v>18</v>
      </c>
      <c r="B87" s="14"/>
      <c r="I87" s="20">
        <f>I30+I31+I32</f>
        <v>633.24101415449195</v>
      </c>
      <c r="J87" s="20">
        <f t="shared" ref="J87:BI87" si="10">J30+J31+J32</f>
        <v>656.9524760941357</v>
      </c>
      <c r="K87" s="20">
        <f t="shared" si="10"/>
        <v>735.05205868571045</v>
      </c>
      <c r="L87" s="20">
        <f t="shared" si="10"/>
        <v>803.22604011991803</v>
      </c>
      <c r="M87" s="20">
        <f t="shared" si="10"/>
        <v>838.14481307405174</v>
      </c>
      <c r="N87" s="20">
        <f t="shared" si="10"/>
        <v>879.44918385090205</v>
      </c>
      <c r="O87" s="20">
        <f t="shared" si="10"/>
        <v>920.17866935129575</v>
      </c>
      <c r="P87" s="20">
        <f t="shared" si="10"/>
        <v>923.06261542904986</v>
      </c>
      <c r="Q87" s="20">
        <f t="shared" si="10"/>
        <v>947.57062618735085</v>
      </c>
      <c r="R87" s="20">
        <f t="shared" si="10"/>
        <v>1024.300806196396</v>
      </c>
      <c r="S87" s="20">
        <f t="shared" si="10"/>
        <v>1062.1733133250104</v>
      </c>
      <c r="T87" s="20">
        <f t="shared" si="10"/>
        <v>1053.986525665171</v>
      </c>
      <c r="U87" s="20">
        <f t="shared" si="10"/>
        <v>1003.590336166021</v>
      </c>
      <c r="V87" s="20">
        <f t="shared" si="10"/>
        <v>1146.6830716344077</v>
      </c>
      <c r="W87" s="20">
        <f t="shared" si="10"/>
        <v>1153.9161439221259</v>
      </c>
      <c r="X87" s="20">
        <f t="shared" si="10"/>
        <v>1164.3417729026835</v>
      </c>
      <c r="Y87" s="20">
        <f t="shared" si="10"/>
        <v>1175.6068756656666</v>
      </c>
      <c r="Z87" s="20">
        <f t="shared" si="10"/>
        <v>1187.1271166933395</v>
      </c>
      <c r="AA87" s="20">
        <f t="shared" si="10"/>
        <v>1198.3023364531787</v>
      </c>
      <c r="AB87" s="20">
        <f t="shared" si="10"/>
        <v>1208.5154251875556</v>
      </c>
      <c r="AC87" s="20">
        <f t="shared" si="10"/>
        <v>1217.1345591639563</v>
      </c>
      <c r="AD87" s="20">
        <f t="shared" si="10"/>
        <v>1223.5189184392923</v>
      </c>
      <c r="AE87" s="20">
        <f t="shared" si="10"/>
        <v>1227.0279553874893</v>
      </c>
      <c r="AF87" s="20">
        <f t="shared" si="10"/>
        <v>1227.2235701044042</v>
      </c>
      <c r="AG87" s="20">
        <f t="shared" si="10"/>
        <v>1224.4492534187232</v>
      </c>
      <c r="AH87" s="20">
        <f t="shared" si="10"/>
        <v>1219.2568870707296</v>
      </c>
      <c r="AI87" s="20">
        <f t="shared" si="10"/>
        <v>1212.2057773676522</v>
      </c>
      <c r="AJ87" s="20">
        <f t="shared" si="10"/>
        <v>1203.8530893566162</v>
      </c>
      <c r="AK87" s="20">
        <f t="shared" si="10"/>
        <v>1194.658798046996</v>
      </c>
      <c r="AL87" s="20">
        <f t="shared" si="10"/>
        <v>1184.7229169700179</v>
      </c>
      <c r="AM87" s="20">
        <f t="shared" si="10"/>
        <v>1174.0576996364816</v>
      </c>
      <c r="AN87" s="20">
        <f t="shared" si="10"/>
        <v>1162.6768969387454</v>
      </c>
      <c r="AO87" s="20">
        <f t="shared" si="10"/>
        <v>1150.595734773611</v>
      </c>
      <c r="AP87" s="20">
        <f t="shared" si="10"/>
        <v>1137.830887237435</v>
      </c>
      <c r="AQ87" s="20">
        <f t="shared" si="10"/>
        <v>1124.400445349138</v>
      </c>
      <c r="AR87" s="20">
        <f t="shared" si="10"/>
        <v>1110.3238812692905</v>
      </c>
      <c r="AS87" s="20">
        <f t="shared" si="10"/>
        <v>1095.6220079974159</v>
      </c>
      <c r="AT87" s="20">
        <f t="shared" si="10"/>
        <v>1080.3169345453812</v>
      </c>
      <c r="AU87" s="20">
        <f t="shared" si="10"/>
        <v>1064.4320166021059</v>
      </c>
      <c r="AV87" s="20">
        <f t="shared" si="10"/>
        <v>1047.991802723928</v>
      </c>
      <c r="AW87" s="20">
        <f t="shared" si="10"/>
        <v>1031.021976105664</v>
      </c>
      <c r="AX87" s="20">
        <f t="shared" si="10"/>
        <v>1013.5492920098036</v>
      </c>
      <c r="AY87" s="20">
        <f t="shared" si="10"/>
        <v>995.6015109550475</v>
      </c>
      <c r="AZ87" s="20">
        <f t="shared" si="10"/>
        <v>977.20732779068135</v>
      </c>
      <c r="BA87" s="20">
        <f t="shared" si="10"/>
        <v>958.39629680964322</v>
      </c>
      <c r="BB87" s="20">
        <f t="shared" si="10"/>
        <v>939.19875308062228</v>
      </c>
      <c r="BC87" s="20">
        <f t="shared" si="10"/>
        <v>919.64573020776925</v>
      </c>
      <c r="BD87" s="20">
        <f t="shared" si="10"/>
        <v>899.76887475529884</v>
      </c>
      <c r="BE87" s="20">
        <f t="shared" si="10"/>
        <v>879.60035760337382</v>
      </c>
      <c r="BF87" s="20">
        <f t="shared" si="10"/>
        <v>859.17278253051632</v>
      </c>
      <c r="BG87" s="20">
        <f t="shared" si="10"/>
        <v>838.51909234641596</v>
      </c>
      <c r="BH87" s="20">
        <f t="shared" si="10"/>
        <v>817.67247292675904</v>
      </c>
      <c r="BI87" s="21">
        <f t="shared" si="10"/>
        <v>796.6662555284363</v>
      </c>
    </row>
    <row r="88" spans="1:61" x14ac:dyDescent="0.2">
      <c r="A88" s="114" t="s">
        <v>19</v>
      </c>
      <c r="B88" s="14"/>
      <c r="I88" s="20">
        <f>I33</f>
        <v>637.16698879349872</v>
      </c>
      <c r="J88" s="20">
        <f t="shared" ref="J88:BI88" si="11">J33</f>
        <v>635.4050592414402</v>
      </c>
      <c r="K88" s="20">
        <f t="shared" si="11"/>
        <v>676.28810522775109</v>
      </c>
      <c r="L88" s="20">
        <f t="shared" si="11"/>
        <v>699.21935440753566</v>
      </c>
      <c r="M88" s="20">
        <f t="shared" si="11"/>
        <v>707.5885313743712</v>
      </c>
      <c r="N88" s="20">
        <f t="shared" si="11"/>
        <v>713.18461791746836</v>
      </c>
      <c r="O88" s="20">
        <f t="shared" si="11"/>
        <v>720.67276491046107</v>
      </c>
      <c r="P88" s="20">
        <f t="shared" si="11"/>
        <v>734.30200114359138</v>
      </c>
      <c r="Q88" s="20">
        <f t="shared" si="11"/>
        <v>764.60618968075028</v>
      </c>
      <c r="R88" s="20">
        <f t="shared" si="11"/>
        <v>811.09142498845029</v>
      </c>
      <c r="S88" s="20">
        <f t="shared" si="11"/>
        <v>859.28912273215599</v>
      </c>
      <c r="T88" s="20">
        <f t="shared" si="11"/>
        <v>869.92301724643733</v>
      </c>
      <c r="U88" s="20">
        <f t="shared" si="11"/>
        <v>847.42336584085638</v>
      </c>
      <c r="V88" s="20">
        <f t="shared" si="11"/>
        <v>889.38677171330733</v>
      </c>
      <c r="W88" s="20">
        <f t="shared" si="11"/>
        <v>857.39068108754168</v>
      </c>
      <c r="X88" s="20">
        <f t="shared" si="11"/>
        <v>855.76841399234615</v>
      </c>
      <c r="Y88" s="20">
        <f t="shared" si="11"/>
        <v>855.75218651441389</v>
      </c>
      <c r="Z88" s="20">
        <f t="shared" si="11"/>
        <v>856.76800178028122</v>
      </c>
      <c r="AA88" s="20">
        <f t="shared" si="11"/>
        <v>858.24464189127161</v>
      </c>
      <c r="AB88" s="20">
        <f t="shared" si="11"/>
        <v>859.6086765357727</v>
      </c>
      <c r="AC88" s="20">
        <f t="shared" si="11"/>
        <v>860.28330082882371</v>
      </c>
      <c r="AD88" s="20">
        <f t="shared" si="11"/>
        <v>859.69102601120369</v>
      </c>
      <c r="AE88" s="20">
        <f t="shared" si="11"/>
        <v>857.26023225758115</v>
      </c>
      <c r="AF88" s="20">
        <f t="shared" si="11"/>
        <v>852.59322974078452</v>
      </c>
      <c r="AG88" s="20">
        <f t="shared" si="11"/>
        <v>845.94266434269127</v>
      </c>
      <c r="AH88" s="20">
        <f t="shared" si="11"/>
        <v>837.72427925161526</v>
      </c>
      <c r="AI88" s="20">
        <f t="shared" si="11"/>
        <v>828.34962260571137</v>
      </c>
      <c r="AJ88" s="20">
        <f t="shared" si="11"/>
        <v>818.21970651596416</v>
      </c>
      <c r="AK88" s="20">
        <f t="shared" si="11"/>
        <v>807.66078089778239</v>
      </c>
      <c r="AL88" s="20">
        <f t="shared" si="11"/>
        <v>796.74869399773183</v>
      </c>
      <c r="AM88" s="20">
        <f t="shared" si="11"/>
        <v>785.49853726004062</v>
      </c>
      <c r="AN88" s="20">
        <f t="shared" si="11"/>
        <v>773.92594122789922</v>
      </c>
      <c r="AO88" s="20">
        <f t="shared" si="11"/>
        <v>762.0470369491261</v>
      </c>
      <c r="AP88" s="20">
        <f t="shared" si="11"/>
        <v>749.87841579590258</v>
      </c>
      <c r="AQ88" s="20">
        <f t="shared" si="11"/>
        <v>737.43708784390356</v>
      </c>
      <c r="AR88" s="20">
        <f t="shared" si="11"/>
        <v>724.7404389634529</v>
      </c>
      <c r="AS88" s="20">
        <f t="shared" si="11"/>
        <v>711.8061867819149</v>
      </c>
      <c r="AT88" s="20">
        <f t="shared" si="11"/>
        <v>698.65233568234373</v>
      </c>
      <c r="AU88" s="20">
        <f t="shared" si="11"/>
        <v>685.29713100837523</v>
      </c>
      <c r="AV88" s="20">
        <f t="shared" si="11"/>
        <v>671.75901264952847</v>
      </c>
      <c r="AW88" s="20">
        <f t="shared" si="11"/>
        <v>658.05656818427371</v>
      </c>
      <c r="AX88" s="20">
        <f t="shared" si="11"/>
        <v>644.20848576061394</v>
      </c>
      <c r="AY88" s="20">
        <f t="shared" si="11"/>
        <v>630.23350689528354</v>
      </c>
      <c r="AZ88" s="20">
        <f t="shared" si="11"/>
        <v>616.15037937317015</v>
      </c>
      <c r="BA88" s="20">
        <f t="shared" si="11"/>
        <v>601.97781042803206</v>
      </c>
      <c r="BB88" s="20">
        <f t="shared" si="11"/>
        <v>587.73442038413464</v>
      </c>
      <c r="BC88" s="20">
        <f t="shared" si="11"/>
        <v>573.43869693604472</v>
      </c>
      <c r="BD88" s="20">
        <f t="shared" si="11"/>
        <v>559.10895024042998</v>
      </c>
      <c r="BE88" s="20">
        <f t="shared" si="11"/>
        <v>544.76326898948844</v>
      </c>
      <c r="BF88" s="20">
        <f t="shared" si="11"/>
        <v>530.41947763041253</v>
      </c>
      <c r="BG88" s="20">
        <f t="shared" si="11"/>
        <v>516.09509488928234</v>
      </c>
      <c r="BH88" s="20">
        <f t="shared" si="11"/>
        <v>501.80729375088504</v>
      </c>
      <c r="BI88" s="21">
        <f t="shared" si="11"/>
        <v>487.57286303831773</v>
      </c>
    </row>
    <row r="89" spans="1:61" x14ac:dyDescent="0.2">
      <c r="A89" s="114" t="s">
        <v>20</v>
      </c>
      <c r="B89" s="14"/>
      <c r="I89" s="20">
        <f>I34+I35+I36+I37</f>
        <v>2560.8758667895736</v>
      </c>
      <c r="J89" s="20">
        <f t="shared" ref="J89:BI89" si="12">J34+J35+J36+J37</f>
        <v>2764.9378094832209</v>
      </c>
      <c r="K89" s="20">
        <f t="shared" si="12"/>
        <v>3105.5610641497979</v>
      </c>
      <c r="L89" s="20">
        <f t="shared" si="12"/>
        <v>3424.4854776950906</v>
      </c>
      <c r="M89" s="20">
        <f t="shared" si="12"/>
        <v>3650.4088843802569</v>
      </c>
      <c r="N89" s="20">
        <f t="shared" si="12"/>
        <v>3884.5218272380716</v>
      </c>
      <c r="O89" s="20">
        <f t="shared" si="12"/>
        <v>4107.3332190393821</v>
      </c>
      <c r="P89" s="20">
        <f t="shared" si="12"/>
        <v>4260.3967213762999</v>
      </c>
      <c r="Q89" s="20">
        <f t="shared" si="12"/>
        <v>4500.8625410492241</v>
      </c>
      <c r="R89" s="20">
        <f t="shared" si="12"/>
        <v>4837.5903445099902</v>
      </c>
      <c r="S89" s="20">
        <f t="shared" si="12"/>
        <v>5059.9853033207719</v>
      </c>
      <c r="T89" s="20">
        <f t="shared" si="12"/>
        <v>5145.0901980029448</v>
      </c>
      <c r="U89" s="20">
        <f t="shared" si="12"/>
        <v>5158.069783353104</v>
      </c>
      <c r="V89" s="20">
        <f t="shared" si="12"/>
        <v>5990.6000346023575</v>
      </c>
      <c r="W89" s="20">
        <f t="shared" si="12"/>
        <v>6217.9985802493011</v>
      </c>
      <c r="X89" s="20">
        <f t="shared" si="12"/>
        <v>6405.3617366484013</v>
      </c>
      <c r="Y89" s="20">
        <f t="shared" si="12"/>
        <v>6600.7030535335398</v>
      </c>
      <c r="Z89" s="20">
        <f t="shared" si="12"/>
        <v>6800.9929448430048</v>
      </c>
      <c r="AA89" s="20">
        <f t="shared" si="12"/>
        <v>7002.9735586543175</v>
      </c>
      <c r="AB89" s="20">
        <f t="shared" si="12"/>
        <v>7203.153527808865</v>
      </c>
      <c r="AC89" s="20">
        <f t="shared" si="12"/>
        <v>7397.8227806857503</v>
      </c>
      <c r="AD89" s="20">
        <f t="shared" si="12"/>
        <v>7583.0898361062191</v>
      </c>
      <c r="AE89" s="20">
        <f t="shared" si="12"/>
        <v>7754.9435872556915</v>
      </c>
      <c r="AF89" s="20">
        <f t="shared" si="12"/>
        <v>7910.3025210967999</v>
      </c>
      <c r="AG89" s="20">
        <f t="shared" si="12"/>
        <v>8050.0347055590964</v>
      </c>
      <c r="AH89" s="20">
        <f t="shared" si="12"/>
        <v>8176.1487530743989</v>
      </c>
      <c r="AI89" s="20">
        <f t="shared" si="12"/>
        <v>8290.7820879399242</v>
      </c>
      <c r="AJ89" s="20">
        <f t="shared" si="12"/>
        <v>8396.145311796201</v>
      </c>
      <c r="AK89" s="20">
        <f t="shared" si="12"/>
        <v>8494.0687665246514</v>
      </c>
      <c r="AL89" s="20">
        <f t="shared" si="12"/>
        <v>8584.759577914263</v>
      </c>
      <c r="AM89" s="20">
        <f t="shared" si="12"/>
        <v>8668.0472733553652</v>
      </c>
      <c r="AN89" s="20">
        <f t="shared" si="12"/>
        <v>8743.7974388098246</v>
      </c>
      <c r="AO89" s="20">
        <f t="shared" si="12"/>
        <v>8811.9124087594264</v>
      </c>
      <c r="AP89" s="20">
        <f t="shared" si="12"/>
        <v>8872.3316310790924</v>
      </c>
      <c r="AQ89" s="20">
        <f t="shared" si="12"/>
        <v>8925.0317118387393</v>
      </c>
      <c r="AR89" s="20">
        <f t="shared" si="12"/>
        <v>8970.0261496782605</v>
      </c>
      <c r="AS89" s="20">
        <f t="shared" si="12"/>
        <v>9007.3647736571547</v>
      </c>
      <c r="AT89" s="20">
        <f t="shared" si="12"/>
        <v>9037.1329022899808</v>
      </c>
      <c r="AU89" s="20">
        <f t="shared" si="12"/>
        <v>9059.450244792366</v>
      </c>
      <c r="AV89" s="20">
        <f t="shared" si="12"/>
        <v>9074.4695683414902</v>
      </c>
      <c r="AW89" s="20">
        <f t="shared" si="12"/>
        <v>9082.3751573848294</v>
      </c>
      <c r="AX89" s="20">
        <f t="shared" si="12"/>
        <v>9083.3810927037266</v>
      </c>
      <c r="AY89" s="20">
        <f t="shared" si="12"/>
        <v>9077.7293790648728</v>
      </c>
      <c r="AZ89" s="20">
        <f t="shared" si="12"/>
        <v>9065.6879508921429</v>
      </c>
      <c r="BA89" s="20">
        <f t="shared" si="12"/>
        <v>9047.5485854964209</v>
      </c>
      <c r="BB89" s="20">
        <f t="shared" si="12"/>
        <v>9023.6247530501041</v>
      </c>
      <c r="BC89" s="20">
        <f t="shared" si="12"/>
        <v>8994.2494317343917</v>
      </c>
      <c r="BD89" s="20">
        <f t="shared" si="12"/>
        <v>8959.7729153713626</v>
      </c>
      <c r="BE89" s="20">
        <f t="shared" si="12"/>
        <v>8920.5606394362894</v>
      </c>
      <c r="BF89" s="20">
        <f t="shared" si="12"/>
        <v>8876.9910496836255</v>
      </c>
      <c r="BG89" s="20">
        <f t="shared" si="12"/>
        <v>8829.4535357710811</v>
      </c>
      <c r="BH89" s="20">
        <f t="shared" si="12"/>
        <v>8778.346450286228</v>
      </c>
      <c r="BI89" s="21">
        <f t="shared" si="12"/>
        <v>8724.0752315221671</v>
      </c>
    </row>
    <row r="90" spans="1:61" x14ac:dyDescent="0.2">
      <c r="A90" s="114" t="s">
        <v>21</v>
      </c>
      <c r="B90" s="14"/>
      <c r="I90" s="20">
        <f>I38</f>
        <v>969.86529677334454</v>
      </c>
      <c r="J90" s="20">
        <f t="shared" ref="J90:BI90" si="13">J38</f>
        <v>1054.5240750677958</v>
      </c>
      <c r="K90" s="20">
        <f t="shared" si="13"/>
        <v>1231.9487832991067</v>
      </c>
      <c r="L90" s="20">
        <f t="shared" si="13"/>
        <v>1401.566718147817</v>
      </c>
      <c r="M90" s="20">
        <f t="shared" si="13"/>
        <v>1483.7223646090169</v>
      </c>
      <c r="N90" s="20">
        <f t="shared" si="13"/>
        <v>1571.5684766320201</v>
      </c>
      <c r="O90" s="20">
        <f t="shared" si="13"/>
        <v>1646.8308809364089</v>
      </c>
      <c r="P90" s="20">
        <f t="shared" si="13"/>
        <v>1663.9142092848247</v>
      </c>
      <c r="Q90" s="20">
        <f t="shared" si="13"/>
        <v>1729.3353394650969</v>
      </c>
      <c r="R90" s="20">
        <f t="shared" si="13"/>
        <v>1815.2175877512082</v>
      </c>
      <c r="S90" s="20">
        <f t="shared" si="13"/>
        <v>1890.5503654260967</v>
      </c>
      <c r="T90" s="20">
        <f t="shared" si="13"/>
        <v>1985.0357835637794</v>
      </c>
      <c r="U90" s="20">
        <f t="shared" si="13"/>
        <v>1974.020219422028</v>
      </c>
      <c r="V90" s="20">
        <f t="shared" si="13"/>
        <v>2219.755042611464</v>
      </c>
      <c r="W90" s="20">
        <f t="shared" si="13"/>
        <v>2221.0746865680835</v>
      </c>
      <c r="X90" s="20">
        <f t="shared" si="13"/>
        <v>2253.6613915661051</v>
      </c>
      <c r="Y90" s="20">
        <f t="shared" si="13"/>
        <v>2289.4738853292283</v>
      </c>
      <c r="Z90" s="20">
        <f t="shared" si="13"/>
        <v>2327.0755251137889</v>
      </c>
      <c r="AA90" s="20">
        <f t="shared" si="13"/>
        <v>2364.935199529531</v>
      </c>
      <c r="AB90" s="20">
        <f t="shared" si="13"/>
        <v>2401.4205467528823</v>
      </c>
      <c r="AC90" s="20">
        <f t="shared" si="13"/>
        <v>2434.8019257984006</v>
      </c>
      <c r="AD90" s="20">
        <f t="shared" si="13"/>
        <v>2463.268289921843</v>
      </c>
      <c r="AE90" s="20">
        <f t="shared" si="13"/>
        <v>2484.9559148265266</v>
      </c>
      <c r="AF90" s="20">
        <f t="shared" si="13"/>
        <v>2498.4784760185912</v>
      </c>
      <c r="AG90" s="20">
        <f t="shared" si="13"/>
        <v>2504.4529273171438</v>
      </c>
      <c r="AH90" s="20">
        <f t="shared" si="13"/>
        <v>2504.0655162209241</v>
      </c>
      <c r="AI90" s="20">
        <f t="shared" si="13"/>
        <v>2498.5570589771733</v>
      </c>
      <c r="AJ90" s="20">
        <f t="shared" si="13"/>
        <v>2489.1945563432346</v>
      </c>
      <c r="AK90" s="20">
        <f t="shared" si="13"/>
        <v>2477.050755565273</v>
      </c>
      <c r="AL90" s="20">
        <f t="shared" si="13"/>
        <v>2462.4029492268955</v>
      </c>
      <c r="AM90" s="20">
        <f t="shared" si="13"/>
        <v>2445.3354564579695</v>
      </c>
      <c r="AN90" s="20">
        <f t="shared" si="13"/>
        <v>2425.9387056486948</v>
      </c>
      <c r="AO90" s="20">
        <f t="shared" si="13"/>
        <v>2404.308599140963</v>
      </c>
      <c r="AP90" s="20">
        <f t="shared" si="13"/>
        <v>2380.5458699844185</v>
      </c>
      <c r="AQ90" s="20">
        <f t="shared" si="13"/>
        <v>2354.7554358918446</v>
      </c>
      <c r="AR90" s="20">
        <f t="shared" si="13"/>
        <v>2327.0457552896105</v>
      </c>
      <c r="AS90" s="20">
        <f t="shared" si="13"/>
        <v>2297.5281900834843</v>
      </c>
      <c r="AT90" s="20">
        <f t="shared" si="13"/>
        <v>2266.3163794539428</v>
      </c>
      <c r="AU90" s="20">
        <f t="shared" si="13"/>
        <v>2233.5256286632548</v>
      </c>
      <c r="AV90" s="20">
        <f t="shared" si="13"/>
        <v>2199.2723165051243</v>
      </c>
      <c r="AW90" s="20">
        <f t="shared" si="13"/>
        <v>2163.6733246612876</v>
      </c>
      <c r="AX90" s="20">
        <f t="shared" si="13"/>
        <v>2126.8454918537677</v>
      </c>
      <c r="AY90" s="20">
        <f t="shared" si="13"/>
        <v>2088.9050953011479</v>
      </c>
      <c r="AZ90" s="20">
        <f t="shared" si="13"/>
        <v>2049.9673616069272</v>
      </c>
      <c r="BA90" s="20">
        <f t="shared" si="13"/>
        <v>2010.1460088319113</v>
      </c>
      <c r="BB90" s="20">
        <f t="shared" si="13"/>
        <v>1969.5528211347801</v>
      </c>
      <c r="BC90" s="20">
        <f t="shared" si="13"/>
        <v>1928.297257008644</v>
      </c>
      <c r="BD90" s="20">
        <f t="shared" si="13"/>
        <v>1886.4860917998139</v>
      </c>
      <c r="BE90" s="20">
        <f t="shared" si="13"/>
        <v>1844.2230948708161</v>
      </c>
      <c r="BF90" s="20">
        <f t="shared" si="13"/>
        <v>1801.6087414650324</v>
      </c>
      <c r="BG90" s="20">
        <f t="shared" si="13"/>
        <v>1758.7399590469684</v>
      </c>
      <c r="BH90" s="20">
        <f t="shared" si="13"/>
        <v>1715.7099076316324</v>
      </c>
      <c r="BI90" s="21">
        <f t="shared" si="13"/>
        <v>1672.6077933797244</v>
      </c>
    </row>
    <row r="91" spans="1:61" x14ac:dyDescent="0.2">
      <c r="A91" s="114" t="s">
        <v>22</v>
      </c>
      <c r="B91" s="14"/>
      <c r="I91" s="20">
        <f>I39+I40</f>
        <v>2597.0509188204237</v>
      </c>
      <c r="J91" s="20">
        <f t="shared" ref="J91:BI91" si="14">J39+J40</f>
        <v>2726.7398155051605</v>
      </c>
      <c r="K91" s="20">
        <f t="shared" si="14"/>
        <v>2967.9328846353892</v>
      </c>
      <c r="L91" s="20">
        <f t="shared" si="14"/>
        <v>3162.3679261120096</v>
      </c>
      <c r="M91" s="20">
        <f t="shared" si="14"/>
        <v>3331.3503163887726</v>
      </c>
      <c r="N91" s="20">
        <f t="shared" si="14"/>
        <v>3525.4810456247324</v>
      </c>
      <c r="O91" s="20">
        <f t="shared" si="14"/>
        <v>3658.4208621730013</v>
      </c>
      <c r="P91" s="20">
        <f t="shared" si="14"/>
        <v>3728.0927483218288</v>
      </c>
      <c r="Q91" s="20">
        <f t="shared" si="14"/>
        <v>3677.9997747986417</v>
      </c>
      <c r="R91" s="20">
        <f t="shared" si="14"/>
        <v>3750.6771824741027</v>
      </c>
      <c r="S91" s="20">
        <f t="shared" si="14"/>
        <v>4007.1459255589216</v>
      </c>
      <c r="T91" s="20">
        <f t="shared" si="14"/>
        <v>4235.8782596613346</v>
      </c>
      <c r="U91" s="20">
        <f t="shared" si="14"/>
        <v>4307.7125172410397</v>
      </c>
      <c r="V91" s="20">
        <f t="shared" si="14"/>
        <v>4583.195091143124</v>
      </c>
      <c r="W91" s="20">
        <f t="shared" si="14"/>
        <v>4780.7831913358204</v>
      </c>
      <c r="X91" s="20">
        <f t="shared" si="14"/>
        <v>4858.1959464522934</v>
      </c>
      <c r="Y91" s="20">
        <f t="shared" si="14"/>
        <v>4942.5181948506142</v>
      </c>
      <c r="Z91" s="20">
        <f t="shared" si="14"/>
        <v>5030.6542410919237</v>
      </c>
      <c r="AA91" s="20">
        <f t="shared" si="14"/>
        <v>5119.2847048971498</v>
      </c>
      <c r="AB91" s="20">
        <f t="shared" si="14"/>
        <v>5204.8522419036417</v>
      </c>
      <c r="AC91" s="20">
        <f t="shared" si="14"/>
        <v>5283.5707684186218</v>
      </c>
      <c r="AD91" s="20">
        <f t="shared" si="14"/>
        <v>5351.4609001928311</v>
      </c>
      <c r="AE91" s="20">
        <f t="shared" si="14"/>
        <v>5404.4138695445527</v>
      </c>
      <c r="AF91" s="20">
        <f t="shared" si="14"/>
        <v>5439.3528003140436</v>
      </c>
      <c r="AG91" s="20">
        <f t="shared" si="14"/>
        <v>5457.5814675690226</v>
      </c>
      <c r="AH91" s="20">
        <f t="shared" si="14"/>
        <v>5461.6624958733619</v>
      </c>
      <c r="AI91" s="20">
        <f t="shared" si="14"/>
        <v>5454.2923728217947</v>
      </c>
      <c r="AJ91" s="20">
        <f t="shared" si="14"/>
        <v>5438.2379501267005</v>
      </c>
      <c r="AK91" s="20">
        <f t="shared" si="14"/>
        <v>5415.849962052911</v>
      </c>
      <c r="AL91" s="20">
        <f t="shared" si="14"/>
        <v>5387.7357272660693</v>
      </c>
      <c r="AM91" s="20">
        <f t="shared" si="14"/>
        <v>5354.0801449722876</v>
      </c>
      <c r="AN91" s="20">
        <f t="shared" si="14"/>
        <v>5315.0831256918445</v>
      </c>
      <c r="AO91" s="20">
        <f t="shared" si="14"/>
        <v>5270.9580731746137</v>
      </c>
      <c r="AP91" s="20">
        <f t="shared" si="14"/>
        <v>5221.9303424390573</v>
      </c>
      <c r="AQ91" s="20">
        <f t="shared" si="14"/>
        <v>5168.235687179229</v>
      </c>
      <c r="AR91" s="20">
        <f t="shared" si="14"/>
        <v>5110.1187091734864</v>
      </c>
      <c r="AS91" s="20">
        <f t="shared" si="14"/>
        <v>5047.831321617703</v>
      </c>
      <c r="AT91" s="20">
        <f t="shared" si="14"/>
        <v>4981.6312375088328</v>
      </c>
      <c r="AU91" s="20">
        <f t="shared" si="14"/>
        <v>4911.7804933376865</v>
      </c>
      <c r="AV91" s="20">
        <f t="shared" si="14"/>
        <v>4838.5440174284749</v>
      </c>
      <c r="AW91" s="20">
        <f t="shared" si="14"/>
        <v>4762.1882513011669</v>
      </c>
      <c r="AX91" s="20">
        <f t="shared" si="14"/>
        <v>4682.9798314466898</v>
      </c>
      <c r="AY91" s="20">
        <f t="shared" si="14"/>
        <v>4601.1843379070851</v>
      </c>
      <c r="AZ91" s="20">
        <f t="shared" si="14"/>
        <v>4517.0651150561134</v>
      </c>
      <c r="BA91" s="20">
        <f t="shared" si="14"/>
        <v>4430.882168992689</v>
      </c>
      <c r="BB91" s="20">
        <f t="shared" si="14"/>
        <v>4342.8911449996567</v>
      </c>
      <c r="BC91" s="20">
        <f t="shared" si="14"/>
        <v>4253.3423875941489</v>
      </c>
      <c r="BD91" s="20">
        <f t="shared" si="14"/>
        <v>4162.4800848106897</v>
      </c>
      <c r="BE91" s="20">
        <f t="shared" si="14"/>
        <v>4070.5414975220247</v>
      </c>
      <c r="BF91" s="20">
        <f t="shared" si="14"/>
        <v>3977.7562738204033</v>
      </c>
      <c r="BG91" s="20">
        <f t="shared" si="14"/>
        <v>3884.3458477588124</v>
      </c>
      <c r="BH91" s="20">
        <f t="shared" si="14"/>
        <v>3790.522921091128</v>
      </c>
      <c r="BI91" s="21">
        <f t="shared" si="14"/>
        <v>3696.4910260535316</v>
      </c>
    </row>
    <row r="92" spans="1:61" x14ac:dyDescent="0.2">
      <c r="A92" s="114" t="s">
        <v>23</v>
      </c>
      <c r="B92" s="14"/>
      <c r="I92" s="20">
        <f>I41</f>
        <v>825.35203982323162</v>
      </c>
      <c r="J92" s="20">
        <f t="shared" ref="J92:BI92" si="15">J41</f>
        <v>860.62424293328729</v>
      </c>
      <c r="K92" s="20">
        <f t="shared" si="15"/>
        <v>994.5601714893121</v>
      </c>
      <c r="L92" s="20">
        <f t="shared" si="15"/>
        <v>1125.7598991764332</v>
      </c>
      <c r="M92" s="20">
        <f t="shared" si="15"/>
        <v>1202.4657387811435</v>
      </c>
      <c r="N92" s="20">
        <f t="shared" si="15"/>
        <v>1283.9402712372946</v>
      </c>
      <c r="O92" s="20">
        <f t="shared" si="15"/>
        <v>1373.7400086801558</v>
      </c>
      <c r="P92" s="20">
        <f t="shared" si="15"/>
        <v>1399.7199374534182</v>
      </c>
      <c r="Q92" s="20">
        <f t="shared" si="15"/>
        <v>1477.9749989056179</v>
      </c>
      <c r="R92" s="20">
        <f t="shared" si="15"/>
        <v>1594.7588110067843</v>
      </c>
      <c r="S92" s="20">
        <f t="shared" si="15"/>
        <v>1648.2392055673163</v>
      </c>
      <c r="T92" s="20">
        <f t="shared" si="15"/>
        <v>1681.3499544976607</v>
      </c>
      <c r="U92" s="20">
        <f t="shared" si="15"/>
        <v>1711.0551127601359</v>
      </c>
      <c r="V92" s="20">
        <f t="shared" si="15"/>
        <v>2066.5774519172019</v>
      </c>
      <c r="W92" s="20">
        <f t="shared" si="15"/>
        <v>2090.8982819264734</v>
      </c>
      <c r="X92" s="20">
        <f t="shared" si="15"/>
        <v>2165.4388820720865</v>
      </c>
      <c r="Y92" s="20">
        <f t="shared" si="15"/>
        <v>2244.354319615391</v>
      </c>
      <c r="Z92" s="20">
        <f t="shared" si="15"/>
        <v>2326.6218838573363</v>
      </c>
      <c r="AA92" s="20">
        <f t="shared" si="15"/>
        <v>2411.0461705143707</v>
      </c>
      <c r="AB92" s="20">
        <f t="shared" si="15"/>
        <v>2496.2438519135676</v>
      </c>
      <c r="AC92" s="20">
        <f t="shared" si="15"/>
        <v>2580.6356048201669</v>
      </c>
      <c r="AD92" s="20">
        <f t="shared" si="15"/>
        <v>2662.4471121205784</v>
      </c>
      <c r="AE92" s="20">
        <f t="shared" si="15"/>
        <v>2739.7211013476035</v>
      </c>
      <c r="AF92" s="20">
        <f t="shared" si="15"/>
        <v>2810.7408561178054</v>
      </c>
      <c r="AG92" s="20">
        <f t="shared" si="15"/>
        <v>2875.3369523792112</v>
      </c>
      <c r="AH92" s="20">
        <f t="shared" si="15"/>
        <v>2933.8382520503346</v>
      </c>
      <c r="AI92" s="20">
        <f t="shared" si="15"/>
        <v>2986.6825450573565</v>
      </c>
      <c r="AJ92" s="20">
        <f t="shared" si="15"/>
        <v>3034.4042044718549</v>
      </c>
      <c r="AK92" s="20">
        <f t="shared" si="15"/>
        <v>3077.501510542178</v>
      </c>
      <c r="AL92" s="20">
        <f t="shared" si="15"/>
        <v>3116.0516112349715</v>
      </c>
      <c r="AM92" s="20">
        <f t="shared" si="15"/>
        <v>3150.0438061228601</v>
      </c>
      <c r="AN92" s="20">
        <f t="shared" si="15"/>
        <v>3179.4952997357568</v>
      </c>
      <c r="AO92" s="20">
        <f t="shared" si="15"/>
        <v>3204.4498813986961</v>
      </c>
      <c r="AP92" s="20">
        <f t="shared" si="15"/>
        <v>3224.9764025192658</v>
      </c>
      <c r="AQ92" s="20">
        <f t="shared" si="15"/>
        <v>3241.1670848094595</v>
      </c>
      <c r="AR92" s="20">
        <f t="shared" si="15"/>
        <v>3253.1356931147639</v>
      </c>
      <c r="AS92" s="20">
        <f t="shared" si="15"/>
        <v>3261.0156060820018</v>
      </c>
      <c r="AT92" s="20">
        <f t="shared" si="15"/>
        <v>3264.9578168944386</v>
      </c>
      <c r="AU92" s="20">
        <f t="shared" si="15"/>
        <v>3265.128894812492</v>
      </c>
      <c r="AV92" s="20">
        <f t="shared" si="15"/>
        <v>3261.7089363593959</v>
      </c>
      <c r="AW92" s="20">
        <f t="shared" si="15"/>
        <v>3254.8895327623486</v>
      </c>
      <c r="AX92" s="20">
        <f t="shared" si="15"/>
        <v>3244.8717777805332</v>
      </c>
      <c r="AY92" s="20">
        <f t="shared" si="15"/>
        <v>3231.8643373977757</v>
      </c>
      <c r="AZ92" s="20">
        <f t="shared" si="15"/>
        <v>3216.081600100536</v>
      </c>
      <c r="BA92" s="20">
        <f t="shared" si="15"/>
        <v>3197.7419236684364</v>
      </c>
      <c r="BB92" s="20">
        <f t="shared" si="15"/>
        <v>3177.0659916330524</v>
      </c>
      <c r="BC92" s="20">
        <f t="shared" si="15"/>
        <v>3154.2752898638182</v>
      </c>
      <c r="BD92" s="20">
        <f t="shared" si="15"/>
        <v>3129.5907111618644</v>
      </c>
      <c r="BE92" s="20">
        <f t="shared" si="15"/>
        <v>3103.2312933200824</v>
      </c>
      <c r="BF92" s="20">
        <f t="shared" si="15"/>
        <v>3075.4130938699068</v>
      </c>
      <c r="BG92" s="20">
        <f t="shared" si="15"/>
        <v>3046.3482027035502</v>
      </c>
      <c r="BH92" s="20">
        <f t="shared" si="15"/>
        <v>3016.2438919501951</v>
      </c>
      <c r="BI92" s="21">
        <f t="shared" si="15"/>
        <v>2985.3019009039663</v>
      </c>
    </row>
    <row r="93" spans="1:61" x14ac:dyDescent="0.2">
      <c r="A93" s="114" t="s">
        <v>24</v>
      </c>
      <c r="B93" s="14"/>
      <c r="I93" s="20">
        <f>I42</f>
        <v>957.48912910180843</v>
      </c>
      <c r="J93" s="20">
        <f t="shared" ref="J93:BI93" si="16">J42</f>
        <v>1007.4847756088832</v>
      </c>
      <c r="K93" s="20">
        <f t="shared" si="16"/>
        <v>1190.6924414462044</v>
      </c>
      <c r="L93" s="20">
        <f t="shared" si="16"/>
        <v>1343.1889625419417</v>
      </c>
      <c r="M93" s="20">
        <f t="shared" si="16"/>
        <v>1386.1188711991374</v>
      </c>
      <c r="N93" s="20">
        <f t="shared" si="16"/>
        <v>1437.9007595991709</v>
      </c>
      <c r="O93" s="20">
        <f t="shared" si="16"/>
        <v>1504.0047055880304</v>
      </c>
      <c r="P93" s="20">
        <f t="shared" si="16"/>
        <v>1468.2394548218376</v>
      </c>
      <c r="Q93" s="20">
        <f t="shared" si="16"/>
        <v>1517.3701234262553</v>
      </c>
      <c r="R93" s="20">
        <f t="shared" si="16"/>
        <v>1697.1667887148062</v>
      </c>
      <c r="S93" s="20">
        <f t="shared" si="16"/>
        <v>1811.5369065308341</v>
      </c>
      <c r="T93" s="20">
        <f t="shared" si="16"/>
        <v>1821.7287125216355</v>
      </c>
      <c r="U93" s="20">
        <f t="shared" si="16"/>
        <v>1852.1517291354023</v>
      </c>
      <c r="V93" s="20">
        <f t="shared" si="16"/>
        <v>2167.5672054910888</v>
      </c>
      <c r="W93" s="20">
        <f t="shared" si="16"/>
        <v>2175.4614760435193</v>
      </c>
      <c r="X93" s="20">
        <f t="shared" si="16"/>
        <v>2257.2379475511198</v>
      </c>
      <c r="Y93" s="20">
        <f t="shared" si="16"/>
        <v>2343.7395977963793</v>
      </c>
      <c r="Z93" s="20">
        <f t="shared" si="16"/>
        <v>2433.9153518955118</v>
      </c>
      <c r="AA93" s="20">
        <f t="shared" si="16"/>
        <v>2526.5256339895682</v>
      </c>
      <c r="AB93" s="20">
        <f t="shared" si="16"/>
        <v>2620.1255552257735</v>
      </c>
      <c r="AC93" s="20">
        <f t="shared" si="16"/>
        <v>2713.055518439176</v>
      </c>
      <c r="AD93" s="20">
        <f t="shared" si="16"/>
        <v>2803.4413297976566</v>
      </c>
      <c r="AE93" s="20">
        <f t="shared" si="16"/>
        <v>2889.2059705480447</v>
      </c>
      <c r="AF93" s="20">
        <f t="shared" si="16"/>
        <v>2968.5123509962536</v>
      </c>
      <c r="AG93" s="20">
        <f t="shared" si="16"/>
        <v>3041.1360001151838</v>
      </c>
      <c r="AH93" s="20">
        <f t="shared" si="16"/>
        <v>3107.3759870944727</v>
      </c>
      <c r="AI93" s="20">
        <f t="shared" si="16"/>
        <v>3167.6493812529015</v>
      </c>
      <c r="AJ93" s="20">
        <f t="shared" si="16"/>
        <v>3222.4789994403322</v>
      </c>
      <c r="AK93" s="20">
        <f t="shared" si="16"/>
        <v>3272.3565534294844</v>
      </c>
      <c r="AL93" s="20">
        <f t="shared" si="16"/>
        <v>3317.3435191596609</v>
      </c>
      <c r="AM93" s="20">
        <f t="shared" si="16"/>
        <v>3357.4135515279195</v>
      </c>
      <c r="AN93" s="20">
        <f t="shared" si="16"/>
        <v>3392.5718604052968</v>
      </c>
      <c r="AO93" s="20">
        <f t="shared" si="16"/>
        <v>3422.8538378432486</v>
      </c>
      <c r="AP93" s="20">
        <f t="shared" si="16"/>
        <v>3448.323440594078</v>
      </c>
      <c r="AQ93" s="20">
        <f t="shared" si="16"/>
        <v>3469.071366247279</v>
      </c>
      <c r="AR93" s="20">
        <f t="shared" si="16"/>
        <v>3485.2130617768894</v>
      </c>
      <c r="AS93" s="20">
        <f t="shared" si="16"/>
        <v>3496.8866030194722</v>
      </c>
      <c r="AT93" s="20">
        <f t="shared" si="16"/>
        <v>3504.2504826375202</v>
      </c>
      <c r="AU93" s="20">
        <f t="shared" si="16"/>
        <v>3507.4813425550706</v>
      </c>
      <c r="AV93" s="20">
        <f t="shared" si="16"/>
        <v>3506.7716847741162</v>
      </c>
      <c r="AW93" s="20">
        <f t="shared" si="16"/>
        <v>3502.3275919876746</v>
      </c>
      <c r="AX93" s="20">
        <f t="shared" si="16"/>
        <v>3494.3664865922847</v>
      </c>
      <c r="AY93" s="20">
        <f t="shared" si="16"/>
        <v>3483.1149536615994</v>
      </c>
      <c r="AZ93" s="20">
        <f t="shared" si="16"/>
        <v>3468.8066502612351</v>
      </c>
      <c r="BA93" s="20">
        <f t="shared" si="16"/>
        <v>3451.6803202424512</v>
      </c>
      <c r="BB93" s="20">
        <f t="shared" si="16"/>
        <v>3431.9779304232884</v>
      </c>
      <c r="BC93" s="20">
        <f t="shared" si="16"/>
        <v>3409.9429409125655</v>
      </c>
      <c r="BD93" s="20">
        <f t="shared" si="16"/>
        <v>3385.818719310631</v>
      </c>
      <c r="BE93" s="20">
        <f t="shared" si="16"/>
        <v>3359.8471056768399</v>
      </c>
      <c r="BF93" s="20">
        <f t="shared" si="16"/>
        <v>3332.2671325221777</v>
      </c>
      <c r="BG93" s="20">
        <f t="shared" si="16"/>
        <v>3303.3139016951973</v>
      </c>
      <c r="BH93" s="20">
        <f t="shared" si="16"/>
        <v>3273.2176178982386</v>
      </c>
      <c r="BI93" s="21">
        <f t="shared" si="16"/>
        <v>3242.202776711174</v>
      </c>
    </row>
    <row r="94" spans="1:61" x14ac:dyDescent="0.2">
      <c r="A94" s="114" t="s">
        <v>25</v>
      </c>
      <c r="B94" s="14"/>
      <c r="I94" s="20">
        <f>I43</f>
        <v>636.84917179891238</v>
      </c>
      <c r="J94" s="20">
        <f t="shared" ref="J94:BI94" si="17">J43</f>
        <v>682.17640383462935</v>
      </c>
      <c r="K94" s="20">
        <f t="shared" si="17"/>
        <v>798.94066636712569</v>
      </c>
      <c r="L94" s="20">
        <f t="shared" si="17"/>
        <v>919.68852177451481</v>
      </c>
      <c r="M94" s="20">
        <f t="shared" si="17"/>
        <v>953.46054365731106</v>
      </c>
      <c r="N94" s="20">
        <f t="shared" si="17"/>
        <v>982.73916071012547</v>
      </c>
      <c r="O94" s="20">
        <f t="shared" si="17"/>
        <v>1007.190217386193</v>
      </c>
      <c r="P94" s="20">
        <f t="shared" si="17"/>
        <v>988.01686580060073</v>
      </c>
      <c r="Q94" s="20">
        <f t="shared" si="17"/>
        <v>1028.7917095739863</v>
      </c>
      <c r="R94" s="20">
        <f t="shared" si="17"/>
        <v>1164.2331935578331</v>
      </c>
      <c r="S94" s="20">
        <f t="shared" si="17"/>
        <v>1285.5808657429811</v>
      </c>
      <c r="T94" s="20">
        <f t="shared" si="17"/>
        <v>1325.0409909702028</v>
      </c>
      <c r="U94" s="20">
        <f t="shared" si="17"/>
        <v>1362.5508537800022</v>
      </c>
      <c r="V94" s="20">
        <f t="shared" si="17"/>
        <v>1597.4262241195795</v>
      </c>
      <c r="W94" s="20">
        <f t="shared" si="17"/>
        <v>1681.134442521691</v>
      </c>
      <c r="X94" s="20">
        <f t="shared" si="17"/>
        <v>1778.3876855353312</v>
      </c>
      <c r="Y94" s="20">
        <f t="shared" si="17"/>
        <v>1881.4227610945145</v>
      </c>
      <c r="Z94" s="20">
        <f t="shared" si="17"/>
        <v>1989.5579943697951</v>
      </c>
      <c r="AA94" s="20">
        <f t="shared" si="17"/>
        <v>2101.8967258939069</v>
      </c>
      <c r="AB94" s="20">
        <f t="shared" si="17"/>
        <v>2217.3028172372037</v>
      </c>
      <c r="AC94" s="20">
        <f t="shared" si="17"/>
        <v>2334.3813863501973</v>
      </c>
      <c r="AD94" s="20">
        <f t="shared" si="17"/>
        <v>2451.467191757873</v>
      </c>
      <c r="AE94" s="20">
        <f t="shared" si="17"/>
        <v>2566.6233051290237</v>
      </c>
      <c r="AF94" s="20">
        <f t="shared" si="17"/>
        <v>2677.9950404846127</v>
      </c>
      <c r="AG94" s="20">
        <f t="shared" si="17"/>
        <v>2784.9720559714597</v>
      </c>
      <c r="AH94" s="20">
        <f t="shared" si="17"/>
        <v>2887.3718291773166</v>
      </c>
      <c r="AI94" s="20">
        <f t="shared" si="17"/>
        <v>2985.1265603812799</v>
      </c>
      <c r="AJ94" s="20">
        <f t="shared" si="17"/>
        <v>3078.2812997888823</v>
      </c>
      <c r="AK94" s="20">
        <f t="shared" si="17"/>
        <v>3166.9055685795133</v>
      </c>
      <c r="AL94" s="20">
        <f t="shared" si="17"/>
        <v>3250.8160536476521</v>
      </c>
      <c r="AM94" s="20">
        <f t="shared" si="17"/>
        <v>3329.7968643648082</v>
      </c>
      <c r="AN94" s="20">
        <f t="shared" si="17"/>
        <v>3403.6801038822755</v>
      </c>
      <c r="AO94" s="20">
        <f t="shared" si="17"/>
        <v>3472.3458382289232</v>
      </c>
      <c r="AP94" s="20">
        <f t="shared" si="17"/>
        <v>3535.7214401032984</v>
      </c>
      <c r="AQ94" s="20">
        <f t="shared" si="17"/>
        <v>3593.7803637045577</v>
      </c>
      <c r="AR94" s="20">
        <f t="shared" si="17"/>
        <v>3646.540414363466</v>
      </c>
      <c r="AS94" s="20">
        <f t="shared" si="17"/>
        <v>3694.0615820008657</v>
      </c>
      <c r="AT94" s="20">
        <f t="shared" si="17"/>
        <v>3736.4435106338215</v>
      </c>
      <c r="AU94" s="20">
        <f t="shared" si="17"/>
        <v>3773.8226773991992</v>
      </c>
      <c r="AV94" s="20">
        <f t="shared" si="17"/>
        <v>3806.3693540496452</v>
      </c>
      <c r="AW94" s="20">
        <f t="shared" si="17"/>
        <v>3834.2844218081091</v>
      </c>
      <c r="AX94" s="20">
        <f t="shared" si="17"/>
        <v>3857.7961070780066</v>
      </c>
      <c r="AY94" s="20">
        <f t="shared" si="17"/>
        <v>3877.1567010428712</v>
      </c>
      <c r="AZ94" s="20">
        <f t="shared" si="17"/>
        <v>3892.6393209001167</v>
      </c>
      <c r="BA94" s="20">
        <f t="shared" si="17"/>
        <v>3904.5347646003793</v>
      </c>
      <c r="BB94" s="20">
        <f t="shared" si="17"/>
        <v>3913.1485047379147</v>
      </c>
      <c r="BC94" s="20">
        <f t="shared" si="17"/>
        <v>3918.7978608692842</v>
      </c>
      <c r="BD94" s="20">
        <f t="shared" si="17"/>
        <v>3921.809383219027</v>
      </c>
      <c r="BE94" s="20">
        <f t="shared" si="17"/>
        <v>3922.5164746262731</v>
      </c>
      <c r="BF94" s="20">
        <f t="shared" si="17"/>
        <v>3921.2572718379961</v>
      </c>
      <c r="BG94" s="20">
        <f t="shared" si="17"/>
        <v>3918.3728019753794</v>
      </c>
      <c r="BH94" s="20">
        <f t="shared" si="17"/>
        <v>3914.2054252823</v>
      </c>
      <c r="BI94" s="21">
        <f t="shared" si="17"/>
        <v>3909.0975711751457</v>
      </c>
    </row>
    <row r="95" spans="1:61" x14ac:dyDescent="0.2">
      <c r="A95" s="114" t="s">
        <v>26</v>
      </c>
      <c r="B95" s="14"/>
      <c r="I95" s="20">
        <f>I44+I45</f>
        <v>1623.8018058106015</v>
      </c>
      <c r="J95" s="20">
        <f t="shared" ref="J95:BI95" si="18">J44+J45</f>
        <v>1822.4951609926225</v>
      </c>
      <c r="K95" s="20">
        <f t="shared" si="18"/>
        <v>2166.298644952557</v>
      </c>
      <c r="L95" s="20">
        <f t="shared" si="18"/>
        <v>2331.3408392066517</v>
      </c>
      <c r="M95" s="20">
        <f t="shared" si="18"/>
        <v>2383.0435220231129</v>
      </c>
      <c r="N95" s="20">
        <f t="shared" si="18"/>
        <v>2540.8630589329832</v>
      </c>
      <c r="O95" s="20">
        <f t="shared" si="18"/>
        <v>2728.838438356292</v>
      </c>
      <c r="P95" s="20">
        <f t="shared" si="18"/>
        <v>2762.9644114695907</v>
      </c>
      <c r="Q95" s="20">
        <f t="shared" si="18"/>
        <v>3032.1263849062357</v>
      </c>
      <c r="R95" s="20">
        <f t="shared" si="18"/>
        <v>3401.7294408571947</v>
      </c>
      <c r="S95" s="20">
        <f t="shared" si="18"/>
        <v>3556.0155065145791</v>
      </c>
      <c r="T95" s="20">
        <f t="shared" si="18"/>
        <v>3532.2470339744173</v>
      </c>
      <c r="U95" s="20">
        <f t="shared" si="18"/>
        <v>3588.8015752326332</v>
      </c>
      <c r="V95" s="20">
        <f t="shared" si="18"/>
        <v>3965.5598401128746</v>
      </c>
      <c r="W95" s="20">
        <f t="shared" si="18"/>
        <v>4247.4403854669345</v>
      </c>
      <c r="X95" s="20">
        <f t="shared" si="18"/>
        <v>4392.5069158903989</v>
      </c>
      <c r="Y95" s="20">
        <f t="shared" si="18"/>
        <v>4546.3102778891389</v>
      </c>
      <c r="Z95" s="20">
        <f t="shared" si="18"/>
        <v>4706.7538490057696</v>
      </c>
      <c r="AA95" s="20">
        <f t="shared" si="18"/>
        <v>4871.403867928163</v>
      </c>
      <c r="AB95" s="20">
        <f t="shared" si="18"/>
        <v>5037.4593762578434</v>
      </c>
      <c r="AC95" s="20">
        <f t="shared" si="18"/>
        <v>5201.7367402600848</v>
      </c>
      <c r="AD95" s="20">
        <f t="shared" si="18"/>
        <v>5360.6725018605457</v>
      </c>
      <c r="AE95" s="20">
        <f t="shared" si="18"/>
        <v>5510.3483901364571</v>
      </c>
      <c r="AF95" s="20">
        <f t="shared" si="18"/>
        <v>5647.3477975194692</v>
      </c>
      <c r="AG95" s="20">
        <f t="shared" si="18"/>
        <v>5771.3901425007953</v>
      </c>
      <c r="AH95" s="20">
        <f t="shared" si="18"/>
        <v>5883.1973690874656</v>
      </c>
      <c r="AI95" s="20">
        <f t="shared" si="18"/>
        <v>5983.7042688280972</v>
      </c>
      <c r="AJ95" s="20">
        <f t="shared" si="18"/>
        <v>6074.032959510615</v>
      </c>
      <c r="AK95" s="20">
        <f t="shared" si="18"/>
        <v>6155.2226118856506</v>
      </c>
      <c r="AL95" s="20">
        <f t="shared" si="18"/>
        <v>6227.4473965639518</v>
      </c>
      <c r="AM95" s="20">
        <f t="shared" si="18"/>
        <v>6290.6987645666541</v>
      </c>
      <c r="AN95" s="20">
        <f t="shared" si="18"/>
        <v>6345.0217375251887</v>
      </c>
      <c r="AO95" s="20">
        <f t="shared" si="18"/>
        <v>6390.5123133134412</v>
      </c>
      <c r="AP95" s="20">
        <f t="shared" si="18"/>
        <v>6427.3144905320423</v>
      </c>
      <c r="AQ95" s="20">
        <f t="shared" si="18"/>
        <v>6455.6169756027321</v>
      </c>
      <c r="AR95" s="20">
        <f t="shared" si="18"/>
        <v>6475.6496365346784</v>
      </c>
      <c r="AS95" s="20">
        <f t="shared" si="18"/>
        <v>6487.6797665430759</v>
      </c>
      <c r="AT95" s="20">
        <f t="shared" si="18"/>
        <v>6492.0082187602256</v>
      </c>
      <c r="AU95" s="20">
        <f t="shared" si="18"/>
        <v>6488.9654704211307</v>
      </c>
      <c r="AV95" s="20">
        <f t="shared" si="18"/>
        <v>6478.9076712761716</v>
      </c>
      <c r="AW95" s="20">
        <f t="shared" si="18"/>
        <v>6462.2127267347196</v>
      </c>
      <c r="AX95" s="20">
        <f t="shared" si="18"/>
        <v>6439.2764615218257</v>
      </c>
      <c r="AY95" s="20">
        <f t="shared" si="18"/>
        <v>6410.5089045805389</v>
      </c>
      <c r="AZ95" s="20">
        <f t="shared" si="18"/>
        <v>6376.3307307100495</v>
      </c>
      <c r="BA95" s="20">
        <f t="shared" si="18"/>
        <v>6337.1698891182996</v>
      </c>
      <c r="BB95" s="20">
        <f t="shared" si="18"/>
        <v>6293.458443800625</v>
      </c>
      <c r="BC95" s="20">
        <f t="shared" si="18"/>
        <v>6245.62964553042</v>
      </c>
      <c r="BD95" s="20">
        <f t="shared" si="18"/>
        <v>6194.11525034843</v>
      </c>
      <c r="BE95" s="20">
        <f t="shared" si="18"/>
        <v>6139.3430948334253</v>
      </c>
      <c r="BF95" s="20">
        <f t="shared" si="18"/>
        <v>6081.7349341836325</v>
      </c>
      <c r="BG95" s="20">
        <f t="shared" si="18"/>
        <v>6021.7045452759148</v>
      </c>
      <c r="BH95" s="20">
        <f t="shared" si="18"/>
        <v>5959.6560934282097</v>
      </c>
      <c r="BI95" s="21">
        <f t="shared" si="18"/>
        <v>5895.9827585836556</v>
      </c>
    </row>
    <row r="96" spans="1:61" x14ac:dyDescent="0.2">
      <c r="A96" s="114" t="s">
        <v>27</v>
      </c>
      <c r="B96" s="14"/>
      <c r="I96" s="20">
        <f>I46</f>
        <v>1217.5195160253679</v>
      </c>
      <c r="J96" s="20">
        <f t="shared" ref="J96:BI96" si="19">J46</f>
        <v>1292.6341207581518</v>
      </c>
      <c r="K96" s="20">
        <f t="shared" si="19"/>
        <v>1490.0363414785679</v>
      </c>
      <c r="L96" s="20">
        <f t="shared" si="19"/>
        <v>1639.350314270589</v>
      </c>
      <c r="M96" s="20">
        <f t="shared" si="19"/>
        <v>1712.0343556535668</v>
      </c>
      <c r="N96" s="20">
        <f t="shared" si="19"/>
        <v>1803.6398418356748</v>
      </c>
      <c r="O96" s="20">
        <f t="shared" si="19"/>
        <v>1891.7453428330407</v>
      </c>
      <c r="P96" s="20">
        <f t="shared" si="19"/>
        <v>1925.726984191494</v>
      </c>
      <c r="Q96" s="20">
        <f t="shared" si="19"/>
        <v>2039.0277316223494</v>
      </c>
      <c r="R96" s="20">
        <f t="shared" si="19"/>
        <v>2282.7007277873363</v>
      </c>
      <c r="S96" s="20">
        <f t="shared" si="19"/>
        <v>2438.8021860920107</v>
      </c>
      <c r="T96" s="20">
        <f t="shared" si="19"/>
        <v>2603.0134076603781</v>
      </c>
      <c r="U96" s="20">
        <f t="shared" si="19"/>
        <v>2742.170325969631</v>
      </c>
      <c r="V96" s="20">
        <f t="shared" si="19"/>
        <v>3334.778314369561</v>
      </c>
      <c r="W96" s="20">
        <f t="shared" si="19"/>
        <v>3790.6958165959172</v>
      </c>
      <c r="X96" s="20">
        <f t="shared" si="19"/>
        <v>4088.2263577689237</v>
      </c>
      <c r="Y96" s="20">
        <f t="shared" si="19"/>
        <v>4406.7824653164198</v>
      </c>
      <c r="Z96" s="20">
        <f t="shared" si="19"/>
        <v>4745.3598682315851</v>
      </c>
      <c r="AA96" s="20">
        <f t="shared" si="19"/>
        <v>5102.3205076468339</v>
      </c>
      <c r="AB96" s="20">
        <f t="shared" si="19"/>
        <v>5475.2952309762522</v>
      </c>
      <c r="AC96" s="20">
        <f t="shared" si="19"/>
        <v>5861.0948693554292</v>
      </c>
      <c r="AD96" s="20">
        <f t="shared" si="19"/>
        <v>6255.637077141394</v>
      </c>
      <c r="AE96" s="20">
        <f t="shared" si="19"/>
        <v>6653.8974654907151</v>
      </c>
      <c r="AF96" s="20">
        <f t="shared" si="19"/>
        <v>7050.7062972720196</v>
      </c>
      <c r="AG96" s="20">
        <f t="shared" si="19"/>
        <v>7443.5714185002316</v>
      </c>
      <c r="AH96" s="20">
        <f t="shared" si="19"/>
        <v>7830.9162662032586</v>
      </c>
      <c r="AI96" s="20">
        <f t="shared" si="19"/>
        <v>8211.3876563884278</v>
      </c>
      <c r="AJ96" s="20">
        <f t="shared" si="19"/>
        <v>8583.87836695037</v>
      </c>
      <c r="AK96" s="20">
        <f t="shared" si="19"/>
        <v>8947.405161238592</v>
      </c>
      <c r="AL96" s="20">
        <f t="shared" si="19"/>
        <v>9300.6595428092714</v>
      </c>
      <c r="AM96" s="20">
        <f t="shared" si="19"/>
        <v>9642.3587480847509</v>
      </c>
      <c r="AN96" s="20">
        <f t="shared" si="19"/>
        <v>9971.3858078729409</v>
      </c>
      <c r="AO96" s="20">
        <f t="shared" si="19"/>
        <v>10286.798936204768</v>
      </c>
      <c r="AP96" s="20">
        <f t="shared" si="19"/>
        <v>10587.837807706597</v>
      </c>
      <c r="AQ96" s="20">
        <f t="shared" si="19"/>
        <v>10873.926832849487</v>
      </c>
      <c r="AR96" s="20">
        <f t="shared" si="19"/>
        <v>11144.675607128947</v>
      </c>
      <c r="AS96" s="20">
        <f t="shared" si="19"/>
        <v>11399.87676625846</v>
      </c>
      <c r="AT96" s="20">
        <f t="shared" si="19"/>
        <v>11639.501524158966</v>
      </c>
      <c r="AU96" s="20">
        <f t="shared" si="19"/>
        <v>11863.69320373462</v>
      </c>
      <c r="AV96" s="20">
        <f t="shared" si="19"/>
        <v>12072.759092434902</v>
      </c>
      <c r="AW96" s="20">
        <f t="shared" si="19"/>
        <v>12267.160966083851</v>
      </c>
      <c r="AX96" s="20">
        <f t="shared" si="19"/>
        <v>12447.504626382688</v>
      </c>
      <c r="AY96" s="20">
        <f t="shared" si="19"/>
        <v>12614.528791063449</v>
      </c>
      <c r="AZ96" s="20">
        <f t="shared" si="19"/>
        <v>12769.093662243999</v>
      </c>
      <c r="BA96" s="20">
        <f t="shared" si="19"/>
        <v>12912.169479547447</v>
      </c>
      <c r="BB96" s="20">
        <f t="shared" si="19"/>
        <v>13044.825341460992</v>
      </c>
      <c r="BC96" s="20">
        <f t="shared" si="19"/>
        <v>13168.218552645943</v>
      </c>
      <c r="BD96" s="20">
        <f t="shared" si="19"/>
        <v>13283.584727830517</v>
      </c>
      <c r="BE96" s="20">
        <f t="shared" si="19"/>
        <v>13392.228855764859</v>
      </c>
      <c r="BF96" s="20">
        <f t="shared" si="19"/>
        <v>13495.51750062411</v>
      </c>
      <c r="BG96" s="20">
        <f t="shared" si="19"/>
        <v>13594.872294196368</v>
      </c>
      <c r="BH96" s="20">
        <f t="shared" si="19"/>
        <v>13691.764851047366</v>
      </c>
      <c r="BI96" s="21">
        <f t="shared" si="19"/>
        <v>13787.713221341422</v>
      </c>
    </row>
    <row r="97" spans="1:61" x14ac:dyDescent="0.2">
      <c r="A97" s="114" t="s">
        <v>28</v>
      </c>
      <c r="B97" s="14"/>
      <c r="I97" s="20">
        <f>I47</f>
        <v>1706.6024804589906</v>
      </c>
      <c r="J97" s="20">
        <f t="shared" ref="J97:BI97" si="20">J47</f>
        <v>1703.5010482581254</v>
      </c>
      <c r="K97" s="20">
        <f t="shared" si="20"/>
        <v>1933.8707410286615</v>
      </c>
      <c r="L97" s="20">
        <f t="shared" si="20"/>
        <v>2153.675657808727</v>
      </c>
      <c r="M97" s="20">
        <f t="shared" si="20"/>
        <v>2298.3702505757124</v>
      </c>
      <c r="N97" s="20">
        <f t="shared" si="20"/>
        <v>2430.0821452448795</v>
      </c>
      <c r="O97" s="20">
        <f t="shared" si="20"/>
        <v>2614.0226283800762</v>
      </c>
      <c r="P97" s="20">
        <f t="shared" si="20"/>
        <v>2740.3367900106496</v>
      </c>
      <c r="Q97" s="20">
        <f t="shared" si="20"/>
        <v>2941.6791661197531</v>
      </c>
      <c r="R97" s="20">
        <f t="shared" si="20"/>
        <v>3388.5062004678171</v>
      </c>
      <c r="S97" s="20">
        <f t="shared" si="20"/>
        <v>3815.9156485707945</v>
      </c>
      <c r="T97" s="20">
        <f t="shared" si="20"/>
        <v>4021.3431733748421</v>
      </c>
      <c r="U97" s="20">
        <f t="shared" si="20"/>
        <v>4189.6426485802067</v>
      </c>
      <c r="V97" s="20">
        <f t="shared" si="20"/>
        <v>5047.07826989772</v>
      </c>
      <c r="W97" s="20">
        <f t="shared" si="20"/>
        <v>5516.6342563589078</v>
      </c>
      <c r="X97" s="20">
        <f t="shared" si="20"/>
        <v>6003.641615719559</v>
      </c>
      <c r="Y97" s="20">
        <f t="shared" si="20"/>
        <v>6509.3791230159568</v>
      </c>
      <c r="Z97" s="20">
        <f t="shared" si="20"/>
        <v>7033.1355793332941</v>
      </c>
      <c r="AA97" s="20">
        <f t="shared" si="20"/>
        <v>7574.315709128352</v>
      </c>
      <c r="AB97" s="20">
        <f t="shared" si="20"/>
        <v>8132.4833621194066</v>
      </c>
      <c r="AC97" s="20">
        <f t="shared" si="20"/>
        <v>8707.4042141554564</v>
      </c>
      <c r="AD97" s="20">
        <f t="shared" si="20"/>
        <v>9299.08774104646</v>
      </c>
      <c r="AE97" s="20">
        <f t="shared" si="20"/>
        <v>9907.8284504638832</v>
      </c>
      <c r="AF97" s="20">
        <f t="shared" si="20"/>
        <v>10533.769321894926</v>
      </c>
      <c r="AG97" s="20">
        <f t="shared" si="20"/>
        <v>11175.277471405305</v>
      </c>
      <c r="AH97" s="20">
        <f t="shared" si="20"/>
        <v>11829.988721966203</v>
      </c>
      <c r="AI97" s="20">
        <f t="shared" si="20"/>
        <v>12495.227505255587</v>
      </c>
      <c r="AJ97" s="20">
        <f t="shared" si="20"/>
        <v>13168.009908633709</v>
      </c>
      <c r="AK97" s="20">
        <f t="shared" si="20"/>
        <v>13845.312283721956</v>
      </c>
      <c r="AL97" s="20">
        <f t="shared" si="20"/>
        <v>14524.968687439083</v>
      </c>
      <c r="AM97" s="20">
        <f t="shared" si="20"/>
        <v>15205.085707006168</v>
      </c>
      <c r="AN97" s="20">
        <f t="shared" si="20"/>
        <v>15883.826679940888</v>
      </c>
      <c r="AO97" s="20">
        <f t="shared" si="20"/>
        <v>16559.430113144834</v>
      </c>
      <c r="AP97" s="20">
        <f t="shared" si="20"/>
        <v>17230.226818203024</v>
      </c>
      <c r="AQ97" s="20">
        <f t="shared" si="20"/>
        <v>17894.655582443782</v>
      </c>
      <c r="AR97" s="20">
        <f t="shared" si="20"/>
        <v>18551.277233835182</v>
      </c>
      <c r="AS97" s="20">
        <f t="shared" si="20"/>
        <v>19198.786997109914</v>
      </c>
      <c r="AT97" s="20">
        <f t="shared" si="20"/>
        <v>19836.025077614497</v>
      </c>
      <c r="AU97" s="20">
        <f t="shared" si="20"/>
        <v>20461.985447378585</v>
      </c>
      <c r="AV97" s="20">
        <f t="shared" si="20"/>
        <v>21075.822844006383</v>
      </c>
      <c r="AW97" s="20">
        <f t="shared" si="20"/>
        <v>21676.858026548605</v>
      </c>
      <c r="AX97" s="20">
        <f t="shared" si="20"/>
        <v>22264.581362992954</v>
      </c>
      <c r="AY97" s="20">
        <f t="shared" si="20"/>
        <v>22838.654851032821</v>
      </c>
      <c r="AZ97" s="20">
        <f t="shared" si="20"/>
        <v>23398.912697083946</v>
      </c>
      <c r="BA97" s="20">
        <f t="shared" si="20"/>
        <v>23945.360598006315</v>
      </c>
      <c r="BB97" s="20">
        <f t="shared" si="20"/>
        <v>24478.173885647495</v>
      </c>
      <c r="BC97" s="20">
        <f t="shared" si="20"/>
        <v>24997.694706277121</v>
      </c>
      <c r="BD97" s="20">
        <f t="shared" si="20"/>
        <v>25504.428415429116</v>
      </c>
      <c r="BE97" s="20">
        <f t="shared" si="20"/>
        <v>25999.039373905962</v>
      </c>
      <c r="BF97" s="20">
        <f t="shared" si="20"/>
        <v>26482.346333075133</v>
      </c>
      <c r="BG97" s="20">
        <f t="shared" si="20"/>
        <v>26955.317597512927</v>
      </c>
      <c r="BH97" s="20">
        <f t="shared" si="20"/>
        <v>27419.066150964896</v>
      </c>
      <c r="BI97" s="21">
        <f t="shared" si="20"/>
        <v>27874.844927961774</v>
      </c>
    </row>
    <row r="98" spans="1:61" x14ac:dyDescent="0.2">
      <c r="A98" s="114" t="s">
        <v>29</v>
      </c>
      <c r="B98" s="14"/>
      <c r="I98" s="20">
        <f>I48</f>
        <v>174.94890796108089</v>
      </c>
      <c r="J98" s="20">
        <f t="shared" ref="J98:BI98" si="21">J48</f>
        <v>169.15820543043426</v>
      </c>
      <c r="K98" s="20">
        <f t="shared" si="21"/>
        <v>196.46933500099175</v>
      </c>
      <c r="L98" s="20">
        <f t="shared" si="21"/>
        <v>219.55529259720151</v>
      </c>
      <c r="M98" s="20">
        <f t="shared" si="21"/>
        <v>235.35118038279785</v>
      </c>
      <c r="N98" s="20">
        <f t="shared" si="21"/>
        <v>249.50909097016776</v>
      </c>
      <c r="O98" s="20">
        <f t="shared" si="21"/>
        <v>261.69729116037337</v>
      </c>
      <c r="P98" s="20">
        <f t="shared" si="21"/>
        <v>261.68098067397437</v>
      </c>
      <c r="Q98" s="20">
        <f t="shared" si="21"/>
        <v>279.37539782966684</v>
      </c>
      <c r="R98" s="20">
        <f t="shared" si="21"/>
        <v>318.13496199016924</v>
      </c>
      <c r="S98" s="20">
        <f t="shared" si="21"/>
        <v>336.40604594488298</v>
      </c>
      <c r="T98" s="20">
        <f t="shared" si="21"/>
        <v>358.40848198921412</v>
      </c>
      <c r="U98" s="20">
        <f t="shared" si="21"/>
        <v>358.49983471901351</v>
      </c>
      <c r="V98" s="20">
        <f t="shared" si="21"/>
        <v>418.05813758237923</v>
      </c>
      <c r="W98" s="20">
        <f t="shared" si="21"/>
        <v>444.2119594191438</v>
      </c>
      <c r="X98" s="20">
        <f t="shared" si="21"/>
        <v>470.80184701106077</v>
      </c>
      <c r="Y98" s="20">
        <f t="shared" si="21"/>
        <v>497.91662282724087</v>
      </c>
      <c r="Z98" s="20">
        <f t="shared" si="21"/>
        <v>525.4685433226075</v>
      </c>
      <c r="AA98" s="20">
        <f t="shared" si="21"/>
        <v>553.36224309188856</v>
      </c>
      <c r="AB98" s="20">
        <f t="shared" si="21"/>
        <v>581.49515527837343</v>
      </c>
      <c r="AC98" s="20">
        <f t="shared" si="21"/>
        <v>609.75803103980434</v>
      </c>
      <c r="AD98" s="20">
        <f t="shared" si="21"/>
        <v>638.03555625105366</v>
      </c>
      <c r="AE98" s="20">
        <f t="shared" si="21"/>
        <v>666.20706207385001</v>
      </c>
      <c r="AF98" s="20">
        <f t="shared" si="21"/>
        <v>694.15526064933601</v>
      </c>
      <c r="AG98" s="20">
        <f t="shared" si="21"/>
        <v>721.7934608532687</v>
      </c>
      <c r="AH98" s="20">
        <f t="shared" si="21"/>
        <v>749.04700005246184</v>
      </c>
      <c r="AI98" s="20">
        <f t="shared" si="21"/>
        <v>775.84660103810245</v>
      </c>
      <c r="AJ98" s="20">
        <f t="shared" si="21"/>
        <v>802.12894258058077</v>
      </c>
      <c r="AK98" s="20">
        <f t="shared" si="21"/>
        <v>827.83400608267527</v>
      </c>
      <c r="AL98" s="20">
        <f t="shared" si="21"/>
        <v>852.89529657478511</v>
      </c>
      <c r="AM98" s="20">
        <f t="shared" si="21"/>
        <v>877.24831239772163</v>
      </c>
      <c r="AN98" s="20">
        <f t="shared" si="21"/>
        <v>900.83388182821216</v>
      </c>
      <c r="AO98" s="20">
        <f t="shared" si="21"/>
        <v>923.59849385967664</v>
      </c>
      <c r="AP98" s="20">
        <f t="shared" si="21"/>
        <v>945.49456413013468</v>
      </c>
      <c r="AQ98" s="20">
        <f t="shared" si="21"/>
        <v>966.48063591033088</v>
      </c>
      <c r="AR98" s="20">
        <f t="shared" si="21"/>
        <v>986.52151702624531</v>
      </c>
      <c r="AS98" s="20">
        <f t="shared" si="21"/>
        <v>1005.5883544764308</v>
      </c>
      <c r="AT98" s="20">
        <f t="shared" si="21"/>
        <v>1023.6586493046381</v>
      </c>
      <c r="AU98" s="20">
        <f t="shared" si="21"/>
        <v>1040.7162149927944</v>
      </c>
      <c r="AV98" s="20">
        <f t="shared" si="21"/>
        <v>1056.751083242425</v>
      </c>
      <c r="AW98" s="20">
        <f t="shared" si="21"/>
        <v>1071.7593615109779</v>
      </c>
      <c r="AX98" s="20">
        <f t="shared" si="21"/>
        <v>1085.7430470619195</v>
      </c>
      <c r="AY98" s="20">
        <f t="shared" si="21"/>
        <v>1098.7098025760815</v>
      </c>
      <c r="AZ98" s="20">
        <f t="shared" si="21"/>
        <v>1110.6726985596156</v>
      </c>
      <c r="BA98" s="20">
        <f t="shared" si="21"/>
        <v>1121.6499278769786</v>
      </c>
      <c r="BB98" s="20">
        <f t="shared" si="21"/>
        <v>1131.6644977421818</v>
      </c>
      <c r="BC98" s="20">
        <f t="shared" si="21"/>
        <v>1140.7439044265764</v>
      </c>
      <c r="BD98" s="20">
        <f t="shared" si="21"/>
        <v>1148.9197957954252</v>
      </c>
      <c r="BE98" s="20">
        <f t="shared" si="21"/>
        <v>1156.2276265783057</v>
      </c>
      <c r="BF98" s="20">
        <f t="shared" si="21"/>
        <v>1162.7063110195745</v>
      </c>
      <c r="BG98" s="20">
        <f t="shared" si="21"/>
        <v>1168.3978772551816</v>
      </c>
      <c r="BH98" s="20">
        <f t="shared" si="21"/>
        <v>1173.3471274301819</v>
      </c>
      <c r="BI98" s="21">
        <f t="shared" si="21"/>
        <v>1177.6013072175497</v>
      </c>
    </row>
    <row r="99" spans="1:61" x14ac:dyDescent="0.2">
      <c r="A99" s="114" t="s">
        <v>30</v>
      </c>
      <c r="B99" s="14"/>
      <c r="I99" s="20">
        <f>I49+I50</f>
        <v>111.46028951314003</v>
      </c>
      <c r="J99" s="20">
        <f t="shared" ref="J99:BI99" si="22">J49+J50</f>
        <v>120.30787133937859</v>
      </c>
      <c r="K99" s="20">
        <f t="shared" si="22"/>
        <v>141.43053509268847</v>
      </c>
      <c r="L99" s="20">
        <f t="shared" si="22"/>
        <v>159.98361785708192</v>
      </c>
      <c r="M99" s="20">
        <f t="shared" si="22"/>
        <v>167.95873433969678</v>
      </c>
      <c r="N99" s="20">
        <f t="shared" si="22"/>
        <v>172.05530032135397</v>
      </c>
      <c r="O99" s="20">
        <f t="shared" si="22"/>
        <v>181.9600660386933</v>
      </c>
      <c r="P99" s="20">
        <f t="shared" si="22"/>
        <v>194.94534916622629</v>
      </c>
      <c r="Q99" s="20">
        <f t="shared" si="22"/>
        <v>203.22948683917804</v>
      </c>
      <c r="R99" s="20">
        <f t="shared" si="22"/>
        <v>213.07428392840546</v>
      </c>
      <c r="S99" s="20">
        <f t="shared" si="22"/>
        <v>220.22999263419672</v>
      </c>
      <c r="T99" s="20">
        <f t="shared" si="22"/>
        <v>229.27298523539721</v>
      </c>
      <c r="U99" s="20">
        <f t="shared" si="22"/>
        <v>221.1260248388711</v>
      </c>
      <c r="V99" s="20">
        <f t="shared" si="22"/>
        <v>277.87684123406291</v>
      </c>
      <c r="W99" s="20">
        <f t="shared" si="22"/>
        <v>329.30584324697315</v>
      </c>
      <c r="X99" s="20">
        <f t="shared" si="22"/>
        <v>345.94786128887392</v>
      </c>
      <c r="Y99" s="20">
        <f t="shared" si="22"/>
        <v>365.22374235416987</v>
      </c>
      <c r="Z99" s="20">
        <f t="shared" si="22"/>
        <v>387.06445639109023</v>
      </c>
      <c r="AA99" s="20">
        <f t="shared" si="22"/>
        <v>411.34722376609443</v>
      </c>
      <c r="AB99" s="20">
        <f t="shared" si="22"/>
        <v>437.85683598603691</v>
      </c>
      <c r="AC99" s="20">
        <f t="shared" si="22"/>
        <v>466.24459241612431</v>
      </c>
      <c r="AD99" s="20">
        <f t="shared" si="22"/>
        <v>495.98722042360316</v>
      </c>
      <c r="AE99" s="20">
        <f t="shared" si="22"/>
        <v>526.35013010482419</v>
      </c>
      <c r="AF99" s="20">
        <f t="shared" si="22"/>
        <v>556.55475418630101</v>
      </c>
      <c r="AG99" s="20">
        <f t="shared" si="22"/>
        <v>586.45085066773981</v>
      </c>
      <c r="AH99" s="20">
        <f t="shared" si="22"/>
        <v>616.11577565472476</v>
      </c>
      <c r="AI99" s="20">
        <f t="shared" si="22"/>
        <v>645.68896920445502</v>
      </c>
      <c r="AJ99" s="20">
        <f t="shared" si="22"/>
        <v>675.37394091220642</v>
      </c>
      <c r="AK99" s="20">
        <f t="shared" si="22"/>
        <v>705.36971669487389</v>
      </c>
      <c r="AL99" s="20">
        <f t="shared" si="22"/>
        <v>735.63551671794721</v>
      </c>
      <c r="AM99" s="20">
        <f t="shared" si="22"/>
        <v>766.05878059105419</v>
      </c>
      <c r="AN99" s="20">
        <f t="shared" si="22"/>
        <v>796.51997569906132</v>
      </c>
      <c r="AO99" s="20">
        <f t="shared" si="22"/>
        <v>826.8932987246543</v>
      </c>
      <c r="AP99" s="20">
        <f t="shared" si="22"/>
        <v>857.04747789607075</v>
      </c>
      <c r="AQ99" s="20">
        <f t="shared" si="22"/>
        <v>886.84666974630136</v>
      </c>
      <c r="AR99" s="20">
        <f t="shared" si="22"/>
        <v>916.15144248386673</v>
      </c>
      <c r="AS99" s="20">
        <f t="shared" si="22"/>
        <v>944.81983646460685</v>
      </c>
      <c r="AT99" s="20">
        <f t="shared" si="22"/>
        <v>972.70849075255387</v>
      </c>
      <c r="AU99" s="20">
        <f t="shared" si="22"/>
        <v>999.67382339875519</v>
      </c>
      <c r="AV99" s="20">
        <f t="shared" si="22"/>
        <v>1025.5732518802351</v>
      </c>
      <c r="AW99" s="20">
        <f t="shared" si="22"/>
        <v>1050.2664391549331</v>
      </c>
      <c r="AX99" s="20">
        <f t="shared" si="22"/>
        <v>1073.6165500263382</v>
      </c>
      <c r="AY99" s="20">
        <f t="shared" si="22"/>
        <v>1095.4915019933735</v>
      </c>
      <c r="AZ99" s="20">
        <f t="shared" si="22"/>
        <v>1115.7651945020918</v>
      </c>
      <c r="BA99" s="20">
        <f t="shared" si="22"/>
        <v>1134.3187005250738</v>
      </c>
      <c r="BB99" s="20">
        <f t="shared" si="22"/>
        <v>1151.0414046768478</v>
      </c>
      <c r="BC99" s="20">
        <f t="shared" si="22"/>
        <v>1165.8320726269444</v>
      </c>
      <c r="BD99" s="20">
        <f t="shared" si="22"/>
        <v>1178.5998373896994</v>
      </c>
      <c r="BE99" s="20">
        <f t="shared" si="22"/>
        <v>1189.2650891378657</v>
      </c>
      <c r="BF99" s="20">
        <f t="shared" si="22"/>
        <v>1197.7602564879637</v>
      </c>
      <c r="BG99" s="20">
        <f t="shared" si="22"/>
        <v>1204.0304687151668</v>
      </c>
      <c r="BH99" s="20">
        <f t="shared" si="22"/>
        <v>1208.0340900470426</v>
      </c>
      <c r="BI99" s="21">
        <f t="shared" si="22"/>
        <v>1209.7431190268799</v>
      </c>
    </row>
    <row r="100" spans="1:61" x14ac:dyDescent="0.2">
      <c r="A100" s="114" t="s">
        <v>31</v>
      </c>
      <c r="B100" s="14"/>
      <c r="I100" s="20">
        <f>I51</f>
        <v>22.452835911654002</v>
      </c>
      <c r="J100" s="20">
        <f t="shared" ref="J100:BI100" si="23">J51</f>
        <v>23.412379173753692</v>
      </c>
      <c r="K100" s="20">
        <f t="shared" si="23"/>
        <v>27.055965524115788</v>
      </c>
      <c r="L100" s="20">
        <f t="shared" si="23"/>
        <v>30.625116401895806</v>
      </c>
      <c r="M100" s="20">
        <f t="shared" si="23"/>
        <v>32.536888744587912</v>
      </c>
      <c r="N100" s="20">
        <f t="shared" si="23"/>
        <v>35.699637404168797</v>
      </c>
      <c r="O100" s="20">
        <f t="shared" si="23"/>
        <v>38.367627851350051</v>
      </c>
      <c r="P100" s="20">
        <f t="shared" si="23"/>
        <v>39.602824835326153</v>
      </c>
      <c r="Q100" s="20">
        <f t="shared" si="23"/>
        <v>41.15991326248249</v>
      </c>
      <c r="R100" s="20">
        <f t="shared" si="23"/>
        <v>45.745408371569674</v>
      </c>
      <c r="S100" s="20">
        <f t="shared" si="23"/>
        <v>50.832278851937239</v>
      </c>
      <c r="T100" s="20">
        <f t="shared" si="23"/>
        <v>55.823300807607737</v>
      </c>
      <c r="U100" s="20">
        <f t="shared" si="23"/>
        <v>52.219430202324659</v>
      </c>
      <c r="V100" s="20">
        <f t="shared" si="23"/>
        <v>57.360679492383881</v>
      </c>
      <c r="W100" s="20">
        <f t="shared" si="23"/>
        <v>65.377607731033848</v>
      </c>
      <c r="X100" s="20">
        <f t="shared" si="23"/>
        <v>68.434184117510512</v>
      </c>
      <c r="Y100" s="20">
        <f t="shared" si="23"/>
        <v>71.402563067136029</v>
      </c>
      <c r="Z100" s="20">
        <f t="shared" si="23"/>
        <v>74.258877895555628</v>
      </c>
      <c r="AA100" s="20">
        <f t="shared" si="23"/>
        <v>76.979320169193656</v>
      </c>
      <c r="AB100" s="20">
        <f t="shared" si="23"/>
        <v>79.540460850308037</v>
      </c>
      <c r="AC100" s="20">
        <f t="shared" si="23"/>
        <v>81.91957900082177</v>
      </c>
      <c r="AD100" s="20">
        <f t="shared" si="23"/>
        <v>84.094991770824294</v>
      </c>
      <c r="AE100" s="20">
        <f t="shared" si="23"/>
        <v>86.046379104737127</v>
      </c>
      <c r="AF100" s="20">
        <f t="shared" si="23"/>
        <v>87.761666890402097</v>
      </c>
      <c r="AG100" s="20">
        <f t="shared" si="23"/>
        <v>89.257914467377759</v>
      </c>
      <c r="AH100" s="20">
        <f t="shared" si="23"/>
        <v>90.562946116272968</v>
      </c>
      <c r="AI100" s="20">
        <f t="shared" si="23"/>
        <v>91.708293277462033</v>
      </c>
      <c r="AJ100" s="20">
        <f t="shared" si="23"/>
        <v>92.728507378361655</v>
      </c>
      <c r="AK100" s="20">
        <f t="shared" si="23"/>
        <v>93.653559783191795</v>
      </c>
      <c r="AL100" s="20">
        <f t="shared" si="23"/>
        <v>94.486819851367827</v>
      </c>
      <c r="AM100" s="20">
        <f t="shared" si="23"/>
        <v>95.225026653977167</v>
      </c>
      <c r="AN100" s="20">
        <f t="shared" si="23"/>
        <v>95.865183503822195</v>
      </c>
      <c r="AO100" s="20">
        <f t="shared" si="23"/>
        <v>96.404576994120561</v>
      </c>
      <c r="AP100" s="20">
        <f t="shared" si="23"/>
        <v>96.840794835430728</v>
      </c>
      <c r="AQ100" s="20">
        <f t="shared" si="23"/>
        <v>97.171742336022206</v>
      </c>
      <c r="AR100" s="20">
        <f t="shared" si="23"/>
        <v>97.39565737783478</v>
      </c>
      <c r="AS100" s="20">
        <f t="shared" si="23"/>
        <v>97.511123748703184</v>
      </c>
      <c r="AT100" s="20">
        <f t="shared" si="23"/>
        <v>97.517082701622755</v>
      </c>
      <c r="AU100" s="20">
        <f t="shared" si="23"/>
        <v>97.412842623441023</v>
      </c>
      <c r="AV100" s="20">
        <f t="shared" si="23"/>
        <v>97.19808670839646</v>
      </c>
      <c r="AW100" s="20">
        <f t="shared" si="23"/>
        <v>96.87287854628515</v>
      </c>
      <c r="AX100" s="20">
        <f t="shared" si="23"/>
        <v>96.437665550603256</v>
      </c>
      <c r="AY100" s="20">
        <f t="shared" si="23"/>
        <v>95.893280168648275</v>
      </c>
      <c r="AZ100" s="20">
        <f t="shared" si="23"/>
        <v>95.240938833106767</v>
      </c>
      <c r="BA100" s="20">
        <f t="shared" si="23"/>
        <v>94.482238632946718</v>
      </c>
      <c r="BB100" s="20">
        <f t="shared" si="23"/>
        <v>93.619151700273591</v>
      </c>
      <c r="BC100" s="20">
        <f t="shared" si="23"/>
        <v>92.654017329024398</v>
      </c>
      <c r="BD100" s="20">
        <f t="shared" si="23"/>
        <v>91.589531860730105</v>
      </c>
      <c r="BE100" s="20">
        <f t="shared" si="23"/>
        <v>90.428736391900472</v>
      </c>
      <c r="BF100" s="20">
        <f t="shared" si="23"/>
        <v>89.175002376624548</v>
      </c>
      <c r="BG100" s="20">
        <f t="shared" si="23"/>
        <v>87.832015216547489</v>
      </c>
      <c r="BH100" s="20">
        <f t="shared" si="23"/>
        <v>86.403755948256872</v>
      </c>
      <c r="BI100" s="21">
        <f t="shared" si="23"/>
        <v>84.894481155072043</v>
      </c>
    </row>
    <row r="101" spans="1:61" x14ac:dyDescent="0.2">
      <c r="A101" s="114" t="s">
        <v>32</v>
      </c>
      <c r="B101" s="14"/>
      <c r="I101" s="20">
        <f>I52</f>
        <v>1466.9497714236093</v>
      </c>
      <c r="J101" s="20">
        <f t="shared" ref="J101:BI101" si="24">J52</f>
        <v>1474.0179441560417</v>
      </c>
      <c r="K101" s="20">
        <f t="shared" si="24"/>
        <v>1588.8989412835126</v>
      </c>
      <c r="L101" s="20">
        <f t="shared" si="24"/>
        <v>1680.9431100365668</v>
      </c>
      <c r="M101" s="20">
        <f t="shared" si="24"/>
        <v>1680.2596337294835</v>
      </c>
      <c r="N101" s="20">
        <f t="shared" si="24"/>
        <v>1695.144439478476</v>
      </c>
      <c r="O101" s="20">
        <f t="shared" si="24"/>
        <v>1660.9369108534145</v>
      </c>
      <c r="P101" s="20">
        <f t="shared" si="24"/>
        <v>1583.6219721367613</v>
      </c>
      <c r="Q101" s="20">
        <f t="shared" si="24"/>
        <v>1619.613841507062</v>
      </c>
      <c r="R101" s="20">
        <f t="shared" si="24"/>
        <v>1767.2620779648926</v>
      </c>
      <c r="S101" s="20">
        <f t="shared" si="24"/>
        <v>1928.5876837904223</v>
      </c>
      <c r="T101" s="20">
        <f t="shared" si="24"/>
        <v>1980.3465919708456</v>
      </c>
      <c r="U101" s="20">
        <f t="shared" si="24"/>
        <v>1952.1155968033461</v>
      </c>
      <c r="V101" s="20">
        <f t="shared" si="24"/>
        <v>2254.0667697181825</v>
      </c>
      <c r="W101" s="20">
        <f t="shared" si="24"/>
        <v>2406.5305171590167</v>
      </c>
      <c r="X101" s="20">
        <f t="shared" si="24"/>
        <v>2525.1729527132452</v>
      </c>
      <c r="Y101" s="20">
        <f t="shared" si="24"/>
        <v>2661.6412183015418</v>
      </c>
      <c r="Z101" s="20">
        <f t="shared" si="24"/>
        <v>2814.134949362327</v>
      </c>
      <c r="AA101" s="20">
        <f t="shared" si="24"/>
        <v>2980.2708919134111</v>
      </c>
      <c r="AB101" s="20">
        <f t="shared" si="24"/>
        <v>3156.8966937874729</v>
      </c>
      <c r="AC101" s="20">
        <f t="shared" si="24"/>
        <v>3339.9287359529226</v>
      </c>
      <c r="AD101" s="20">
        <f t="shared" si="24"/>
        <v>3524.2330881864141</v>
      </c>
      <c r="AE101" s="20">
        <f t="shared" si="24"/>
        <v>3703.5740739690991</v>
      </c>
      <c r="AF101" s="20">
        <f t="shared" si="24"/>
        <v>3871.9216748695203</v>
      </c>
      <c r="AG101" s="20">
        <f t="shared" si="24"/>
        <v>4027.803624248013</v>
      </c>
      <c r="AH101" s="20">
        <f t="shared" si="24"/>
        <v>4171.3345933904202</v>
      </c>
      <c r="AI101" s="20">
        <f t="shared" si="24"/>
        <v>4303.042114488122</v>
      </c>
      <c r="AJ101" s="20">
        <f t="shared" si="24"/>
        <v>4423.8339148805089</v>
      </c>
      <c r="AK101" s="20">
        <f t="shared" si="24"/>
        <v>4534.6964833249076</v>
      </c>
      <c r="AL101" s="20">
        <f t="shared" si="24"/>
        <v>4635.8170399962528</v>
      </c>
      <c r="AM101" s="20">
        <f t="shared" si="24"/>
        <v>4727.2676523541031</v>
      </c>
      <c r="AN101" s="20">
        <f t="shared" si="24"/>
        <v>4809.2474873752017</v>
      </c>
      <c r="AO101" s="20">
        <f t="shared" si="24"/>
        <v>4882.0731173271688</v>
      </c>
      <c r="AP101" s="20">
        <f t="shared" si="24"/>
        <v>4946.1677180457455</v>
      </c>
      <c r="AQ101" s="20">
        <f t="shared" si="24"/>
        <v>5002.0495873442651</v>
      </c>
      <c r="AR101" s="20">
        <f t="shared" si="24"/>
        <v>5050.3203870301668</v>
      </c>
      <c r="AS101" s="20">
        <f t="shared" si="24"/>
        <v>5091.653478329159</v>
      </c>
      <c r="AT101" s="20">
        <f t="shared" si="24"/>
        <v>5126.7826802654608</v>
      </c>
      <c r="AU101" s="20">
        <f t="shared" si="24"/>
        <v>5156.4917365321508</v>
      </c>
      <c r="AV101" s="20">
        <f t="shared" si="24"/>
        <v>5181.6047311855573</v>
      </c>
      <c r="AW101" s="20">
        <f t="shared" si="24"/>
        <v>5202.9776493813042</v>
      </c>
      <c r="AX101" s="20">
        <f t="shared" si="24"/>
        <v>5221.4912382536304</v>
      </c>
      <c r="AY101" s="20">
        <f t="shared" si="24"/>
        <v>5238.0452864809586</v>
      </c>
      <c r="AZ101" s="20">
        <f t="shared" si="24"/>
        <v>5253.5544102906406</v>
      </c>
      <c r="BA101" s="20">
        <f t="shared" si="24"/>
        <v>5268.9454095348365</v>
      </c>
      <c r="BB101" s="20">
        <f t="shared" si="24"/>
        <v>5285.1562406613075</v>
      </c>
      <c r="BC101" s="20">
        <f t="shared" si="24"/>
        <v>5303.1366443536217</v>
      </c>
      <c r="BD101" s="20">
        <f t="shared" si="24"/>
        <v>5323.8504646495539</v>
      </c>
      <c r="BE101" s="20">
        <f t="shared" si="24"/>
        <v>5348.2797037358359</v>
      </c>
      <c r="BF101" s="20">
        <f t="shared" si="24"/>
        <v>5377.4303726708722</v>
      </c>
      <c r="BG101" s="20">
        <f t="shared" si="24"/>
        <v>5412.3402234254509</v>
      </c>
      <c r="BH101" s="20">
        <f t="shared" si="24"/>
        <v>5454.0884824809846</v>
      </c>
      <c r="BI101" s="21">
        <f t="shared" si="24"/>
        <v>5503.8077517169168</v>
      </c>
    </row>
    <row r="102" spans="1:61" x14ac:dyDescent="0.2">
      <c r="A102" s="114" t="s">
        <v>33</v>
      </c>
      <c r="B102" s="14"/>
      <c r="I102" s="20">
        <f>I53</f>
        <v>87.53053933252626</v>
      </c>
      <c r="J102" s="20">
        <f t="shared" ref="J102:BI102" si="25">J53</f>
        <v>95.08803735377785</v>
      </c>
      <c r="K102" s="20">
        <f t="shared" si="25"/>
        <v>108.87049937819883</v>
      </c>
      <c r="L102" s="20">
        <f t="shared" si="25"/>
        <v>118.31566272018181</v>
      </c>
      <c r="M102" s="20">
        <f t="shared" si="25"/>
        <v>125.81415161256815</v>
      </c>
      <c r="N102" s="20">
        <f t="shared" si="25"/>
        <v>140.31477005110062</v>
      </c>
      <c r="O102" s="20">
        <f t="shared" si="25"/>
        <v>156.72015248722698</v>
      </c>
      <c r="P102" s="20">
        <f t="shared" si="25"/>
        <v>165.1852348132401</v>
      </c>
      <c r="Q102" s="20">
        <f t="shared" si="25"/>
        <v>184.25366435012344</v>
      </c>
      <c r="R102" s="20">
        <f t="shared" si="25"/>
        <v>209.81637237905477</v>
      </c>
      <c r="S102" s="20">
        <f t="shared" si="25"/>
        <v>245.89161153311522</v>
      </c>
      <c r="T102" s="20">
        <f t="shared" si="25"/>
        <v>264.34481065829374</v>
      </c>
      <c r="U102" s="20">
        <f t="shared" si="25"/>
        <v>255.71778339066671</v>
      </c>
      <c r="V102" s="20">
        <f t="shared" si="25"/>
        <v>314.44198403038911</v>
      </c>
      <c r="W102" s="20">
        <f t="shared" si="25"/>
        <v>339.54369713094945</v>
      </c>
      <c r="X102" s="20">
        <f t="shared" si="25"/>
        <v>369.01804446287241</v>
      </c>
      <c r="Y102" s="20">
        <f t="shared" si="25"/>
        <v>403.29292943981363</v>
      </c>
      <c r="Z102" s="20">
        <f t="shared" si="25"/>
        <v>442.4046302103439</v>
      </c>
      <c r="AA102" s="20">
        <f t="shared" si="25"/>
        <v>486.23895093105233</v>
      </c>
      <c r="AB102" s="20">
        <f t="shared" si="25"/>
        <v>534.46076622425892</v>
      </c>
      <c r="AC102" s="20">
        <f t="shared" si="25"/>
        <v>586.43906414206413</v>
      </c>
      <c r="AD102" s="20">
        <f t="shared" si="25"/>
        <v>641.1740066040569</v>
      </c>
      <c r="AE102" s="20">
        <f t="shared" si="25"/>
        <v>697.2360798286353</v>
      </c>
      <c r="AF102" s="20">
        <f t="shared" si="25"/>
        <v>753.03417231709329</v>
      </c>
      <c r="AG102" s="20">
        <f t="shared" si="25"/>
        <v>807.90499424828306</v>
      </c>
      <c r="AH102" s="20">
        <f t="shared" si="25"/>
        <v>861.53226684303638</v>
      </c>
      <c r="AI102" s="20">
        <f t="shared" si="25"/>
        <v>913.6993586894788</v>
      </c>
      <c r="AJ102" s="20">
        <f t="shared" si="25"/>
        <v>964.2962569972085</v>
      </c>
      <c r="AK102" s="20">
        <f t="shared" si="25"/>
        <v>1013.2720251599934</v>
      </c>
      <c r="AL102" s="20">
        <f t="shared" si="25"/>
        <v>1060.4633467659894</v>
      </c>
      <c r="AM102" s="20">
        <f t="shared" si="25"/>
        <v>1105.71471460829</v>
      </c>
      <c r="AN102" s="20">
        <f t="shared" si="25"/>
        <v>1148.9261428375421</v>
      </c>
      <c r="AO102" s="20">
        <f t="shared" si="25"/>
        <v>1190.0535616775301</v>
      </c>
      <c r="AP102" s="20">
        <f t="shared" si="25"/>
        <v>1229.1080374484211</v>
      </c>
      <c r="AQ102" s="20">
        <f t="shared" si="25"/>
        <v>1266.154027761296</v>
      </c>
      <c r="AR102" s="20">
        <f t="shared" si="25"/>
        <v>1301.3069039454977</v>
      </c>
      <c r="AS102" s="20">
        <f t="shared" si="25"/>
        <v>1334.7299832327276</v>
      </c>
      <c r="AT102" s="20">
        <f t="shared" si="25"/>
        <v>1366.631313712388</v>
      </c>
      <c r="AU102" s="20">
        <f t="shared" si="25"/>
        <v>1397.2604477663426</v>
      </c>
      <c r="AV102" s="20">
        <f t="shared" si="25"/>
        <v>1426.9054269835397</v>
      </c>
      <c r="AW102" s="20">
        <f t="shared" si="25"/>
        <v>1455.8901859041111</v>
      </c>
      <c r="AX102" s="20">
        <f t="shared" si="25"/>
        <v>1484.5725657477524</v>
      </c>
      <c r="AY102" s="20">
        <f t="shared" si="25"/>
        <v>1513.3431148097015</v>
      </c>
      <c r="AZ102" s="20">
        <f t="shared" si="25"/>
        <v>1542.6248415606576</v>
      </c>
      <c r="BA102" s="20">
        <f t="shared" si="25"/>
        <v>1572.8740816146335</v>
      </c>
      <c r="BB102" s="20">
        <f t="shared" si="25"/>
        <v>1604.5826424817708</v>
      </c>
      <c r="BC102" s="20">
        <f t="shared" si="25"/>
        <v>1638.2814022445953</v>
      </c>
      <c r="BD102" s="20">
        <f t="shared" si="25"/>
        <v>1674.5455619507852</v>
      </c>
      <c r="BE102" s="20">
        <f t="shared" si="25"/>
        <v>1714.0017888557536</v>
      </c>
      <c r="BF102" s="20">
        <f t="shared" si="25"/>
        <v>1757.3375414293014</v>
      </c>
      <c r="BG102" s="20">
        <f t="shared" si="25"/>
        <v>1805.3129407832405</v>
      </c>
      <c r="BH102" s="20">
        <f t="shared" si="25"/>
        <v>1858.775651512814</v>
      </c>
      <c r="BI102" s="21">
        <f t="shared" si="25"/>
        <v>1918.6793640496571</v>
      </c>
    </row>
    <row r="103" spans="1:61" x14ac:dyDescent="0.2">
      <c r="A103" s="115" t="s">
        <v>34</v>
      </c>
      <c r="B103" s="15"/>
      <c r="C103" s="45"/>
      <c r="D103" s="45"/>
      <c r="E103" s="45"/>
      <c r="F103" s="45"/>
      <c r="G103" s="45"/>
      <c r="H103" s="45"/>
      <c r="I103" s="26">
        <f>I54</f>
        <v>106.41260783441682</v>
      </c>
      <c r="J103" s="26">
        <f t="shared" ref="J103:BI103" si="26">J54</f>
        <v>106.01747682394466</v>
      </c>
      <c r="K103" s="26">
        <f t="shared" si="26"/>
        <v>108.72061703685718</v>
      </c>
      <c r="L103" s="26">
        <f t="shared" si="26"/>
        <v>112.09366041509065</v>
      </c>
      <c r="M103" s="26">
        <f t="shared" si="26"/>
        <v>111.51452051101201</v>
      </c>
      <c r="N103" s="26">
        <f t="shared" si="26"/>
        <v>113.03205913023037</v>
      </c>
      <c r="O103" s="26">
        <f t="shared" si="26"/>
        <v>116.38619015098108</v>
      </c>
      <c r="P103" s="26">
        <f t="shared" si="26"/>
        <v>116.59976918770862</v>
      </c>
      <c r="Q103" s="26">
        <f t="shared" si="26"/>
        <v>121.7531333299423</v>
      </c>
      <c r="R103" s="26">
        <f t="shared" si="26"/>
        <v>133.96162549530575</v>
      </c>
      <c r="S103" s="26">
        <f t="shared" si="26"/>
        <v>142.45560376808243</v>
      </c>
      <c r="T103" s="26">
        <f t="shared" si="26"/>
        <v>148.20170190389067</v>
      </c>
      <c r="U103" s="26">
        <f t="shared" si="26"/>
        <v>150.38995216573491</v>
      </c>
      <c r="V103" s="26">
        <f t="shared" si="26"/>
        <v>171.45992894014705</v>
      </c>
      <c r="W103" s="26">
        <f t="shared" si="26"/>
        <v>178.87718995463754</v>
      </c>
      <c r="X103" s="26">
        <f t="shared" si="26"/>
        <v>187.35224781855516</v>
      </c>
      <c r="Y103" s="26">
        <f t="shared" si="26"/>
        <v>197.1046680194986</v>
      </c>
      <c r="Z103" s="26">
        <f t="shared" si="26"/>
        <v>207.99676302081579</v>
      </c>
      <c r="AA103" s="26">
        <f t="shared" si="26"/>
        <v>219.84951645520158</v>
      </c>
      <c r="AB103" s="26">
        <f t="shared" si="26"/>
        <v>232.42954529346446</v>
      </c>
      <c r="AC103" s="26">
        <f t="shared" si="26"/>
        <v>245.43790601939884</v>
      </c>
      <c r="AD103" s="26">
        <f t="shared" si="26"/>
        <v>258.50207612932394</v>
      </c>
      <c r="AE103" s="26">
        <f t="shared" si="26"/>
        <v>271.17280597031873</v>
      </c>
      <c r="AF103" s="26">
        <f t="shared" si="26"/>
        <v>283.01893964646291</v>
      </c>
      <c r="AG103" s="26">
        <f t="shared" si="26"/>
        <v>293.94056071445442</v>
      </c>
      <c r="AH103" s="26">
        <f t="shared" si="26"/>
        <v>303.95237215646466</v>
      </c>
      <c r="AI103" s="26">
        <f t="shared" si="26"/>
        <v>313.09843858266476</v>
      </c>
      <c r="AJ103" s="26">
        <f t="shared" si="26"/>
        <v>321.4496506378681</v>
      </c>
      <c r="AK103" s="26">
        <f t="shared" si="26"/>
        <v>329.08161378994328</v>
      </c>
      <c r="AL103" s="26">
        <f t="shared" si="26"/>
        <v>336.01066450058823</v>
      </c>
      <c r="AM103" s="26">
        <f t="shared" si="26"/>
        <v>342.24414953404136</v>
      </c>
      <c r="AN103" s="26">
        <f t="shared" si="26"/>
        <v>347.79815825040066</v>
      </c>
      <c r="AO103" s="26">
        <f t="shared" si="26"/>
        <v>352.69681840070973</v>
      </c>
      <c r="AP103" s="26">
        <f t="shared" si="26"/>
        <v>356.97152178077931</v>
      </c>
      <c r="AQ103" s="26">
        <f t="shared" si="26"/>
        <v>360.66010870696391</v>
      </c>
      <c r="AR103" s="26">
        <f t="shared" si="26"/>
        <v>363.80603846367404</v>
      </c>
      <c r="AS103" s="26">
        <f t="shared" si="26"/>
        <v>366.45757045569059</v>
      </c>
      <c r="AT103" s="26">
        <f t="shared" si="26"/>
        <v>368.66697797332148</v>
      </c>
      <c r="AU103" s="26">
        <f t="shared" si="26"/>
        <v>370.48981343015845</v>
      </c>
      <c r="AV103" s="26">
        <f t="shared" si="26"/>
        <v>371.98424082975208</v>
      </c>
      <c r="AW103" s="26">
        <f t="shared" si="26"/>
        <v>373.21044820575719</v>
      </c>
      <c r="AX103" s="26">
        <f t="shared" si="26"/>
        <v>374.2301499832389</v>
      </c>
      <c r="AY103" s="26">
        <f t="shared" si="26"/>
        <v>375.10618672594251</v>
      </c>
      <c r="AZ103" s="26">
        <f t="shared" si="26"/>
        <v>375.9022276415642</v>
      </c>
      <c r="BA103" s="26">
        <f t="shared" si="26"/>
        <v>376.68257957005238</v>
      </c>
      <c r="BB103" s="26">
        <f t="shared" si="26"/>
        <v>377.51210501726928</v>
      </c>
      <c r="BC103" s="26">
        <f t="shared" si="26"/>
        <v>378.45625114330534</v>
      </c>
      <c r="BD103" s="26">
        <f t="shared" si="26"/>
        <v>379.58119148853871</v>
      </c>
      <c r="BE103" s="26">
        <f t="shared" si="26"/>
        <v>380.95408263424144</v>
      </c>
      <c r="BF103" s="26">
        <f t="shared" si="26"/>
        <v>382.64343896310015</v>
      </c>
      <c r="BG103" s="26">
        <f t="shared" si="26"/>
        <v>384.71963022954316</v>
      </c>
      <c r="BH103" s="26">
        <f t="shared" si="26"/>
        <v>387.25550880374038</v>
      </c>
      <c r="BI103" s="27">
        <f t="shared" si="26"/>
        <v>390.3271762678026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024C-163D-480D-BCC4-5905249A2132}">
  <dimension ref="A1:BM77"/>
  <sheetViews>
    <sheetView tabSelected="1" topLeftCell="A13" zoomScale="90" zoomScaleNormal="90" workbookViewId="0">
      <selection activeCell="U2" sqref="U2:BI2"/>
    </sheetView>
  </sheetViews>
  <sheetFormatPr defaultRowHeight="14.25" x14ac:dyDescent="0.2"/>
  <cols>
    <col min="1" max="1" width="34.25" customWidth="1"/>
    <col min="2" max="60" width="9.875" customWidth="1"/>
    <col min="61" max="61" width="10.75" customWidth="1"/>
    <col min="63" max="63" width="9.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(2001-2022, 当年价) '!B2*B$77</f>
        <v>208489.63213153562</v>
      </c>
      <c r="C2" s="7">
        <f>'增加值 (2001-2022, 当年价) '!C2*C$77</f>
        <v>227462.18865550534</v>
      </c>
      <c r="D2" s="7">
        <f>'增加值 (2001-2022, 当年价) '!D2*D$77</f>
        <v>250208.40752105589</v>
      </c>
      <c r="E2" s="7">
        <f>'增加值 (2001-2022, 当年价) '!E2*E$77</f>
        <v>275479.45668068255</v>
      </c>
      <c r="F2" s="7">
        <f>'增加值 (2001-2022, 当年价) '!F2*F$77</f>
        <v>306884.11474228039</v>
      </c>
      <c r="G2" s="6">
        <f>'增加值 (2001-2022, 当年价) '!G2*G$77</f>
        <v>345858.39731455001</v>
      </c>
      <c r="H2" s="7">
        <f>'增加值 (2001-2022, 当年价) '!H2*H$77</f>
        <v>394970.28973321617</v>
      </c>
      <c r="I2" s="7">
        <f>'增加值 (2001-2022, 当年价) '!I2*I$77</f>
        <v>433282.40783733811</v>
      </c>
      <c r="J2" s="7">
        <f>'增加值 (2001-2022, 当年价) '!J2*J$77</f>
        <v>474010.95417404798</v>
      </c>
      <c r="K2" s="8">
        <f>'增加值 (2001-2022, 当年价) '!K2*K$77</f>
        <v>524256.11531649705</v>
      </c>
      <c r="L2" s="6">
        <f>'增加值 (2001-2022, 当年价) '!L2*L$77</f>
        <v>574584.70238688064</v>
      </c>
      <c r="M2" s="7">
        <f>'增加值 (2001-2022, 当年价) '!M2*M$77</f>
        <v>619976.89387544419</v>
      </c>
      <c r="N2" s="7">
        <f>'增加值 (2001-2022, 当年价) '!N2*N$77</f>
        <v>668335.0915977289</v>
      </c>
      <c r="O2" s="7">
        <f>'增加值 (2001-2022, 当年价) '!O2*O$77</f>
        <v>717791.88837596087</v>
      </c>
      <c r="P2" s="8">
        <f>'增加值 (2001-2022, 当年价) '!P2*P$77</f>
        <v>768037.32056227815</v>
      </c>
      <c r="Q2" s="6">
        <f>'增加值 (2001-2022, 当年价) '!Q2*Q$77</f>
        <v>820263.85836051311</v>
      </c>
      <c r="R2" s="7">
        <f>'增加值 (2001-2022, 当年价) '!R2*R$77</f>
        <v>876862.06458738854</v>
      </c>
      <c r="S2" s="7">
        <f>'增加值 (2001-2022, 当年价) '!S2*S$77</f>
        <v>935611.82291474345</v>
      </c>
      <c r="T2" s="7">
        <f>'增加值 (2001-2022, 当年价) '!T2*T$77</f>
        <v>991748.53228962829</v>
      </c>
      <c r="U2" s="8">
        <f>'增加值 (2001-2022, 当年价) '!U2*U$77</f>
        <v>1013567</v>
      </c>
      <c r="V2" s="6">
        <f>'增加值 (2001-2022, 当年价) '!V2*V$77</f>
        <v>1098706.628</v>
      </c>
      <c r="W2" s="7">
        <f>'增加值 (2001-2022, 当年价) '!W2*W$77</f>
        <v>1131667.8268400002</v>
      </c>
      <c r="X2" s="63">
        <f>VLOOKUP($A2,平滑数据导入!$A$1:$AN$61,COLUMN(平滑数据导入!C$1),0)</f>
        <v>1191674.1762623109</v>
      </c>
      <c r="Y2" s="63">
        <f>VLOOKUP($A2,平滑数据导入!$A$1:$AN$61,COLUMN(平滑数据导入!D$1),0)</f>
        <v>1256332.423992523</v>
      </c>
      <c r="Z2" s="135">
        <f>W2*(1+情景假设!B3)^3</f>
        <v>1325076.0418799622</v>
      </c>
      <c r="AA2" s="65">
        <f>VLOOKUP($A2,平滑数据导入!$A$1:$AN$61,COLUMN(平滑数据导入!F$1),0)</f>
        <v>1397204.5894544099</v>
      </c>
      <c r="AB2" s="63">
        <f>VLOOKUP($A2,平滑数据导入!$A$1:$AN$61,COLUMN(平滑数据导入!G$1),0)</f>
        <v>1471850.339605209</v>
      </c>
      <c r="AC2" s="63">
        <f>VLOOKUP($A2,平滑数据导入!$A$1:$AN$61,COLUMN(平滑数据导入!H$1),0)</f>
        <v>1547952.302774454</v>
      </c>
      <c r="AD2" s="63">
        <f>VLOOKUP($A2,平滑数据导入!$A$1:$AN$61,COLUMN(平滑数据导入!I$1),0)</f>
        <v>1624241.061717781</v>
      </c>
      <c r="AE2" s="135">
        <f>Z2*(1+情景假设!B4)^5</f>
        <v>1699238.6662424763</v>
      </c>
      <c r="AF2" s="65">
        <f>VLOOKUP($A2,平滑数据导入!$A$1:$AN$61,COLUMN(平滑数据导入!K$1),0)</f>
        <v>1771676.014217604</v>
      </c>
      <c r="AG2" s="63">
        <f>VLOOKUP($A2,平滑数据导入!$A$1:$AN$61,COLUMN(平滑数据导入!L$1),0)</f>
        <v>1841829.773893178</v>
      </c>
      <c r="AH2" s="63">
        <f>VLOOKUP($A2,平滑数据导入!$A$1:$AN$61,COLUMN(平滑数据导入!M$1),0)</f>
        <v>1910523.110285053</v>
      </c>
      <c r="AI2" s="63">
        <f>VLOOKUP($A2,平滑数据导入!$A$1:$AN$61,COLUMN(平滑数据导入!N$1),0)</f>
        <v>1978734.0086558459</v>
      </c>
      <c r="AJ2" s="135">
        <f>AE2*(1+情景假设!B5)^5</f>
        <v>2047581.2757680682</v>
      </c>
      <c r="AK2" s="65">
        <f>VLOOKUP($A2,平滑数据导入!$A$1:$AN$61,COLUMN(平滑数据导入!P$1),0)</f>
        <v>2118060.183821274</v>
      </c>
      <c r="AL2" s="63">
        <f>VLOOKUP($A2,平滑数据导入!$A$1:$AN$61,COLUMN(平滑数据导入!Q$1),0)</f>
        <v>2190206.577793723</v>
      </c>
      <c r="AM2" s="63">
        <f>VLOOKUP($A2,平滑数据导入!$A$1:$AN$61,COLUMN(平滑数据导入!R$1),0)</f>
        <v>2263788.685853417</v>
      </c>
      <c r="AN2" s="63">
        <f>VLOOKUP($A2,平滑数据导入!$A$1:$AN$61,COLUMN(平滑数据导入!S$1),0)</f>
        <v>2338553.971938638</v>
      </c>
      <c r="AO2" s="66">
        <f>VLOOKUP($A2,平滑数据导入!$A$1:$AN$61,COLUMN(平滑数据导入!T$1),0)</f>
        <v>2414227.6936783479</v>
      </c>
      <c r="AP2" s="65">
        <f>VLOOKUP($A2,平滑数据导入!$A$1:$AN$61,COLUMN(平滑数据导入!U$1),0)</f>
        <v>2490511.8255606922</v>
      </c>
      <c r="AQ2" s="63">
        <f>VLOOKUP($A2,平滑数据导入!$A$1:$AN$61,COLUMN(平滑数据导入!V$1),0)</f>
        <v>2567084.402598233</v>
      </c>
      <c r="AR2" s="63">
        <f>VLOOKUP($A2,平滑数据导入!$A$1:$AN$61,COLUMN(平滑数据导入!W$1),0)</f>
        <v>2643599.344547499</v>
      </c>
      <c r="AS2" s="63">
        <f>VLOOKUP($A2,平滑数据导入!$A$1:$AN$61,COLUMN(平滑数据导入!X$1),0)</f>
        <v>2719686.8230160158</v>
      </c>
      <c r="AT2" s="66">
        <f>VLOOKUP($A2,平滑数据导入!$A$1:$AN$61,COLUMN(平滑数据导入!Y$1),0)</f>
        <v>2794954.2332804441</v>
      </c>
      <c r="AU2" s="65">
        <f>VLOOKUP($A2,平滑数据导入!$A$1:$AN$61,COLUMN(平滑数据导入!Z$1),0)</f>
        <v>2868987.829056167</v>
      </c>
      <c r="AV2" s="63">
        <f>VLOOKUP($A2,平滑数据导入!$A$1:$AN$61,COLUMN(平滑数据导入!AA$1),0)</f>
        <v>2941355.0715004769</v>
      </c>
      <c r="AW2" s="63">
        <f>VLOOKUP($A2,平滑数据导入!$A$1:$AN$61,COLUMN(平滑数据导入!AB$1),0)</f>
        <v>3011607.7331139469</v>
      </c>
      <c r="AX2" s="63">
        <f>VLOOKUP($A2,平滑数据导入!$A$1:$AN$61,COLUMN(平滑数据导入!AC$1),0)</f>
        <v>3079285.7826968138</v>
      </c>
      <c r="AY2" s="135">
        <f>AJ2*(1+情景假设!B6)^15</f>
        <v>3143922.0589858303</v>
      </c>
      <c r="AZ2" s="65">
        <f>VLOOKUP($A2,平滑数据导入!$A$1:$AN$61,COLUMN(平滑数据导入!AE$1),0)</f>
        <v>3205047.7180551542</v>
      </c>
      <c r="BA2" s="63">
        <f>VLOOKUP($A2,平滑数据导入!$A$1:$AN$61,COLUMN(平滑数据导入!AF$1),0)</f>
        <v>3262198.4132275372</v>
      </c>
      <c r="BB2" s="63">
        <f>VLOOKUP($A2,平滑数据导入!$A$1:$AN$61,COLUMN(平滑数据导入!AG$1),0)</f>
        <v>3314921.1365793021</v>
      </c>
      <c r="BC2" s="63">
        <f>VLOOKUP($A2,平滑数据导入!$A$1:$AN$61,COLUMN(平滑数据导入!AH$1),0)</f>
        <v>3362781.6189114498</v>
      </c>
      <c r="BD2" s="66">
        <f>VLOOKUP($A2,平滑数据导入!$A$1:$AN$61,COLUMN(平滑数据导入!AI$1),0)</f>
        <v>3405372.1514221211</v>
      </c>
      <c r="BE2" s="65">
        <f>VLOOKUP($A2,平滑数据导入!$A$1:$AN$61,COLUMN(平滑数据导入!AJ$1),0)</f>
        <v>3442319.6587412241</v>
      </c>
      <c r="BF2" s="63">
        <f>VLOOKUP($A2,平滑数据导入!$A$1:$AN$61,COLUMN(平滑数据导入!AK$1),0)</f>
        <v>3473293.8213258749</v>
      </c>
      <c r="BG2" s="63">
        <f>VLOOKUP($A2,平滑数据导入!$A$1:$AN$61,COLUMN(平滑数据导入!AL$1),0)</f>
        <v>3498015.01763268</v>
      </c>
      <c r="BH2" s="63">
        <f>VLOOKUP($A2,平滑数据导入!$A$1:$AN$61,COLUMN(平滑数据导入!AM$1),0)</f>
        <v>3516261.835382761</v>
      </c>
      <c r="BI2" s="135">
        <f>AJ2*(1+情景假设!B7)^25</f>
        <v>3527877.8891263264</v>
      </c>
    </row>
    <row r="3" spans="1:65" x14ac:dyDescent="0.2">
      <c r="A3" s="10" t="s">
        <v>1</v>
      </c>
      <c r="B3" s="11">
        <f>'增加值 (2001-2022, 当年价) '!B3*B$77</f>
        <v>29675.93721477779</v>
      </c>
      <c r="C3" s="12">
        <f>'增加值 (2001-2022, 当年价) '!C3*C$77</f>
        <v>30901.469411529</v>
      </c>
      <c r="D3" s="12">
        <f>'增加值 (2001-2022, 当年价) '!D3*D$77</f>
        <v>31645.386093641948</v>
      </c>
      <c r="E3" s="12">
        <f>'增加值 (2001-2022, 当年价) '!E3*E$77</f>
        <v>36444.641091354868</v>
      </c>
      <c r="F3" s="13">
        <f>'增加值 (2001-2022, 当年价) '!F3*F$77</f>
        <v>36724.407910178343</v>
      </c>
      <c r="G3" s="11">
        <f>'增加值 (2001-2022, 当年价) '!G3*G$77</f>
        <v>37883.920921859433</v>
      </c>
      <c r="H3" s="12">
        <f>'增加值 (2001-2022, 当年价) '!H3*H$77</f>
        <v>41653.224626077863</v>
      </c>
      <c r="I3" s="12">
        <f>'增加值 (2001-2022, 当年价) '!I3*I$77</f>
        <v>45368.998120648939</v>
      </c>
      <c r="J3" s="12">
        <f>'增加值 (2001-2022, 当年价) '!J3*J$77</f>
        <v>47139.865402492462</v>
      </c>
      <c r="K3" s="13">
        <f>'增加值 (2001-2022, 当年价) '!K3*K$77</f>
        <v>50399.248549447446</v>
      </c>
      <c r="L3" s="11">
        <f>'增加值 (2001-2022, 当年价) '!L3*L$77</f>
        <v>54312.680927517635</v>
      </c>
      <c r="M3" s="12">
        <f>'增加值 (2001-2022, 当年价) '!M3*M$77</f>
        <v>58225.658703428679</v>
      </c>
      <c r="N3" s="12">
        <f>'增加值 (2001-2022, 当年价) '!N3*N$77</f>
        <v>61644.382254581113</v>
      </c>
      <c r="O3" s="12">
        <f>'增加值 (2001-2022, 当年价) '!O3*O$77</f>
        <v>64101.063232371307</v>
      </c>
      <c r="P3" s="13">
        <f>'增加值 (2001-2022, 当年价) '!P3*P$77</f>
        <v>66732.21068238109</v>
      </c>
      <c r="Q3" s="11">
        <f>'增加值 (2001-2022, 当年价) '!Q3*Q$77</f>
        <v>68631.611084360557</v>
      </c>
      <c r="R3" s="12">
        <f>'增加值 (2001-2022, 当年价) '!R3*R$77</f>
        <v>68143.575410893376</v>
      </c>
      <c r="S3" s="12">
        <f>'增加值 (2001-2022, 当年价) '!S3*S$77</f>
        <v>68758.857830048146</v>
      </c>
      <c r="T3" s="12">
        <f>'增加值 (2001-2022, 当年价) '!T3*T$77</f>
        <v>73967.215695633218</v>
      </c>
      <c r="U3" s="13">
        <f>'增加值 (2001-2022, 当年价) '!U3*U$77</f>
        <v>81396.5</v>
      </c>
      <c r="V3" s="11">
        <f>'增加值 (2001-2022, 当年价) '!V3*V$77</f>
        <v>82959.622466645262</v>
      </c>
      <c r="W3" s="12">
        <f>'增加值 (2001-2022, 当年价) '!W3*W$77</f>
        <v>86574.037414115228</v>
      </c>
      <c r="X3" s="67">
        <f>VLOOKUP($A3,平滑数据导入!$A$1:$AN$61,COLUMN(平滑数据导入!C$1),0)</f>
        <v>89111.560119597198</v>
      </c>
      <c r="Y3" s="67">
        <f>VLOOKUP($A3,平滑数据导入!$A$1:$AN$61,COLUMN(平滑数据导入!D$1),0)</f>
        <v>92551.324691647664</v>
      </c>
      <c r="Z3" s="136">
        <f>Z2*情景假设!B15</f>
        <v>96730.551057237186</v>
      </c>
      <c r="AA3" s="69">
        <f>VLOOKUP($A3,平滑数据导入!$A$1:$AN$61,COLUMN(平滑数据导入!F$1),0)</f>
        <v>101462.9136022615</v>
      </c>
      <c r="AB3" s="67">
        <f>VLOOKUP($A3,平滑数据导入!$A$1:$AN$61,COLUMN(平滑数据导入!G$1),0)</f>
        <v>106523.1144965868</v>
      </c>
      <c r="AC3" s="67">
        <f>VLOOKUP($A3,平滑数据导入!$A$1:$AN$61,COLUMN(平滑数据导入!H$1),0)</f>
        <v>111635.7913534852</v>
      </c>
      <c r="AD3" s="67">
        <f>VLOOKUP($A3,平滑数据导入!$A$1:$AN$61,COLUMN(平滑数据导入!I$1),0)</f>
        <v>116470.607899928</v>
      </c>
      <c r="AE3" s="137">
        <f>AE2*情景假设!B16</f>
        <v>120645.94530321592</v>
      </c>
      <c r="AF3" s="69">
        <f>VLOOKUP($A3,平滑数据导入!$A$1:$AN$61,COLUMN(平滑数据导入!K$1),0)</f>
        <v>123851.0709125006</v>
      </c>
      <c r="AG3" s="67">
        <f>VLOOKUP($A3,平滑数据导入!$A$1:$AN$61,COLUMN(平滑数据导入!L$1),0)</f>
        <v>126209.5796672408</v>
      </c>
      <c r="AH3" s="67">
        <f>VLOOKUP($A3,平滑数据导入!$A$1:$AN$61,COLUMN(平滑数据导入!M$1),0)</f>
        <v>127991.814514005</v>
      </c>
      <c r="AI3" s="67">
        <f>VLOOKUP($A3,平滑数据导入!$A$1:$AN$61,COLUMN(平滑数据导入!N$1),0)</f>
        <v>129497.4438849256</v>
      </c>
      <c r="AJ3" s="136">
        <f>AJ2*情景假设!B17</f>
        <v>131045.20164915625</v>
      </c>
      <c r="AK3" s="69">
        <f>VLOOKUP($A3,平滑数据导入!$A$1:$AN$61,COLUMN(平滑数据导入!P$1),0)</f>
        <v>132907.12596351121</v>
      </c>
      <c r="AL3" s="67">
        <f>VLOOKUP($A3,平滑数据导入!$A$1:$AN$61,COLUMN(平滑数据导入!Q$1),0)</f>
        <v>135116.02418193841</v>
      </c>
      <c r="AM3" s="67">
        <f>VLOOKUP($A3,平滑数据导入!$A$1:$AN$61,COLUMN(平滑数据导入!R$1),0)</f>
        <v>137643.4701399325</v>
      </c>
      <c r="AN3" s="67">
        <f>VLOOKUP($A3,平滑数据导入!$A$1:$AN$61,COLUMN(平滑数据导入!S$1),0)</f>
        <v>140460.18974650069</v>
      </c>
      <c r="AO3" s="70">
        <f>VLOOKUP($A3,平滑数据导入!$A$1:$AN$61,COLUMN(平滑数据导入!T$1),0)</f>
        <v>143535.22280358191</v>
      </c>
      <c r="AP3" s="69">
        <f>VLOOKUP($A3,平滑数据导入!$A$1:$AN$61,COLUMN(平滑数据导入!U$1),0)</f>
        <v>146835.153454691</v>
      </c>
      <c r="AQ3" s="67">
        <f>VLOOKUP($A3,平滑数据导入!$A$1:$AN$61,COLUMN(平滑数据导入!V$1),0)</f>
        <v>150323.41350132329</v>
      </c>
      <c r="AR3" s="67">
        <f>VLOOKUP($A3,平滑数据导入!$A$1:$AN$61,COLUMN(平滑数据导入!W$1),0)</f>
        <v>153959.6686977841</v>
      </c>
      <c r="AS3" s="67">
        <f>VLOOKUP($A3,平滑数据导入!$A$1:$AN$61,COLUMN(平滑数据导入!X$1),0)</f>
        <v>157699.30350689549</v>
      </c>
      <c r="AT3" s="70">
        <f>VLOOKUP($A3,平滑数据导入!$A$1:$AN$61,COLUMN(平滑数据导入!Y$1),0)</f>
        <v>161493.02456152011</v>
      </c>
      <c r="AU3" s="69">
        <f>VLOOKUP($A3,平滑数据导入!$A$1:$AN$61,COLUMN(平滑数据导入!Z$1),0)</f>
        <v>165286.60703834571</v>
      </c>
      <c r="AV3" s="67">
        <f>VLOOKUP($A3,平滑数据导入!$A$1:$AN$61,COLUMN(平滑数据导入!AA$1),0)</f>
        <v>169020.81104583619</v>
      </c>
      <c r="AW3" s="67">
        <f>VLOOKUP($A3,平滑数据导入!$A$1:$AN$61,COLUMN(平滑数据导入!AB$1),0)</f>
        <v>172631.4966335457</v>
      </c>
      <c r="AX3" s="67">
        <f>VLOOKUP($A3,平滑数据导入!$A$1:$AN$61,COLUMN(平滑数据导入!AC$1),0)</f>
        <v>176049.96578237979</v>
      </c>
      <c r="AY3" s="136">
        <f>AY2*情景假设!B18</f>
        <v>179203.55736219214</v>
      </c>
      <c r="AZ3" s="69">
        <f>VLOOKUP($A3,平滑数据导入!$A$1:$AN$61,COLUMN(平滑数据导入!AE$1),0)</f>
        <v>182016.51619867451</v>
      </c>
      <c r="BA3" s="67">
        <f>VLOOKUP($A3,平滑数据导入!$A$1:$AN$61,COLUMN(平滑数据导入!AF$1),0)</f>
        <v>184411.14980257041</v>
      </c>
      <c r="BB3" s="67">
        <f>VLOOKUP($A3,平滑数据导入!$A$1:$AN$61,COLUMN(平滑数据导入!AG$1),0)</f>
        <v>186309.2758318843</v>
      </c>
      <c r="BC3" s="67">
        <f>VLOOKUP($A3,平滑数据导入!$A$1:$AN$61,COLUMN(平滑数据导入!AH$1),0)</f>
        <v>187633.9500126169</v>
      </c>
      <c r="BD3" s="70">
        <f>VLOOKUP($A3,平滑数据导入!$A$1:$AN$61,COLUMN(平滑数据导入!AI$1),0)</f>
        <v>188311.44829975901</v>
      </c>
      <c r="BE3" s="69">
        <f>VLOOKUP($A3,平滑数据导入!$A$1:$AN$61,COLUMN(平滑数据导入!AJ$1),0)</f>
        <v>188273.45906093559</v>
      </c>
      <c r="BF3" s="67">
        <f>VLOOKUP($A3,平滑数据导入!$A$1:$AN$61,COLUMN(平滑数据导入!AK$1),0)</f>
        <v>187459.42186218401</v>
      </c>
      <c r="BG3" s="67">
        <f>VLOOKUP($A3,平滑数据导入!$A$1:$AN$61,COLUMN(平滑数据导入!AL$1),0)</f>
        <v>185818.9301946132</v>
      </c>
      <c r="BH3" s="67">
        <f>VLOOKUP($A3,平滑数据导入!$A$1:$AN$61,COLUMN(平滑数据导入!AM$1),0)</f>
        <v>183314.0976541616</v>
      </c>
      <c r="BI3" s="136">
        <f>BI2*情景假设!B19</f>
        <v>179921.77234544282</v>
      </c>
    </row>
    <row r="4" spans="1:65" x14ac:dyDescent="0.2">
      <c r="A4" s="14" t="s">
        <v>2</v>
      </c>
      <c r="B4" s="11">
        <f>'增加值 (2001-2022, 当年价) '!B4*B$77</f>
        <v>82472.588935236359</v>
      </c>
      <c r="C4" s="12">
        <f>'增加值 (2001-2022, 当年价) '!C4*C$77</f>
        <v>89280.442375518236</v>
      </c>
      <c r="D4" s="12">
        <f>'增加值 (2001-2022, 当年价) '!D4*D$77</f>
        <v>100799.63833201525</v>
      </c>
      <c r="E4" s="12">
        <f>'增加值 (2001-2022, 当年价) '!E4*E$77</f>
        <v>111960.0304202925</v>
      </c>
      <c r="F4" s="13">
        <f>'增加值 (2001-2022, 当年价) '!F4*F$77</f>
        <v>127718.90013401274</v>
      </c>
      <c r="G4" s="11">
        <f>'增加值 (2001-2022, 当年价) '!G4*G$77</f>
        <v>145373.42336474854</v>
      </c>
      <c r="H4" s="12">
        <f>'增加值 (2001-2022, 当年价) '!H4*H$77</f>
        <v>163331.37833449789</v>
      </c>
      <c r="I4" s="12">
        <f>'增加值 (2001-2022, 当年价) '!I4*I$77</f>
        <v>178777.31335147261</v>
      </c>
      <c r="J4" s="12">
        <f>'增加值 (2001-2022, 当年价) '!J4*J$77</f>
        <v>187816.58747999065</v>
      </c>
      <c r="K4" s="13">
        <f>'增加值 (2001-2022, 当年价) '!K4*K$77</f>
        <v>210052.75645915509</v>
      </c>
      <c r="L4" s="11">
        <f>'增加值 (2001-2022, 当年价) '!L4*L$77</f>
        <v>229790.33434331449</v>
      </c>
      <c r="M4" s="12">
        <f>'增加值 (2001-2022, 当年价) '!M4*M$77</f>
        <v>240473.17222739744</v>
      </c>
      <c r="N4" s="12">
        <f>'增加值 (2001-2022, 当年价) '!N4*N$77</f>
        <v>250594.10025312903</v>
      </c>
      <c r="O4" s="12">
        <f>'增加值 (2001-2022, 当年价) '!O4*O$77</f>
        <v>260094.46798668895</v>
      </c>
      <c r="P4" s="13">
        <f>'增加值 (2001-2022, 当年价) '!P4*P$77</f>
        <v>261976.82537780039</v>
      </c>
      <c r="Q4" s="11">
        <f>'增加值 (2001-2022, 当年价) '!Q4*Q$77</f>
        <v>269693.62544095406</v>
      </c>
      <c r="R4" s="12">
        <f>'增加值 (2001-2022, 当年价) '!R4*R$77</f>
        <v>289941.42849585827</v>
      </c>
      <c r="S4" s="12">
        <f>'增加值 (2001-2022, 当年价) '!S4*S$77</f>
        <v>306438.05124800676</v>
      </c>
      <c r="T4" s="12">
        <f>'增加值 (2001-2022, 当年价) '!T4*T$77</f>
        <v>313513.06904014404</v>
      </c>
      <c r="U4" s="13">
        <f>'增加值 (2001-2022, 当年价) '!U4*U$77</f>
        <v>312902.90000000002</v>
      </c>
      <c r="V4" s="11">
        <f>'增加值 (2001-2022, 当年价) '!V4*V$77</f>
        <v>356193.67592506018</v>
      </c>
      <c r="W4" s="12">
        <f>'增加值 (2001-2022, 当年价) '!W4*W$77</f>
        <v>375578.60517081129</v>
      </c>
      <c r="X4" s="67">
        <f>VLOOKUP($A4,平滑数据导入!$A$1:$AN$61,COLUMN(平滑数据导入!C$1),0)</f>
        <v>388611.81259451428</v>
      </c>
      <c r="Y4" s="67">
        <f>VLOOKUP($A4,平滑数据导入!$A$1:$AN$61,COLUMN(平滑数据导入!D$1),0)</f>
        <v>402616.51840908767</v>
      </c>
      <c r="Z4" s="136">
        <f>Z2*情景假设!D15</f>
        <v>417398.95319218811</v>
      </c>
      <c r="AA4" s="69">
        <f>VLOOKUP($A4,平滑数据导入!$A$1:$AN$61,COLUMN(平滑数据导入!F$1),0)</f>
        <v>432743.74337009311</v>
      </c>
      <c r="AB4" s="67">
        <f>VLOOKUP($A4,平滑数据导入!$A$1:$AN$61,COLUMN(平滑数据导入!G$1),0)</f>
        <v>448409.44034544798</v>
      </c>
      <c r="AC4" s="67">
        <f>VLOOKUP($A4,平滑数据导入!$A$1:$AN$61,COLUMN(平滑数据导入!H$1),0)</f>
        <v>464125.56627013063</v>
      </c>
      <c r="AD4" s="67">
        <f>VLOOKUP($A4,平滑数据导入!$A$1:$AN$61,COLUMN(平滑数据导入!I$1),0)</f>
        <v>479591.60408792872</v>
      </c>
      <c r="AE4" s="137">
        <f>AE2*情景假设!D16</f>
        <v>494478.45187656058</v>
      </c>
      <c r="AF4" s="69">
        <f>VLOOKUP($A4,平滑数据导入!$A$1:$AN$61,COLUMN(平滑数据导入!K$1),0)</f>
        <v>508505.37735929393</v>
      </c>
      <c r="AG4" s="67">
        <f>VLOOKUP($A4,平滑数据导入!$A$1:$AN$61,COLUMN(平滑数据导入!L$1),0)</f>
        <v>521674.0624588629</v>
      </c>
      <c r="AH4" s="67">
        <f>VLOOKUP($A4,平滑数据导入!$A$1:$AN$61,COLUMN(平滑数据导入!M$1),0)</f>
        <v>534070.29793654929</v>
      </c>
      <c r="AI4" s="67">
        <f>VLOOKUP($A4,平滑数据导入!$A$1:$AN$61,COLUMN(平滑数据导入!N$1),0)</f>
        <v>545791.14016780478</v>
      </c>
      <c r="AJ4" s="136">
        <f>AJ2*情景假设!D17</f>
        <v>556942.10700891458</v>
      </c>
      <c r="AK4" s="69">
        <f>VLOOKUP($A4,平滑数据导入!$A$1:$AN$61,COLUMN(平滑数据导入!P$1),0)</f>
        <v>567610.38498564973</v>
      </c>
      <c r="AL4" s="67">
        <f>VLOOKUP($A4,平滑数据导入!$A$1:$AN$61,COLUMN(平滑数据导入!Q$1),0)</f>
        <v>577789.78753205342</v>
      </c>
      <c r="AM4" s="67">
        <f>VLOOKUP($A4,平滑数据导入!$A$1:$AN$61,COLUMN(平滑数据导入!R$1),0)</f>
        <v>587454.19191303034</v>
      </c>
      <c r="AN4" s="67">
        <f>VLOOKUP($A4,平滑数据导入!$A$1:$AN$61,COLUMN(平滑数据导入!S$1),0)</f>
        <v>596582.22889453033</v>
      </c>
      <c r="AO4" s="70">
        <f>VLOOKUP($A4,平滑数据导入!$A$1:$AN$61,COLUMN(平滑数据导入!T$1),0)</f>
        <v>605157.36754465138</v>
      </c>
      <c r="AP4" s="69">
        <f>VLOOKUP($A4,平滑数据导入!$A$1:$AN$61,COLUMN(平滑数据导入!U$1),0)</f>
        <v>613167.93820965174</v>
      </c>
      <c r="AQ4" s="67">
        <f>VLOOKUP($A4,平滑数据导入!$A$1:$AN$61,COLUMN(平滑数据导入!V$1),0)</f>
        <v>620607.09946950467</v>
      </c>
      <c r="AR4" s="67">
        <f>VLOOKUP($A4,平滑数据导入!$A$1:$AN$61,COLUMN(平滑数据导入!W$1),0)</f>
        <v>627472.75569731998</v>
      </c>
      <c r="AS4" s="67">
        <f>VLOOKUP($A4,平滑数据导入!$A$1:$AN$61,COLUMN(平滑数据导入!X$1),0)</f>
        <v>633767.43239769747</v>
      </c>
      <c r="AT4" s="70">
        <f>VLOOKUP($A4,平滑数据导入!$A$1:$AN$61,COLUMN(平滑数据导入!Y$1),0)</f>
        <v>639498.11680702714</v>
      </c>
      <c r="AU4" s="69">
        <f>VLOOKUP($A4,平滑数据导入!$A$1:$AN$61,COLUMN(平滑数据导入!Z$1),0)</f>
        <v>644676.07133699872</v>
      </c>
      <c r="AV4" s="67">
        <f>VLOOKUP($A4,平滑数据导入!$A$1:$AN$61,COLUMN(平滑数据导入!AA$1),0)</f>
        <v>649316.62736858602</v>
      </c>
      <c r="AW4" s="67">
        <f>VLOOKUP($A4,平滑数据导入!$A$1:$AN$61,COLUMN(平滑数据导入!AB$1),0)</f>
        <v>653438.96669721475</v>
      </c>
      <c r="AX4" s="67">
        <f>VLOOKUP($A4,平滑数据导入!$A$1:$AN$61,COLUMN(平滑数据导入!AC$1),0)</f>
        <v>657065.89763052308</v>
      </c>
      <c r="AY4" s="136">
        <f>AY2*情景假设!D18</f>
        <v>660223.63238702435</v>
      </c>
      <c r="AZ4" s="69">
        <f>VLOOKUP($A4,平滑数据导入!$A$1:$AN$61,COLUMN(平滑数据导入!AE$1),0)</f>
        <v>662941.57207409921</v>
      </c>
      <c r="BA4" s="67">
        <f>VLOOKUP($A4,平滑数据导入!$A$1:$AN$61,COLUMN(平滑数据导入!AF$1),0)</f>
        <v>665252.10517204867</v>
      </c>
      <c r="BB4" s="67">
        <f>VLOOKUP($A4,平滑数据导入!$A$1:$AN$61,COLUMN(平滑数据导入!AG$1),0)</f>
        <v>667190.42515042285</v>
      </c>
      <c r="BC4" s="67">
        <f>VLOOKUP($A4,平滑数据导入!$A$1:$AN$61,COLUMN(平滑数据导入!AH$1),0)</f>
        <v>668794.3726251059</v>
      </c>
      <c r="BD4" s="70">
        <f>VLOOKUP($A4,平滑数据导入!$A$1:$AN$61,COLUMN(平滑数据导入!AI$1),0)</f>
        <v>670104.30736105843</v>
      </c>
      <c r="BE4" s="69">
        <f>VLOOKUP($A4,平滑数据导入!$A$1:$AN$61,COLUMN(平滑数据导入!AJ$1),0)</f>
        <v>671163.01546858554</v>
      </c>
      <c r="BF4" s="67">
        <f>VLOOKUP($A4,平滑数据导入!$A$1:$AN$61,COLUMN(平滑数据导入!AK$1),0)</f>
        <v>672015.65736594412</v>
      </c>
      <c r="BG4" s="67">
        <f>VLOOKUP($A4,平滑数据导入!$A$1:$AN$61,COLUMN(平滑数据导入!AL$1),0)</f>
        <v>672709.76252883859</v>
      </c>
      <c r="BH4" s="67">
        <f>VLOOKUP($A4,平滑数据导入!$A$1:$AN$61,COLUMN(平滑数据导入!AM$1),0)</f>
        <v>673295.27776718955</v>
      </c>
      <c r="BI4" s="136">
        <f>BI2*情景假设!D19</f>
        <v>673824.67682312836</v>
      </c>
    </row>
    <row r="5" spans="1:65" x14ac:dyDescent="0.2">
      <c r="A5" s="14" t="s">
        <v>3</v>
      </c>
      <c r="B5" s="11">
        <f>'增加值 (2001-2022, 当年价) '!B5*B$77</f>
        <v>11181.133378356233</v>
      </c>
      <c r="C5" s="12">
        <f>'增加值 (2001-2022, 当年价) '!C5*C$77</f>
        <v>12113.57335174635</v>
      </c>
      <c r="D5" s="12">
        <f>'增加值 (2001-2022, 当年价) '!D5*D$77</f>
        <v>13675.141587294222</v>
      </c>
      <c r="E5" s="12">
        <f>'增加值 (2001-2022, 当年价) '!E5*E$77</f>
        <v>14843.769360047083</v>
      </c>
      <c r="F5" s="13">
        <f>'增加值 (2001-2022, 当年价) '!F5*F$77</f>
        <v>17039.114768328702</v>
      </c>
      <c r="G5" s="11">
        <f>'增加值 (2001-2022, 当年价) '!G5*G$77</f>
        <v>19622.680762062624</v>
      </c>
      <c r="H5" s="12">
        <f>'增加值 (2001-2022, 当年价) '!H5*H$77</f>
        <v>22444.194102628626</v>
      </c>
      <c r="I5" s="12">
        <f>'增加值 (2001-2022, 当年价) '!I5*I$77</f>
        <v>25525.888969277854</v>
      </c>
      <c r="J5" s="12">
        <f>'增加值 (2001-2022, 当年价) '!J5*J$77</f>
        <v>30848.589489425267</v>
      </c>
      <c r="K5" s="13">
        <f>'增加值 (2001-2022, 当年价) '!K5*K$77</f>
        <v>34676.499557887699</v>
      </c>
      <c r="L5" s="11">
        <f>'增加值 (2001-2022, 当年价) '!L5*L$77</f>
        <v>38773.323458779632</v>
      </c>
      <c r="M5" s="12">
        <f>'增加值 (2001-2022, 当年价) '!M5*M$77</f>
        <v>42472.296546692742</v>
      </c>
      <c r="N5" s="12">
        <f>'增加值 (2001-2022, 当年价) '!N5*N$77</f>
        <v>46095.215645851218</v>
      </c>
      <c r="O5" s="12">
        <f>'增加值 (2001-2022, 当年价) '!O5*O$77</f>
        <v>50638.347628195064</v>
      </c>
      <c r="P5" s="13">
        <f>'增加值 (2001-2022, 当年价) '!P5*P$77</f>
        <v>53251.105784283529</v>
      </c>
      <c r="Q5" s="11">
        <f>'增加值 (2001-2022, 当年价) '!Q5*Q$77</f>
        <v>56595.610575849489</v>
      </c>
      <c r="R5" s="12">
        <f>'增加值 (2001-2022, 当年价) '!R5*R$77</f>
        <v>61025.280239916909</v>
      </c>
      <c r="S5" s="12">
        <f>'增加值 (2001-2022, 当年价) '!S5*S$77</f>
        <v>66656.46135676594</v>
      </c>
      <c r="T5" s="12">
        <f>'增加值 (2001-2022, 当年价) '!T5*T$77</f>
        <v>71022.878800094404</v>
      </c>
      <c r="U5" s="13">
        <f>'增加值 (2001-2022, 当年价) '!U5*U$77</f>
        <v>72444.7</v>
      </c>
      <c r="V5" s="11">
        <f>'增加值 (2001-2022, 当年价) '!V5*V$77</f>
        <v>76614.920254027675</v>
      </c>
      <c r="W5" s="12">
        <f>'增加值 (2001-2022, 当年价) '!W5*W$77</f>
        <v>77971.748616420751</v>
      </c>
      <c r="X5" s="67">
        <f>VLOOKUP($A5,平滑数据导入!$A$1:$AN$61,COLUMN(平滑数据导入!C$1),0)</f>
        <v>81807.141835478891</v>
      </c>
      <c r="Y5" s="67">
        <f>VLOOKUP($A5,平滑数据导入!$A$1:$AN$61,COLUMN(平滑数据导入!D$1),0)</f>
        <v>85873.041078344395</v>
      </c>
      <c r="Z5" s="136">
        <f>Z2*情景假设!E15</f>
        <v>90105.170847837435</v>
      </c>
      <c r="AA5" s="69">
        <f>VLOOKUP($A5,平滑数据导入!$A$1:$AN$61,COLUMN(平滑数据导入!F$1),0)</f>
        <v>94424.654329831872</v>
      </c>
      <c r="AB5" s="67">
        <f>VLOOKUP($A5,平滑数据导入!$A$1:$AN$61,COLUMN(平滑数据导入!G$1),0)</f>
        <v>98736.898383428284</v>
      </c>
      <c r="AC5" s="67">
        <f>VLOOKUP($A5,平滑数据导入!$A$1:$AN$61,COLUMN(平滑数据导入!H$1),0)</f>
        <v>102931.31364984121</v>
      </c>
      <c r="AD5" s="67">
        <f>VLOOKUP($A5,平滑数据导入!$A$1:$AN$61,COLUMN(平滑数据导入!I$1),0)</f>
        <v>106882.1245940044</v>
      </c>
      <c r="AE5" s="137">
        <f>AE2*情景假设!E16</f>
        <v>110450.51330576096</v>
      </c>
      <c r="AF5" s="69">
        <f>VLOOKUP($A5,平滑数据导入!$A$1:$AN$61,COLUMN(平滑数据导入!K$1),0)</f>
        <v>113529.6728424731</v>
      </c>
      <c r="AG5" s="67">
        <f>VLOOKUP($A5,平滑数据导入!$A$1:$AN$61,COLUMN(平滑数据导入!L$1),0)</f>
        <v>116181.5561526877</v>
      </c>
      <c r="AH5" s="67">
        <f>VLOOKUP($A5,平滑数据导入!$A$1:$AN$61,COLUMN(平滑数据导入!M$1),0)</f>
        <v>118526.8204172016</v>
      </c>
      <c r="AI5" s="67">
        <f>VLOOKUP($A5,平滑数据导入!$A$1:$AN$61,COLUMN(平滑数据导入!N$1),0)</f>
        <v>120701.65048669931</v>
      </c>
      <c r="AJ5" s="136">
        <f>AJ2*情景假设!E17</f>
        <v>122854.87654608408</v>
      </c>
      <c r="AK5" s="69">
        <f>VLOOKUP($A5,平滑数据导入!$A$1:$AN$61,COLUMN(平滑数据导入!P$1),0)</f>
        <v>125116.9428966181</v>
      </c>
      <c r="AL5" s="67">
        <f>VLOOKUP($A5,平滑数据导入!$A$1:$AN$61,COLUMN(平滑数据导入!Q$1),0)</f>
        <v>127506.4095984563</v>
      </c>
      <c r="AM5" s="67">
        <f>VLOOKUP($A5,平滑数据导入!$A$1:$AN$61,COLUMN(平滑数据导入!R$1),0)</f>
        <v>130012.2102490657</v>
      </c>
      <c r="AN5" s="67">
        <f>VLOOKUP($A5,平滑数据导入!$A$1:$AN$61,COLUMN(平滑数据导入!S$1),0)</f>
        <v>132622.3022028876</v>
      </c>
      <c r="AO5" s="70">
        <f>VLOOKUP($A5,平滑数据导入!$A$1:$AN$61,COLUMN(平滑数据导入!T$1),0)</f>
        <v>135323.53815721089</v>
      </c>
      <c r="AP5" s="69">
        <f>VLOOKUP($A5,平滑数据导入!$A$1:$AN$61,COLUMN(平滑数据导入!U$1),0)</f>
        <v>138101.54929673081</v>
      </c>
      <c r="AQ5" s="67">
        <f>VLOOKUP($A5,平滑数据导入!$A$1:$AN$61,COLUMN(平滑数据导入!V$1),0)</f>
        <v>140940.6422440781</v>
      </c>
      <c r="AR5" s="67">
        <f>VLOOKUP($A5,平滑数据导入!$A$1:$AN$61,COLUMN(平滑数据导入!W$1),0)</f>
        <v>143823.71243606039</v>
      </c>
      <c r="AS5" s="67">
        <f>VLOOKUP($A5,平滑数据导入!$A$1:$AN$61,COLUMN(平滑数据导入!X$1),0)</f>
        <v>146732.1768747626</v>
      </c>
      <c r="AT5" s="70">
        <f>VLOOKUP($A5,平滑数据导入!$A$1:$AN$61,COLUMN(平滑数据导入!Y$1),0)</f>
        <v>149645.92947558651</v>
      </c>
      <c r="AU5" s="69">
        <f>VLOOKUP($A5,平滑数据导入!$A$1:$AN$61,COLUMN(平滑数据导入!Z$1),0)</f>
        <v>152543.3224353003</v>
      </c>
      <c r="AV5" s="67">
        <f>VLOOKUP($A5,平滑数据导入!$A$1:$AN$61,COLUMN(平滑数据导入!AA$1),0)</f>
        <v>155401.17715509431</v>
      </c>
      <c r="AW5" s="67">
        <f>VLOOKUP($A5,平滑数据导入!$A$1:$AN$61,COLUMN(平滑数据导入!AB$1),0)</f>
        <v>158194.82825823649</v>
      </c>
      <c r="AX5" s="67">
        <f>VLOOKUP($A5,平滑数据导入!$A$1:$AN$61,COLUMN(平滑数据导入!AC$1),0)</f>
        <v>160898.20412062801</v>
      </c>
      <c r="AY5" s="136">
        <f>AY2*情景假设!E18</f>
        <v>163483.94706726316</v>
      </c>
      <c r="AZ5" s="69">
        <f>VLOOKUP($A5,平滑数据导入!$A$1:$AN$61,COLUMN(平滑数据导入!AE$1),0)</f>
        <v>165923.57596184741</v>
      </c>
      <c r="BA5" s="67">
        <f>VLOOKUP($A5,平滑数据导入!$A$1:$AN$61,COLUMN(平滑数据导入!AF$1),0)</f>
        <v>168187.69331698131</v>
      </c>
      <c r="BB5" s="67">
        <f>VLOOKUP($A5,平滑数据导入!$A$1:$AN$61,COLUMN(平滑数据导入!AG$1),0)</f>
        <v>170246.23826888041</v>
      </c>
      <c r="BC5" s="67">
        <f>VLOOKUP($A5,平滑数据导入!$A$1:$AN$61,COLUMN(平滑数据导入!AH$1),0)</f>
        <v>172068.78578976239</v>
      </c>
      <c r="BD5" s="70">
        <f>VLOOKUP($A5,平滑数据导入!$A$1:$AN$61,COLUMN(平滑数据导入!AI$1),0)</f>
        <v>173624.89135595711</v>
      </c>
      <c r="BE5" s="69">
        <f>VLOOKUP($A5,平滑数据导入!$A$1:$AN$61,COLUMN(平滑数据导入!AJ$1),0)</f>
        <v>174884.47896216839</v>
      </c>
      <c r="BF5" s="67">
        <f>VLOOKUP($A5,平滑数据导入!$A$1:$AN$61,COLUMN(平滑数据导入!AK$1),0)</f>
        <v>175818.26889344011</v>
      </c>
      <c r="BG5" s="67">
        <f>VLOOKUP($A5,平滑数据导入!$A$1:$AN$61,COLUMN(平滑数据导入!AL$1),0)</f>
        <v>176398.2400681375</v>
      </c>
      <c r="BH5" s="67">
        <f>VLOOKUP($A5,平滑数据导入!$A$1:$AN$61,COLUMN(平滑数据导入!AM$1),0)</f>
        <v>176598.1200907125</v>
      </c>
      <c r="BI5" s="136">
        <f>BI2*情景假设!E19</f>
        <v>176393.89445631634</v>
      </c>
      <c r="BM5" s="58"/>
    </row>
    <row r="6" spans="1:65" x14ac:dyDescent="0.2">
      <c r="A6" s="14" t="s">
        <v>4</v>
      </c>
      <c r="B6" s="11">
        <f>'增加值 (2001-2022, 当年价) '!B6*B$77</f>
        <v>12922.19691913198</v>
      </c>
      <c r="C6" s="12">
        <f>'增加值 (2001-2022, 当年价) '!C6*C$77</f>
        <v>14005.145364926902</v>
      </c>
      <c r="D6" s="12">
        <f>'增加值 (2001-2022, 当年价) '!D6*D$77</f>
        <v>14410.716652702284</v>
      </c>
      <c r="E6" s="12">
        <f>'增加值 (2001-2022, 当年价) '!E6*E$77</f>
        <v>15841.240702858573</v>
      </c>
      <c r="F6" s="13">
        <f>'增加值 (2001-2022, 当年价) '!F6*F$77</f>
        <v>17478.670029358709</v>
      </c>
      <c r="G6" s="11">
        <f>'增加值 (2001-2022, 当年价) '!G6*G$77</f>
        <v>19206.903926131014</v>
      </c>
      <c r="H6" s="12">
        <f>'增加值 (2001-2022, 当年价) '!H6*H$77</f>
        <v>21357.812046410043</v>
      </c>
      <c r="I6" s="12">
        <f>'增加值 (2001-2022, 当年价) '!I6*I$77</f>
        <v>22214.293173693201</v>
      </c>
      <c r="J6" s="12">
        <f>'增加值 (2001-2022, 当年价) '!J6*J$77</f>
        <v>22471.738420302012</v>
      </c>
      <c r="K6" s="13">
        <f>'增加值 (2001-2022, 当年价) '!K6*K$77</f>
        <v>23894.578991226455</v>
      </c>
      <c r="L6" s="11">
        <f>'增加值 (2001-2022, 当年价) '!L6*L$77</f>
        <v>25720.526961160911</v>
      </c>
      <c r="M6" s="12">
        <f>'增加值 (2001-2022, 当年价) '!M6*M$77</f>
        <v>27354.589707269035</v>
      </c>
      <c r="N6" s="12">
        <f>'增加值 (2001-2022, 当年价) '!N6*N$77</f>
        <v>29353.002496532965</v>
      </c>
      <c r="O6" s="12">
        <f>'增加值 (2001-2022, 当年价) '!O6*O$77</f>
        <v>31825.567469102905</v>
      </c>
      <c r="P6" s="13">
        <f>'增加值 (2001-2022, 当年价) '!P6*P$77</f>
        <v>34027.489263973992</v>
      </c>
      <c r="Q6" s="11">
        <f>'增加值 (2001-2022, 当年价) '!Q6*Q$77</f>
        <v>36297.463499736106</v>
      </c>
      <c r="R6" s="12">
        <f>'增加值 (2001-2022, 当年价) '!R6*R$77</f>
        <v>39121.852645308427</v>
      </c>
      <c r="S6" s="12">
        <f>'增加值 (2001-2022, 当年价) '!S6*S$77</f>
        <v>41053.77693860625</v>
      </c>
      <c r="T6" s="12">
        <f>'增加值 (2001-2022, 当年价) '!T6*T$77</f>
        <v>42691.5780889854</v>
      </c>
      <c r="U6" s="13">
        <f>'增加值 (2001-2022, 当年价) '!U6*U$77</f>
        <v>40582.9</v>
      </c>
      <c r="V6" s="11">
        <f>'增加值 (2001-2022, 当年价) '!V6*V$77</f>
        <v>44991.98369146973</v>
      </c>
      <c r="W6" s="12">
        <f>'增加值 (2001-2022, 当年价) '!W6*W$77</f>
        <v>46450.003049149032</v>
      </c>
      <c r="X6" s="67">
        <f>VLOOKUP($A6,平滑数据导入!$A$1:$AN$61,COLUMN(平滑数据导入!C$1),0)</f>
        <v>48503.015355213727</v>
      </c>
      <c r="Y6" s="111">
        <f>VLOOKUP($A6,平滑数据导入!$A$1:$AN$61,COLUMN(平滑数据导入!D$1),0)</f>
        <v>50559.100537827333</v>
      </c>
      <c r="Z6" s="137">
        <f t="shared" ref="Z6:BI6" si="0">Z57</f>
        <v>52600.680667394146</v>
      </c>
      <c r="AA6" s="69">
        <f>VLOOKUP($A6,平滑数据导入!$A$1:$AN$61,COLUMN(平滑数据导入!F$1),0)</f>
        <v>54608.296651931669</v>
      </c>
      <c r="AB6" s="67">
        <f>VLOOKUP($A6,平滑数据导入!$A$1:$AN$61,COLUMN(平滑数据导入!G$1),0)</f>
        <v>56560.723203208538</v>
      </c>
      <c r="AC6" s="67">
        <f>VLOOKUP($A6,平滑数据导入!$A$1:$AN$61,COLUMN(平滑数据导入!H$1),0)</f>
        <v>58435.14842817239</v>
      </c>
      <c r="AD6" s="67">
        <f>VLOOKUP($A6,平滑数据导入!$A$1:$AN$61,COLUMN(平滑数据导入!I$1),0)</f>
        <v>60207.423092346507</v>
      </c>
      <c r="AE6" s="137">
        <f>AE57</f>
        <v>61852.382725220763</v>
      </c>
      <c r="AF6" s="69">
        <f>VLOOKUP($A6,平滑数据导入!$A$1:$AN$61,COLUMN(平滑数据导入!K$1),0)</f>
        <v>63352.73236831565</v>
      </c>
      <c r="AG6" s="67">
        <f>VLOOKUP($A6,平滑数据导入!$A$1:$AN$61,COLUMN(平滑数据导入!L$1),0)</f>
        <v>64726.420879482022</v>
      </c>
      <c r="AH6" s="67">
        <f>VLOOKUP($A6,平滑数据导入!$A$1:$AN$61,COLUMN(平滑数据导入!M$1),0)</f>
        <v>66003.682228767997</v>
      </c>
      <c r="AI6" s="67">
        <f>VLOOKUP($A6,平滑数据导入!$A$1:$AN$61,COLUMN(平滑数据导入!N$1),0)</f>
        <v>67218.384282203799</v>
      </c>
      <c r="AJ6" s="137">
        <f t="shared" si="0"/>
        <v>68407.592967370219</v>
      </c>
      <c r="AK6" s="69">
        <f>VLOOKUP($A6,平滑数据导入!$A$1:$AN$61,COLUMN(平滑数据导入!P$1),0)</f>
        <v>69602.321703833921</v>
      </c>
      <c r="AL6" s="67">
        <f>VLOOKUP($A6,平滑数据导入!$A$1:$AN$61,COLUMN(平滑数据导入!Q$1),0)</f>
        <v>70799.226801718949</v>
      </c>
      <c r="AM6" s="67">
        <f>VLOOKUP($A6,平滑数据导入!$A$1:$AN$61,COLUMN(平滑数据导入!R$1),0)</f>
        <v>71985.447134922215</v>
      </c>
      <c r="AN6" s="67">
        <f>VLOOKUP($A6,平滑数据导入!$A$1:$AN$61,COLUMN(平滑数据导入!S$1),0)</f>
        <v>73147.305747964027</v>
      </c>
      <c r="AO6" s="70">
        <f>VLOOKUP($A6,平滑数据导入!$A$1:$AN$61,COLUMN(平滑数据导入!T$1),0)</f>
        <v>74270.343100787562</v>
      </c>
      <c r="AP6" s="69">
        <f>VLOOKUP($A6,平滑数据导入!$A$1:$AN$61,COLUMN(平滑数据导入!U$1),0)</f>
        <v>75339.377364196713</v>
      </c>
      <c r="AQ6" s="67">
        <f>VLOOKUP($A6,平滑数据导入!$A$1:$AN$61,COLUMN(平滑数据导入!V$1),0)</f>
        <v>76338.593869548655</v>
      </c>
      <c r="AR6" s="67">
        <f>VLOOKUP($A6,平滑数据导入!$A$1:$AN$61,COLUMN(平滑数据导入!W$1),0)</f>
        <v>77251.665419157944</v>
      </c>
      <c r="AS6" s="67">
        <f>VLOOKUP($A6,平滑数据导入!$A$1:$AN$61,COLUMN(平滑数据导入!X$1),0)</f>
        <v>78061.90460531904</v>
      </c>
      <c r="AT6" s="70">
        <f>VLOOKUP($A6,平滑数据导入!$A$1:$AN$61,COLUMN(平滑数据导入!Y$1),0)</f>
        <v>78752.448559688884</v>
      </c>
      <c r="AU6" s="69">
        <f>VLOOKUP($A6,平滑数据导入!$A$1:$AN$61,COLUMN(平滑数据导入!Z$1),0)</f>
        <v>79306.475661390054</v>
      </c>
      <c r="AV6" s="67">
        <f>VLOOKUP($A6,平滑数据导入!$A$1:$AN$61,COLUMN(平滑数据导入!AA$1),0)</f>
        <v>79707.452680239352</v>
      </c>
      <c r="AW6" s="67">
        <f>VLOOKUP($A6,平滑数据导入!$A$1:$AN$61,COLUMN(平滑数据导入!AB$1),0)</f>
        <v>79939.409639351696</v>
      </c>
      <c r="AX6" s="67">
        <f>VLOOKUP($A6,平滑数据导入!$A$1:$AN$61,COLUMN(平滑数据导入!AC$1),0)</f>
        <v>79987.238378333597</v>
      </c>
      <c r="AY6" s="137">
        <f>AY57</f>
        <v>79837.009425382028</v>
      </c>
      <c r="AZ6" s="69">
        <f>VLOOKUP($A6,平滑数据导入!$A$1:$AN$61,COLUMN(平滑数据导入!AE$1),0)</f>
        <v>79476.300396593258</v>
      </c>
      <c r="BA6" s="67">
        <f>VLOOKUP($A6,平滑数据导入!$A$1:$AN$61,COLUMN(平滑数据导入!AF$1),0)</f>
        <v>78894.527797572475</v>
      </c>
      <c r="BB6" s="67">
        <f>VLOOKUP($A6,平滑数据导入!$A$1:$AN$61,COLUMN(平滑数据导入!AG$1),0)</f>
        <v>78083.272879361728</v>
      </c>
      <c r="BC6" s="67">
        <f>VLOOKUP($A6,平滑数据导入!$A$1:$AN$61,COLUMN(平滑数据导入!AH$1),0)</f>
        <v>77036.59117799536</v>
      </c>
      <c r="BD6" s="70">
        <f>VLOOKUP($A6,平滑数据导入!$A$1:$AN$61,COLUMN(平滑数据导入!AI$1),0)</f>
        <v>75751.294628032687</v>
      </c>
      <c r="BE6" s="69">
        <f>VLOOKUP($A6,平滑数据导入!$A$1:$AN$61,COLUMN(平滑数据导入!AJ$1),0)</f>
        <v>74227.194767073714</v>
      </c>
      <c r="BF6" s="67">
        <f>VLOOKUP($A6,平滑数据导入!$A$1:$AN$61,COLUMN(平滑数据导入!AK$1),0)</f>
        <v>72467.29561539492</v>
      </c>
      <c r="BG6" s="67">
        <f>VLOOKUP($A6,平滑数据导入!$A$1:$AN$61,COLUMN(平滑数据导入!AL$1),0)</f>
        <v>70477.925384154369</v>
      </c>
      <c r="BH6" s="67">
        <f>VLOOKUP($A6,平滑数据导入!$A$1:$AN$61,COLUMN(平滑数据导入!AM$1),0)</f>
        <v>68268.79727945193</v>
      </c>
      <c r="BI6" s="137">
        <f t="shared" si="0"/>
        <v>65852.991344716065</v>
      </c>
    </row>
    <row r="7" spans="1:65" x14ac:dyDescent="0.2">
      <c r="A7" s="14" t="s">
        <v>5</v>
      </c>
      <c r="B7" s="11">
        <f>'增加值 (2001-2022, 当年价) '!B7*B$77</f>
        <v>17152.616485966111</v>
      </c>
      <c r="C7" s="12">
        <f>'增加值 (2001-2022, 当年价) '!C7*C$77</f>
        <v>18681.749754360146</v>
      </c>
      <c r="D7" s="12">
        <f>'增加值 (2001-2022, 当年价) '!D7*D$77</f>
        <v>20339.742996748846</v>
      </c>
      <c r="E7" s="12">
        <f>'增加值 (2001-2022, 当年价) '!E7*E$77</f>
        <v>21201.883194183185</v>
      </c>
      <c r="F7" s="13">
        <f>'增加值 (2001-2022, 当年价) '!F7*F$77</f>
        <v>22884.560803942069</v>
      </c>
      <c r="G7" s="11">
        <f>'增加值 (2001-2022, 当年价) '!G7*G$77</f>
        <v>26058.395523850108</v>
      </c>
      <c r="H7" s="12">
        <f>'增加值 (2001-2022, 当年价) '!H7*H$77</f>
        <v>30623.280761177761</v>
      </c>
      <c r="I7" s="12">
        <f>'增加值 (2001-2022, 当年价) '!I7*I$77</f>
        <v>35540.208943581521</v>
      </c>
      <c r="J7" s="12">
        <f>'增加值 (2001-2022, 当年价) '!J7*J$77</f>
        <v>39448.493208340893</v>
      </c>
      <c r="K7" s="13">
        <f>'增加值 (2001-2022, 当年价) '!K7*K$77</f>
        <v>45678.365859529622</v>
      </c>
      <c r="L7" s="11">
        <f>'增加值 (2001-2022, 当年价) '!L7*L$77</f>
        <v>51500.521306789298</v>
      </c>
      <c r="M7" s="12">
        <f>'增加值 (2001-2022, 当年价) '!M7*M$77</f>
        <v>57367.259264602661</v>
      </c>
      <c r="N7" s="12">
        <f>'增加值 (2001-2022, 当年价) '!N7*N$77</f>
        <v>63443.814282969681</v>
      </c>
      <c r="O7" s="12">
        <f>'增加值 (2001-2022, 当年价) '!O7*O$77</f>
        <v>70456.495572018976</v>
      </c>
      <c r="P7" s="13">
        <f>'增加值 (2001-2022, 当年价) '!P7*P$77</f>
        <v>75503.463751392177</v>
      </c>
      <c r="Q7" s="11">
        <f>'增加值 (2001-2022, 当年价) '!Q7*Q$77</f>
        <v>81020.819704871668</v>
      </c>
      <c r="R7" s="12">
        <f>'增加值 (2001-2022, 当年价) '!R7*R$77</f>
        <v>85528.934305470306</v>
      </c>
      <c r="S7" s="12">
        <f>'增加值 (2001-2022, 当年价) '!S7*S$77</f>
        <v>90483.044653986115</v>
      </c>
      <c r="T7" s="12">
        <f>'增加值 (2001-2022, 当年价) '!T7*T$77</f>
        <v>96158.315337849839</v>
      </c>
      <c r="U7" s="13">
        <f>'增加值 (2001-2022, 当年价) '!U7*U$77</f>
        <v>96086.1</v>
      </c>
      <c r="V7" s="11">
        <f>'增加值 (2001-2022, 当年价) '!V7*V$77</f>
        <v>105634.48778242921</v>
      </c>
      <c r="W7" s="12">
        <f>'增加值 (2001-2022, 当年价) '!W7*W$77</f>
        <v>107085.79216328831</v>
      </c>
      <c r="X7" s="67">
        <f>VLOOKUP($A7,平滑数据导入!$A$1:$AN$61,COLUMN(平滑数据导入!C$1),0)</f>
        <v>112084.10776768099</v>
      </c>
      <c r="Y7" s="111">
        <f>VLOOKUP($A7,平滑数据导入!$A$1:$AN$61,COLUMN(平滑数据导入!D$1),0)</f>
        <v>117103.200827843</v>
      </c>
      <c r="Z7" s="137">
        <f t="shared" ref="Z7:BI7" si="1">Z58</f>
        <v>122101.50441579989</v>
      </c>
      <c r="AA7" s="69">
        <f>VLOOKUP($A7,平滑数据导入!$A$1:$AN$61,COLUMN(平滑数据导入!F$1),0)</f>
        <v>127032.76943707631</v>
      </c>
      <c r="AB7" s="67">
        <f>VLOOKUP($A7,平滑数据导入!$A$1:$AN$61,COLUMN(平滑数据导入!G$1),0)</f>
        <v>131846.31624844519</v>
      </c>
      <c r="AC7" s="67">
        <f>VLOOKUP($A7,平滑数据导入!$A$1:$AN$61,COLUMN(平滑数据导入!H$1),0)</f>
        <v>136487.4428848197</v>
      </c>
      <c r="AD7" s="67">
        <f>VLOOKUP($A7,平滑数据导入!$A$1:$AN$61,COLUMN(平滑数据导入!I$1),0)</f>
        <v>140898.0029857831</v>
      </c>
      <c r="AE7" s="137">
        <f t="shared" ref="AE7:AE10" si="2">AE58</f>
        <v>145017.16205792045</v>
      </c>
      <c r="AF7" s="69">
        <f>VLOOKUP($A7,平滑数据导入!$A$1:$AN$61,COLUMN(平滑数据导入!K$1),0)</f>
        <v>148802.346925903</v>
      </c>
      <c r="AG7" s="67">
        <f>VLOOKUP($A7,平滑数据导入!$A$1:$AN$61,COLUMN(平滑数据导入!L$1),0)</f>
        <v>152294.0758404629</v>
      </c>
      <c r="AH7" s="67">
        <f>VLOOKUP($A7,平滑数据导入!$A$1:$AN$61,COLUMN(平滑数据导入!M$1),0)</f>
        <v>155562.36389489801</v>
      </c>
      <c r="AI7" s="67">
        <f>VLOOKUP($A7,平滑数据导入!$A$1:$AN$61,COLUMN(平滑数据导入!N$1),0)</f>
        <v>158686.43335774669</v>
      </c>
      <c r="AJ7" s="137">
        <f t="shared" si="1"/>
        <v>161753.71004618829</v>
      </c>
      <c r="AK7" s="69">
        <f>VLOOKUP($A7,平滑数据导入!$A$1:$AN$61,COLUMN(平滑数据导入!P$1),0)</f>
        <v>164837.82799396999</v>
      </c>
      <c r="AL7" s="67">
        <f>VLOOKUP($A7,平滑数据导入!$A$1:$AN$61,COLUMN(平滑数据导入!Q$1),0)</f>
        <v>167931.00542817899</v>
      </c>
      <c r="AM7" s="67">
        <f>VLOOKUP($A7,平滑数据导入!$A$1:$AN$61,COLUMN(平滑数据导入!R$1),0)</f>
        <v>171002.71472185379</v>
      </c>
      <c r="AN7" s="67">
        <f>VLOOKUP($A7,平滑数据导入!$A$1:$AN$61,COLUMN(平滑数据导入!S$1),0)</f>
        <v>174020.32435338359</v>
      </c>
      <c r="AO7" s="70">
        <f>VLOOKUP($A7,平滑数据导入!$A$1:$AN$61,COLUMN(平滑数据导入!T$1),0)</f>
        <v>176949.1718767448</v>
      </c>
      <c r="AP7" s="69">
        <f>VLOOKUP($A7,平滑数据导入!$A$1:$AN$61,COLUMN(平滑数据导入!U$1),0)</f>
        <v>179752.70186935729</v>
      </c>
      <c r="AQ7" s="67">
        <f>VLOOKUP($A7,平滑数据导入!$A$1:$AN$61,COLUMN(平滑数据导入!V$1),0)</f>
        <v>182392.67436644359</v>
      </c>
      <c r="AR7" s="67">
        <f>VLOOKUP($A7,平滑数据导入!$A$1:$AN$61,COLUMN(平滑数据导入!W$1),0)</f>
        <v>184829.44836501879</v>
      </c>
      <c r="AS7" s="67">
        <f>VLOOKUP($A7,平滑数据导入!$A$1:$AN$61,COLUMN(平滑数据导入!X$1),0)</f>
        <v>187022.34366161571</v>
      </c>
      <c r="AT7" s="70">
        <f>VLOOKUP($A7,平滑数据导入!$A$1:$AN$61,COLUMN(平滑数据导入!Y$1),0)</f>
        <v>188930.0825572701</v>
      </c>
      <c r="AU7" s="69">
        <f>VLOOKUP($A7,平滑数据导入!$A$1:$AN$61,COLUMN(平滑数据导入!Z$1),0)</f>
        <v>190511.3108186388</v>
      </c>
      <c r="AV7" s="67">
        <f>VLOOKUP($A7,平滑数据导入!$A$1:$AN$61,COLUMN(平滑数据导入!AA$1),0)</f>
        <v>191725.19474262619</v>
      </c>
      <c r="AW7" s="67">
        <f>VLOOKUP($A7,平滑数据导入!$A$1:$AN$61,COLUMN(平滑数据导入!AB$1),0)</f>
        <v>192532.08827445519</v>
      </c>
      <c r="AX7" s="67">
        <f>VLOOKUP($A7,平滑数据导入!$A$1:$AN$61,COLUMN(平滑数据导入!AC$1),0)</f>
        <v>192894.26094327911</v>
      </c>
      <c r="AY7" s="137">
        <f t="shared" ref="AY7:AY10" si="3">AY58</f>
        <v>192776.67400138066</v>
      </c>
      <c r="AZ7" s="69">
        <f>VLOOKUP($A7,平滑数据导入!$A$1:$AN$61,COLUMN(平滑数据导入!AE$1),0)</f>
        <v>192147.78870826471</v>
      </c>
      <c r="BA7" s="67">
        <f>VLOOKUP($A7,平滑数据导入!$A$1:$AN$61,COLUMN(平滑数据导入!AF$1),0)</f>
        <v>190980.3873427097</v>
      </c>
      <c r="BB7" s="67">
        <f>VLOOKUP($A7,平滑数据导入!$A$1:$AN$61,COLUMN(平滑数据导入!AG$1),0)</f>
        <v>189252.3844316621</v>
      </c>
      <c r="BC7" s="67">
        <f>VLOOKUP($A7,平滑数据导入!$A$1:$AN$61,COLUMN(平滑数据导入!AH$1),0)</f>
        <v>186947.60305033161</v>
      </c>
      <c r="BD7" s="70">
        <f>VLOOKUP($A7,平滑数据导入!$A$1:$AN$61,COLUMN(平滑数据导入!AI$1),0)</f>
        <v>184056.48907796611</v>
      </c>
      <c r="BE7" s="69">
        <f>VLOOKUP($A7,平滑数据导入!$A$1:$AN$61,COLUMN(平滑数据导入!AJ$1),0)</f>
        <v>180576.73519192991</v>
      </c>
      <c r="BF7" s="67">
        <f>VLOOKUP($A7,平滑数据导入!$A$1:$AN$61,COLUMN(平滑数据导入!AK$1),0)</f>
        <v>176513.7863370112</v>
      </c>
      <c r="BG7" s="67">
        <f>VLOOKUP($A7,平滑数据导入!$A$1:$AN$61,COLUMN(平滑数据导入!AL$1),0)</f>
        <v>171881.19957582781</v>
      </c>
      <c r="BH7" s="67">
        <f>VLOOKUP($A7,平滑数据导入!$A$1:$AN$61,COLUMN(平滑数据导入!AM$1),0)</f>
        <v>166700.8337226639</v>
      </c>
      <c r="BI7" s="137">
        <f t="shared" si="1"/>
        <v>161002.84803984195</v>
      </c>
    </row>
    <row r="8" spans="1:65" x14ac:dyDescent="0.2">
      <c r="A8" s="14" t="s">
        <v>6</v>
      </c>
      <c r="B8" s="11">
        <f>'增加值 (2001-2022, 当年价) '!B8*B$77</f>
        <v>4513.6385874010248</v>
      </c>
      <c r="C8" s="12">
        <f>'增加值 (2001-2022, 当年价) '!C8*C$77</f>
        <v>5092.0326235075754</v>
      </c>
      <c r="D8" s="12">
        <f>'增加值 (2001-2022, 当年价) '!D8*D$77</f>
        <v>5691.7851781488607</v>
      </c>
      <c r="E8" s="12">
        <f>'增加值 (2001-2022, 当年价) '!E8*E$77</f>
        <v>6238.1108824838657</v>
      </c>
      <c r="F8" s="13">
        <f>'增加值 (2001-2022, 当年价) '!F8*F$77</f>
        <v>6873.8054741095848</v>
      </c>
      <c r="G8" s="11">
        <f>'增加值 (2001-2022, 当年价) '!G8*G$77</f>
        <v>7553.6469442222424</v>
      </c>
      <c r="H8" s="12">
        <f>'增加值 (2001-2022, 当年价) '!H8*H$77</f>
        <v>8113.2807727908448</v>
      </c>
      <c r="I8" s="12">
        <f>'增加值 (2001-2022, 当年价) '!I8*I$77</f>
        <v>8979.4462881834588</v>
      </c>
      <c r="J8" s="12">
        <f>'增加值 (2001-2022, 当年价) '!J8*J$77</f>
        <v>9462.0566134484743</v>
      </c>
      <c r="K8" s="13">
        <f>'增加值 (2001-2022, 当年价) '!K8*K$77</f>
        <v>9810.4193647830252</v>
      </c>
      <c r="L8" s="11">
        <f>'增加值 (2001-2022, 当年价) '!L8*L$77</f>
        <v>10086.374948865838</v>
      </c>
      <c r="M8" s="12">
        <f>'增加值 (2001-2022, 当年价) '!M8*M$77</f>
        <v>10978.23468974103</v>
      </c>
      <c r="N8" s="12">
        <f>'增加值 (2001-2022, 当年价) '!N8*N$77</f>
        <v>11528.425064808491</v>
      </c>
      <c r="O8" s="12">
        <f>'增加值 (2001-2022, 当年价) '!O8*O$77</f>
        <v>12523.822103857652</v>
      </c>
      <c r="P8" s="13">
        <f>'增加值 (2001-2022, 当年价) '!P8*P$77</f>
        <v>13720.594558606477</v>
      </c>
      <c r="Q8" s="11">
        <f>'增加值 (2001-2022, 当年价) '!Q8*Q$77</f>
        <v>14954.528147087502</v>
      </c>
      <c r="R8" s="12">
        <f>'增加值 (2001-2022, 当年价) '!R8*R$77</f>
        <v>15867.146170529086</v>
      </c>
      <c r="S8" s="12">
        <f>'增加值 (2001-2022, 当年价) '!S8*S$77</f>
        <v>16814.082962921035</v>
      </c>
      <c r="T8" s="12">
        <f>'增加值 (2001-2022, 当年价) '!T8*T$77</f>
        <v>17998.073570923636</v>
      </c>
      <c r="U8" s="13">
        <f>'增加值 (2001-2022, 当年价) '!U8*U$77</f>
        <v>15285.4</v>
      </c>
      <c r="V8" s="11">
        <f>'增加值 (2001-2022, 当年价) '!V8*V$77</f>
        <v>17067.645704961466</v>
      </c>
      <c r="W8" s="12">
        <f>'增加值 (2001-2022, 当年价) '!W8*W$77</f>
        <v>16696.536385320014</v>
      </c>
      <c r="X8" s="67">
        <f>VLOOKUP($A8,平滑数据导入!$A$1:$AN$61,COLUMN(平滑数据导入!C$1),0)</f>
        <v>17540.01664672156</v>
      </c>
      <c r="Y8" s="67">
        <f>VLOOKUP($A8,平滑数据导入!$A$1:$AN$61,COLUMN(平滑数据导入!D$1),0)</f>
        <v>18390.438651230099</v>
      </c>
      <c r="Z8" s="137">
        <f t="shared" ref="Z8:BI8" si="4">Z59</f>
        <v>19241.078714633055</v>
      </c>
      <c r="AA8" s="69">
        <f>VLOOKUP($A8,平滑数据导入!$A$1:$AN$61,COLUMN(平滑数据导入!F$1),0)</f>
        <v>20084.394925590921</v>
      </c>
      <c r="AB8" s="67">
        <f>VLOOKUP($A8,平滑数据导入!$A$1:$AN$61,COLUMN(平滑数据导入!G$1),0)</f>
        <v>20912.06228524998</v>
      </c>
      <c r="AC8" s="67">
        <f>VLOOKUP($A8,平滑数据导入!$A$1:$AN$61,COLUMN(平滑数据导入!H$1),0)</f>
        <v>21715.034177300509</v>
      </c>
      <c r="AD8" s="67">
        <f>VLOOKUP($A8,平滑数据导入!$A$1:$AN$61,COLUMN(平滑数据导入!I$1),0)</f>
        <v>22483.63259750072</v>
      </c>
      <c r="AE8" s="137">
        <f t="shared" si="2"/>
        <v>23207.668847782006</v>
      </c>
      <c r="AF8" s="69">
        <f>VLOOKUP($A8,平滑数据导入!$A$1:$AN$61,COLUMN(平滑数据导入!K$1),0)</f>
        <v>23879.825129653229</v>
      </c>
      <c r="AG8" s="67">
        <f>VLOOKUP($A8,平滑数据导入!$A$1:$AN$61,COLUMN(平滑数据导入!L$1),0)</f>
        <v>24506.191467515819</v>
      </c>
      <c r="AH8" s="67">
        <f>VLOOKUP($A8,平滑数据导入!$A$1:$AN$61,COLUMN(平滑数据导入!M$1),0)</f>
        <v>25097.74907785068</v>
      </c>
      <c r="AI8" s="67">
        <f>VLOOKUP($A8,平滑数据导入!$A$1:$AN$61,COLUMN(平滑数据导入!N$1),0)</f>
        <v>25667.123940963811</v>
      </c>
      <c r="AJ8" s="137">
        <f t="shared" si="4"/>
        <v>26228.43272075371</v>
      </c>
      <c r="AK8" s="69">
        <f>VLOOKUP($A8,平滑数据导入!$A$1:$AN$61,COLUMN(平滑数据导入!P$1),0)</f>
        <v>26793.68744794411</v>
      </c>
      <c r="AL8" s="67">
        <f>VLOOKUP($A8,平滑数据导入!$A$1:$AN$61,COLUMN(平滑数据导入!Q$1),0)</f>
        <v>27361.655960216609</v>
      </c>
      <c r="AM8" s="67">
        <f>VLOOKUP($A8,平滑数据导入!$A$1:$AN$61,COLUMN(平滑数据导入!R$1),0)</f>
        <v>27927.357573026329</v>
      </c>
      <c r="AN8" s="67">
        <f>VLOOKUP($A8,平滑数据导入!$A$1:$AN$61,COLUMN(平滑数据导入!S$1),0)</f>
        <v>28485.426283401848</v>
      </c>
      <c r="AO8" s="70">
        <f>VLOOKUP($A8,平滑数据导入!$A$1:$AN$61,COLUMN(平滑数据导入!T$1),0)</f>
        <v>29030.120792628961</v>
      </c>
      <c r="AP8" s="69">
        <f>VLOOKUP($A8,平滑数据导入!$A$1:$AN$61,COLUMN(平滑数据导入!U$1),0)</f>
        <v>29555.345325564689</v>
      </c>
      <c r="AQ8" s="67">
        <f>VLOOKUP($A8,平滑数据导入!$A$1:$AN$61,COLUMN(平滑数据导入!V$1),0)</f>
        <v>30054.682277072101</v>
      </c>
      <c r="AR8" s="67">
        <f>VLOOKUP($A8,平滑数据导入!$A$1:$AN$61,COLUMN(平滑数据导入!W$1),0)</f>
        <v>30521.437570896462</v>
      </c>
      <c r="AS8" s="67">
        <f>VLOOKUP($A8,平滑数据导入!$A$1:$AN$61,COLUMN(平滑数据导入!X$1),0)</f>
        <v>30948.69940438011</v>
      </c>
      <c r="AT8" s="70">
        <f>VLOOKUP($A8,平滑数据导入!$A$1:$AN$61,COLUMN(平滑数据导入!Y$1),0)</f>
        <v>31329.410769819351</v>
      </c>
      <c r="AU8" s="69">
        <f>VLOOKUP($A8,平滑数据导入!$A$1:$AN$61,COLUMN(平滑数据导入!Z$1),0)</f>
        <v>31656.455788671999</v>
      </c>
      <c r="AV8" s="67">
        <f>VLOOKUP($A8,平滑数据导入!$A$1:$AN$61,COLUMN(平滑数据导入!AA$1),0)</f>
        <v>31922.759470173889</v>
      </c>
      <c r="AW8" s="67">
        <f>VLOOKUP($A8,平滑数据导入!$A$1:$AN$61,COLUMN(平滑数据导入!AB$1),0)</f>
        <v>32121.400017122061</v>
      </c>
      <c r="AX8" s="67">
        <f>VLOOKUP($A8,平滑数据导入!$A$1:$AN$61,COLUMN(平滑数据导入!AC$1),0)</f>
        <v>32245.73225906548</v>
      </c>
      <c r="AY8" s="137">
        <f t="shared" si="3"/>
        <v>32289.520212253399</v>
      </c>
      <c r="AZ8" s="69">
        <f>VLOOKUP($A8,平滑数据导入!$A$1:$AN$61,COLUMN(平滑数据导入!AE$1),0)</f>
        <v>32247.07616686781</v>
      </c>
      <c r="BA8" s="67">
        <f>VLOOKUP($A8,平滑数据导入!$A$1:$AN$61,COLUMN(平滑数据导入!AF$1),0)</f>
        <v>32113.403110657149</v>
      </c>
      <c r="BB8" s="67">
        <f>VLOOKUP($A8,平滑数据导入!$A$1:$AN$61,COLUMN(平滑数据导入!AG$1),0)</f>
        <v>31884.33674383767</v>
      </c>
      <c r="BC8" s="67">
        <f>VLOOKUP($A8,平滑数据导入!$A$1:$AN$61,COLUMN(平滑数据导入!AH$1),0)</f>
        <v>31556.682856232579</v>
      </c>
      <c r="BD8" s="70">
        <f>VLOOKUP($A8,平滑数据导入!$A$1:$AN$61,COLUMN(平滑数据导入!AI$1),0)</f>
        <v>31128.3454592948</v>
      </c>
      <c r="BE8" s="69">
        <f>VLOOKUP($A8,平滑数据导入!$A$1:$AN$61,COLUMN(平滑数据导入!AJ$1),0)</f>
        <v>30598.440828356939</v>
      </c>
      <c r="BF8" s="67">
        <f>VLOOKUP($A8,平滑数据导入!$A$1:$AN$61,COLUMN(平滑数据导入!AK$1),0)</f>
        <v>29967.392547593099</v>
      </c>
      <c r="BG8" s="67">
        <f>VLOOKUP($A8,平滑数据导入!$A$1:$AN$61,COLUMN(平滑数据导入!AL$1),0)</f>
        <v>29237.002790693448</v>
      </c>
      <c r="BH8" s="67">
        <f>VLOOKUP($A8,平滑数据导入!$A$1:$AN$61,COLUMN(平滑数据导入!AM$1),0)</f>
        <v>28410.49543587791</v>
      </c>
      <c r="BI8" s="137">
        <f t="shared" si="4"/>
        <v>27492.527216567025</v>
      </c>
    </row>
    <row r="9" spans="1:65" x14ac:dyDescent="0.2">
      <c r="A9" s="14" t="s">
        <v>7</v>
      </c>
      <c r="B9" s="11">
        <f>'增加值 (2001-2022, 当年价) '!B9*B$77</f>
        <v>9784.408500699994</v>
      </c>
      <c r="C9" s="12">
        <f>'增加值 (2001-2022, 当年价) '!C9*C$77</f>
        <v>10382.528937787503</v>
      </c>
      <c r="D9" s="12">
        <f>'增加值 (2001-2022, 当年价) '!D9*D$77</f>
        <v>11007.589536974048</v>
      </c>
      <c r="E9" s="12">
        <f>'增加值 (2001-2022, 当年价) '!E9*E$77</f>
        <v>11234.659311987014</v>
      </c>
      <c r="F9" s="13">
        <f>'增加值 (2001-2022, 当年价) '!F9*F$77</f>
        <v>12264.296250729163</v>
      </c>
      <c r="G9" s="11">
        <f>'增加值 (2001-2022, 当年价) '!G9*G$77</f>
        <v>15717.404628357772</v>
      </c>
      <c r="H9" s="12">
        <f>'增加值 (2001-2022, 当年价) '!H9*H$77</f>
        <v>22227.765856134683</v>
      </c>
      <c r="I9" s="12">
        <f>'增加值 (2001-2022, 当年价) '!I9*I$77</f>
        <v>24898.85730634338</v>
      </c>
      <c r="J9" s="12">
        <f>'增加值 (2001-2022, 当年价) '!J9*J$77</f>
        <v>29699.732335281249</v>
      </c>
      <c r="K9" s="13">
        <f>'增加值 (2001-2022, 当年价) '!K9*K$77</f>
        <v>32735.023671667281</v>
      </c>
      <c r="L9" s="11">
        <f>'增加值 (2001-2022, 当年价) '!L9*L$77</f>
        <v>36207.040865314841</v>
      </c>
      <c r="M9" s="12">
        <f>'增加值 (2001-2022, 当年价) '!M9*M$77</f>
        <v>40602.972624593269</v>
      </c>
      <c r="N9" s="12">
        <f>'增加值 (2001-2022, 当年价) '!N9*N$77</f>
        <v>46542.227698753755</v>
      </c>
      <c r="O9" s="12">
        <f>'增加值 (2001-2022, 当年价) '!O9*O$77</f>
        <v>52257.487203405923</v>
      </c>
      <c r="P9" s="13">
        <f>'增加值 (2001-2022, 当年价) '!P9*P$77</f>
        <v>62771.042778023329</v>
      </c>
      <c r="Q9" s="11">
        <f>'增加值 (2001-2022, 当年价) '!Q9*Q$77</f>
        <v>65898.479240726272</v>
      </c>
      <c r="R9" s="12">
        <f>'增加值 (2001-2022, 当年价) '!R9*R$77</f>
        <v>68337.804624444689</v>
      </c>
      <c r="S9" s="12">
        <f>'增加值 (2001-2022, 当年价) '!S9*S$77</f>
        <v>71864.668488840805</v>
      </c>
      <c r="T9" s="12">
        <f>'增加值 (2001-2022, 当年价) '!T9*T$77</f>
        <v>76655.099319507237</v>
      </c>
      <c r="U9" s="13">
        <f>'增加值 (2001-2022, 当年价) '!U9*U$77</f>
        <v>83617.7</v>
      </c>
      <c r="V9" s="11">
        <f>'增加值 (2001-2022, 当年价) '!V9*V$77</f>
        <v>87195.415071666503</v>
      </c>
      <c r="W9" s="12">
        <f>'增加值 (2001-2022, 当年价) '!W9*W$77</f>
        <v>90528.212015436089</v>
      </c>
      <c r="X9" s="67">
        <f>VLOOKUP($A9,平滑数据导入!$A$1:$AN$61,COLUMN(平滑数据导入!C$1),0)</f>
        <v>95168.114376113517</v>
      </c>
      <c r="Y9" s="67">
        <f>VLOOKUP($A9,平滑数据导入!$A$1:$AN$61,COLUMN(平滑数据导入!D$1),0)</f>
        <v>100177.17703334409</v>
      </c>
      <c r="Z9" s="137">
        <f t="shared" ref="Z9:BI9" si="5">Z60</f>
        <v>105499.81743345509</v>
      </c>
      <c r="AA9" s="69">
        <f>VLOOKUP($A9,平滑数据导入!$A$1:$AN$61,COLUMN(平滑数据导入!F$1),0)</f>
        <v>111064.6908227651</v>
      </c>
      <c r="AB9" s="67">
        <f>VLOOKUP($A9,平滑数据导入!$A$1:$AN$61,COLUMN(平滑数据导入!G$1),0)</f>
        <v>116782.4256965422</v>
      </c>
      <c r="AC9" s="67">
        <f>VLOOKUP($A9,平滑数据导入!$A$1:$AN$61,COLUMN(平滑数据导入!H$1),0)</f>
        <v>122543.96789372699</v>
      </c>
      <c r="AD9" s="67">
        <f>VLOOKUP($A9,平滑数据导入!$A$1:$AN$61,COLUMN(平滑数据导入!I$1),0)</f>
        <v>128219.8140600636</v>
      </c>
      <c r="AE9" s="137">
        <f t="shared" si="2"/>
        <v>133660.4428577816</v>
      </c>
      <c r="AF9" s="69">
        <f>VLOOKUP($A9,平滑数据导入!$A$1:$AN$61,COLUMN(平滑数据导入!K$1),0)</f>
        <v>138731.72800529079</v>
      </c>
      <c r="AG9" s="67">
        <f>VLOOKUP($A9,平滑数据导入!$A$1:$AN$61,COLUMN(平滑数据导入!L$1),0)</f>
        <v>143427.9103873616</v>
      </c>
      <c r="AH9" s="67">
        <f>VLOOKUP($A9,平滑数据导入!$A$1:$AN$61,COLUMN(平滑数据导入!M$1),0)</f>
        <v>147788.67581253091</v>
      </c>
      <c r="AI9" s="67">
        <f>VLOOKUP($A9,平滑数据导入!$A$1:$AN$61,COLUMN(平滑数据导入!N$1),0)</f>
        <v>151866.81737280919</v>
      </c>
      <c r="AJ9" s="137">
        <f t="shared" si="5"/>
        <v>155726.8534152217</v>
      </c>
      <c r="AK9" s="69">
        <f>VLOOKUP($A9,平滑数据导入!$A$1:$AN$61,COLUMN(平滑数据导入!P$1),0)</f>
        <v>159426.34395992191</v>
      </c>
      <c r="AL9" s="67">
        <f>VLOOKUP($A9,平滑数据导入!$A$1:$AN$61,COLUMN(平滑数据导入!Q$1),0)</f>
        <v>162959.42228412969</v>
      </c>
      <c r="AM9" s="67">
        <f>VLOOKUP($A9,平滑数据导入!$A$1:$AN$61,COLUMN(平滑数据导入!R$1),0)</f>
        <v>166303.33924518459</v>
      </c>
      <c r="AN9" s="67">
        <f>VLOOKUP($A9,平滑数据导入!$A$1:$AN$61,COLUMN(平滑数据导入!S$1),0)</f>
        <v>169435.2855684846</v>
      </c>
      <c r="AO9" s="70">
        <f>VLOOKUP($A9,平滑数据导入!$A$1:$AN$61,COLUMN(平滑数据导入!T$1),0)</f>
        <v>172332.59861354801</v>
      </c>
      <c r="AP9" s="69">
        <f>VLOOKUP($A9,平滑数据导入!$A$1:$AN$61,COLUMN(平滑数据导入!U$1),0)</f>
        <v>174972.98288638101</v>
      </c>
      <c r="AQ9" s="67">
        <f>VLOOKUP($A9,平滑数据导入!$A$1:$AN$61,COLUMN(平滑数据导入!V$1),0)</f>
        <v>177334.7421322513</v>
      </c>
      <c r="AR9" s="67">
        <f>VLOOKUP($A9,平滑数据导入!$A$1:$AN$61,COLUMN(平滑数据导入!W$1),0)</f>
        <v>179397.0204375569</v>
      </c>
      <c r="AS9" s="67">
        <f>VLOOKUP($A9,平滑数据导入!$A$1:$AN$61,COLUMN(平滑数据导入!X$1),0)</f>
        <v>181140.04937923251</v>
      </c>
      <c r="AT9" s="70">
        <f>VLOOKUP($A9,平滑数据导入!$A$1:$AN$61,COLUMN(平滑数据导入!Y$1),0)</f>
        <v>182545.39789607559</v>
      </c>
      <c r="AU9" s="69">
        <f>VLOOKUP($A9,平滑数据导入!$A$1:$AN$61,COLUMN(平滑数据导入!Z$1),0)</f>
        <v>183596.22123038719</v>
      </c>
      <c r="AV9" s="67">
        <f>VLOOKUP($A9,平滑数据导入!$A$1:$AN$61,COLUMN(平滑数据导入!AA$1),0)</f>
        <v>184277.505012115</v>
      </c>
      <c r="AW9" s="67">
        <f>VLOOKUP($A9,平滑数据导入!$A$1:$AN$61,COLUMN(平滑数据导入!AB$1),0)</f>
        <v>184576.3003431815</v>
      </c>
      <c r="AX9" s="67">
        <f>VLOOKUP($A9,平滑数据导入!$A$1:$AN$61,COLUMN(平滑数据导入!AC$1),0)</f>
        <v>184481.94559793751</v>
      </c>
      <c r="AY9" s="137">
        <f t="shared" si="3"/>
        <v>183986.27059701772</v>
      </c>
      <c r="AZ9" s="69">
        <f>VLOOKUP($A9,平滑数据导入!$A$1:$AN$61,COLUMN(平滑数据导入!AE$1),0)</f>
        <v>183083.7788451098</v>
      </c>
      <c r="BA9" s="67">
        <f>VLOOKUP($A9,平滑数据导入!$A$1:$AN$61,COLUMN(平滑数据导入!AF$1),0)</f>
        <v>181771.803655233</v>
      </c>
      <c r="BB9" s="67">
        <f>VLOOKUP($A9,平滑数据导入!$A$1:$AN$61,COLUMN(平滑数据导入!AG$1),0)</f>
        <v>180050.63421787519</v>
      </c>
      <c r="BC9" s="67">
        <f>VLOOKUP($A9,平滑数据导入!$A$1:$AN$61,COLUMN(平滑数据导入!AH$1),0)</f>
        <v>177923.60801483801</v>
      </c>
      <c r="BD9" s="70">
        <f>VLOOKUP($A9,平滑数据导入!$A$1:$AN$61,COLUMN(平滑数据导入!AI$1),0)</f>
        <v>175397.16642411411</v>
      </c>
      <c r="BE9" s="69">
        <f>VLOOKUP($A9,平滑数据导入!$A$1:$AN$61,COLUMN(平滑数据导入!AJ$1),0)</f>
        <v>172480.87090954481</v>
      </c>
      <c r="BF9" s="67">
        <f>VLOOKUP($A9,平滑数据导入!$A$1:$AN$61,COLUMN(平滑数据导入!AK$1),0)</f>
        <v>169187.37783009111</v>
      </c>
      <c r="BG9" s="67">
        <f>VLOOKUP($A9,平滑数据导入!$A$1:$AN$61,COLUMN(平滑数据导入!AL$1),0)</f>
        <v>165532.37062757349</v>
      </c>
      <c r="BH9" s="67">
        <f>VLOOKUP($A9,平滑数据导入!$A$1:$AN$61,COLUMN(平滑数据导入!AM$1),0)</f>
        <v>161534.44894476471</v>
      </c>
      <c r="BI9" s="137">
        <f t="shared" si="5"/>
        <v>157214.97507064807</v>
      </c>
    </row>
    <row r="10" spans="1:65" x14ac:dyDescent="0.2">
      <c r="A10" s="14" t="s">
        <v>8</v>
      </c>
      <c r="B10" s="11">
        <f>'增加值 (2001-2022, 当年价) '!B10*B$77</f>
        <v>8849.7481207415294</v>
      </c>
      <c r="C10" s="12">
        <f>'增加值 (2001-2022, 当年价) '!C10*C$77</f>
        <v>9968.9694766959637</v>
      </c>
      <c r="D10" s="12">
        <f>'增加值 (2001-2022, 当年价) '!D10*D$77</f>
        <v>11210.23682603325</v>
      </c>
      <c r="E10" s="12">
        <f>'增加值 (2001-2022, 当年价) '!E10*E$77</f>
        <v>12174.086673928416</v>
      </c>
      <c r="F10" s="13">
        <f>'增加值 (2001-2022, 当年价) '!F10*F$77</f>
        <v>13897.18752418652</v>
      </c>
      <c r="G10" s="11">
        <f>'增加值 (2001-2022, 当年价) '!G10*G$77</f>
        <v>16266.835276597949</v>
      </c>
      <c r="H10" s="12">
        <f>'增加值 (2001-2022, 当年价) '!H10*H$77</f>
        <v>20054.709273094148</v>
      </c>
      <c r="I10" s="12">
        <f>'增加值 (2001-2022, 当年价) '!I10*I$77</f>
        <v>19815.693481260099</v>
      </c>
      <c r="J10" s="12">
        <f>'增加值 (2001-2022, 当年价) '!J10*J$77</f>
        <v>25515.727051401482</v>
      </c>
      <c r="K10" s="13">
        <f>'增加值 (2001-2022, 当年价) '!K10*K$77</f>
        <v>29673.719962985957</v>
      </c>
      <c r="L10" s="11">
        <f>'增加值 (2001-2022, 当年价) '!L10*L$77</f>
        <v>32713.773617339204</v>
      </c>
      <c r="M10" s="12">
        <f>'增加值 (2001-2022, 当年价) '!M10*M$77</f>
        <v>35399.508787493542</v>
      </c>
      <c r="N10" s="12">
        <f>'增加值 (2001-2022, 当年价) '!N10*N$77</f>
        <v>39832.538462927179</v>
      </c>
      <c r="O10" s="12">
        <f>'增加值 (2001-2022, 当年价) '!O10*O$77</f>
        <v>42479.298420686639</v>
      </c>
      <c r="P10" s="13">
        <f>'增加值 (2001-2022, 当年价) '!P10*P$77</f>
        <v>47467.341287589115</v>
      </c>
      <c r="Q10" s="11">
        <f>'增加值 (2001-2022, 当年价) '!Q10*Q$77</f>
        <v>54914.739986851237</v>
      </c>
      <c r="R10" s="12">
        <f>'增加值 (2001-2022, 当年价) '!R10*R$77</f>
        <v>60161.524062886783</v>
      </c>
      <c r="S10" s="12">
        <f>'增加值 (2001-2022, 当年价) '!S10*S$77</f>
        <v>65771.006096197845</v>
      </c>
      <c r="T10" s="12">
        <f>'增加值 (2001-2022, 当年价) '!T10*T$77</f>
        <v>70818.500320559091</v>
      </c>
      <c r="U10" s="13">
        <f>'增加值 (2001-2022, 当年价) '!U10*U$77</f>
        <v>73425.3</v>
      </c>
      <c r="V10" s="11">
        <f>'增加值 (2001-2022, 当年价) '!V10*V$77</f>
        <v>74150.558181630418</v>
      </c>
      <c r="W10" s="12">
        <f>'增加值 (2001-2022, 当年价) '!W10*W$77</f>
        <v>69030.48514791824</v>
      </c>
      <c r="X10" s="67">
        <f>VLOOKUP($A10,平滑数据导入!$A$1:$AN$61,COLUMN(平滑数据导入!C$1),0)</f>
        <v>72919.080434416785</v>
      </c>
      <c r="Y10" s="67">
        <f>VLOOKUP($A10,平滑数据导入!$A$1:$AN$61,COLUMN(平滑数据导入!D$1),0)</f>
        <v>76843.649232344003</v>
      </c>
      <c r="Z10" s="137">
        <f t="shared" ref="Z10:BI10" si="6">Z61</f>
        <v>80767.160069239122</v>
      </c>
      <c r="AA10" s="69">
        <f>VLOOKUP($A10,平滑数据导入!$A$1:$AN$61,COLUMN(平滑数据导入!F$1),0)</f>
        <v>84647.701879922883</v>
      </c>
      <c r="AB10" s="67">
        <f>VLOOKUP($A10,平滑数据导入!$A$1:$AN$61,COLUMN(平滑数据导入!G$1),0)</f>
        <v>88438.741273105348</v>
      </c>
      <c r="AC10" s="67">
        <f>VLOOKUP($A10,平滑数据导入!$A$1:$AN$61,COLUMN(平滑数据导入!H$1),0)</f>
        <v>92089.570836288956</v>
      </c>
      <c r="AD10" s="67">
        <f>VLOOKUP($A10,平滑数据导入!$A$1:$AN$61,COLUMN(平滑数据导入!I$1),0)</f>
        <v>95545.965760798194</v>
      </c>
      <c r="AE10" s="137">
        <f t="shared" si="2"/>
        <v>98751.05932930579</v>
      </c>
      <c r="AF10" s="69">
        <f>VLOOKUP($A10,平滑数据导入!$A$1:$AN$61,COLUMN(平滑数据导入!K$1),0)</f>
        <v>101667.1483709998</v>
      </c>
      <c r="AG10" s="67">
        <f>VLOOKUP($A10,平滑数据导入!$A$1:$AN$61,COLUMN(平滑数据导入!L$1),0)</f>
        <v>104343.36900573601</v>
      </c>
      <c r="AH10" s="67">
        <f>VLOOKUP($A10,平滑数据导入!$A$1:$AN$61,COLUMN(平滑数据导入!M$1),0)</f>
        <v>106860.8778524177</v>
      </c>
      <c r="AI10" s="67">
        <f>VLOOKUP($A10,平滑数据导入!$A$1:$AN$61,COLUMN(平滑数据导入!N$1),0)</f>
        <v>109311.6945030996</v>
      </c>
      <c r="AJ10" s="137">
        <f t="shared" si="6"/>
        <v>111797.69734948852</v>
      </c>
      <c r="AK10" s="69">
        <f>VLOOKUP($A10,平滑数据导入!$A$1:$AN$61,COLUMN(平滑数据导入!P$1),0)</f>
        <v>114407.6609854148</v>
      </c>
      <c r="AL10" s="67">
        <f>VLOOKUP($A10,平滑数据导入!$A$1:$AN$61,COLUMN(平滑数据导入!Q$1),0)</f>
        <v>117145.1707446503</v>
      </c>
      <c r="AM10" s="67">
        <f>VLOOKUP($A10,平滑数据导入!$A$1:$AN$61,COLUMN(平滑数据导入!R$1),0)</f>
        <v>119990.0026631053</v>
      </c>
      <c r="AN10" s="67">
        <f>VLOOKUP($A10,平滑数据导入!$A$1:$AN$61,COLUMN(平滑数据导入!S$1),0)</f>
        <v>122919.6972366196</v>
      </c>
      <c r="AO10" s="70">
        <f>VLOOKUP($A10,平滑数据导入!$A$1:$AN$61,COLUMN(平滑数据导入!T$1),0)</f>
        <v>125909.3557626105</v>
      </c>
      <c r="AP10" s="69">
        <f>VLOOKUP($A10,平滑数据导入!$A$1:$AN$61,COLUMN(平滑数据导入!U$1),0)</f>
        <v>128931.4830126078</v>
      </c>
      <c r="AQ10" s="67">
        <f>VLOOKUP($A10,平滑数据导入!$A$1:$AN$61,COLUMN(平滑数据导入!V$1),0)</f>
        <v>131955.8857242901</v>
      </c>
      <c r="AR10" s="67">
        <f>VLOOKUP($A10,平滑数据导入!$A$1:$AN$61,COLUMN(平滑数据导入!W$1),0)</f>
        <v>134949.63719228719</v>
      </c>
      <c r="AS10" s="67">
        <f>VLOOKUP($A10,平滑数据导入!$A$1:$AN$61,COLUMN(平滑数据导入!X$1),0)</f>
        <v>137877.11864905449</v>
      </c>
      <c r="AT10" s="70">
        <f>VLOOKUP($A10,平滑数据导入!$A$1:$AN$61,COLUMN(平滑数据导入!Y$1),0)</f>
        <v>140700.14806690099</v>
      </c>
      <c r="AU10" s="69">
        <f>VLOOKUP($A10,平滑数据导入!$A$1:$AN$61,COLUMN(平滑数据导入!Z$1),0)</f>
        <v>143378.20638426169</v>
      </c>
      <c r="AV10" s="67">
        <f>VLOOKUP($A10,平滑数据导入!$A$1:$AN$61,COLUMN(平滑数据导入!AA$1),0)</f>
        <v>145868.76987321029</v>
      </c>
      <c r="AW10" s="67">
        <f>VLOOKUP($A10,平滑数据导入!$A$1:$AN$61,COLUMN(平滑数据导入!AB$1),0)</f>
        <v>148127.75534400609</v>
      </c>
      <c r="AX10" s="67">
        <f>VLOOKUP($A10,平滑数据导入!$A$1:$AN$61,COLUMN(平滑数据导入!AC$1),0)</f>
        <v>150110.08207223081</v>
      </c>
      <c r="AY10" s="137">
        <f t="shared" si="3"/>
        <v>151770.35071433356</v>
      </c>
      <c r="AZ10" s="69">
        <f>VLOOKUP($A10,平滑数据导入!$A$1:$AN$61,COLUMN(平滑数据导入!AE$1),0)</f>
        <v>153063.6350717294</v>
      </c>
      <c r="BA10" s="67">
        <f>VLOOKUP($A10,平滑数据导入!$A$1:$AN$61,COLUMN(平滑数据导入!AF$1),0)</f>
        <v>153946.37744965561</v>
      </c>
      <c r="BB10" s="67">
        <f>VLOOKUP($A10,平滑数据导入!$A$1:$AN$61,COLUMN(平滑数据导入!AG$1),0)</f>
        <v>154377.37267477359</v>
      </c>
      <c r="BC10" s="67">
        <f>VLOOKUP($A10,平滑数据导入!$A$1:$AN$61,COLUMN(平滑数据导入!AH$1),0)</f>
        <v>154318.81979248681</v>
      </c>
      <c r="BD10" s="70">
        <f>VLOOKUP($A10,平滑数据导入!$A$1:$AN$61,COLUMN(平滑数据导入!AI$1),0)</f>
        <v>153737.41433740311</v>
      </c>
      <c r="BE10" s="69">
        <f>VLOOKUP($A10,平滑数据导入!$A$1:$AN$61,COLUMN(平滑数据导入!AJ$1),0)</f>
        <v>152605.44819858501</v>
      </c>
      <c r="BF10" s="67">
        <f>VLOOKUP($A10,平滑数据导入!$A$1:$AN$61,COLUMN(平滑数据导入!AK$1),0)</f>
        <v>150901.87887894319</v>
      </c>
      <c r="BG10" s="67">
        <f>VLOOKUP($A10,平滑数据导入!$A$1:$AN$61,COLUMN(平滑数据导入!AL$1),0)</f>
        <v>148613.3258040573</v>
      </c>
      <c r="BH10" s="67">
        <f>VLOOKUP($A10,平滑数据导入!$A$1:$AN$61,COLUMN(平滑数据导入!AM$1),0)</f>
        <v>145734.94870856919</v>
      </c>
      <c r="BI10" s="137">
        <f t="shared" si="6"/>
        <v>142271.16243467634</v>
      </c>
    </row>
    <row r="11" spans="1:65" x14ac:dyDescent="0.2">
      <c r="A11" s="15" t="s">
        <v>9</v>
      </c>
      <c r="B11" s="16">
        <f>'增加值 (2001-2022, 当年价) '!B11*B$77</f>
        <v>31937.552049663198</v>
      </c>
      <c r="C11" s="17">
        <f>'增加值 (2001-2022, 当年价) '!C11*C$77</f>
        <v>37036.464236731954</v>
      </c>
      <c r="D11" s="17">
        <f>'增加值 (2001-2022, 当年价) '!D11*D$77</f>
        <v>41428.534463569165</v>
      </c>
      <c r="E11" s="17">
        <f>'增加值 (2001-2022, 当年价) '!E11*E$77</f>
        <v>45540.864826594312</v>
      </c>
      <c r="F11" s="18">
        <f>'增加值 (2001-2022, 当年价) '!F11*F$77</f>
        <v>52003.008017669003</v>
      </c>
      <c r="G11" s="16">
        <f>'增加值 (2001-2022, 当年价) '!G11*G$77</f>
        <v>58175.343577348067</v>
      </c>
      <c r="H11" s="17">
        <f>'增加值 (2001-2022, 当年价) '!H11*H$77</f>
        <v>65164.643960404319</v>
      </c>
      <c r="I11" s="17">
        <f>'增加值 (2001-2022, 当年价) '!I11*I$77</f>
        <v>72161.979645155414</v>
      </c>
      <c r="J11" s="17">
        <f>'增加值 (2001-2022, 当年价) '!J11*J$77</f>
        <v>81608.164173365454</v>
      </c>
      <c r="K11" s="18">
        <f>'增加值 (2001-2022, 当年价) '!K11*K$77</f>
        <v>87335.50289981447</v>
      </c>
      <c r="L11" s="16">
        <f>'增加值 (2001-2022, 当年价) '!L11*L$77</f>
        <v>95480.12595779878</v>
      </c>
      <c r="M11" s="17">
        <f>'增加值 (2001-2022, 当年价) '!M11*M$77</f>
        <v>107103.2013242258</v>
      </c>
      <c r="N11" s="17">
        <f>'增加值 (2001-2022, 当年价) '!N11*N$77</f>
        <v>119301.61086028998</v>
      </c>
      <c r="O11" s="17">
        <f>'增加值 (2001-2022, 当年价) '!O11*O$77</f>
        <v>133415.33875963348</v>
      </c>
      <c r="P11" s="18">
        <f>'增加值 (2001-2022, 当年价) '!P11*P$77</f>
        <v>152587.13558397276</v>
      </c>
      <c r="Q11" s="16">
        <f>'增加值 (2001-2022, 当年价) '!Q11*Q$77</f>
        <v>172256.87078333952</v>
      </c>
      <c r="R11" s="17">
        <f>'增加值 (2001-2022, 当年价) '!R11*R$77</f>
        <v>188734.62401960831</v>
      </c>
      <c r="S11" s="17">
        <f>'增加值 (2001-2022, 当年价) '!S11*S$77</f>
        <v>207771.77156290377</v>
      </c>
      <c r="T11" s="17">
        <f>'增加值 (2001-2022, 当年价) '!T11*T$77</f>
        <v>228923.80211593144</v>
      </c>
      <c r="U11" s="18">
        <f>'增加值 (2001-2022, 当年价) '!U11*U$77</f>
        <v>237825.3</v>
      </c>
      <c r="V11" s="16">
        <f>'增加值 (2001-2022, 当年价) '!V11*V$77</f>
        <v>248575.80545442237</v>
      </c>
      <c r="W11" s="17">
        <f>'增加值 (2001-2022, 当年价) '!W11*W$77</f>
        <v>261752.40687754125</v>
      </c>
      <c r="X11" s="72">
        <f>VLOOKUP($A11,平滑数据导入!$A$1:$AN$61,COLUMN(平滑数据导入!C$1),0)</f>
        <v>285929.3271325744</v>
      </c>
      <c r="Y11" s="72">
        <f>VLOOKUP($A11,平滑数据导入!$A$1:$AN$61,COLUMN(平滑数据导入!D$1),0)</f>
        <v>312217.97353085497</v>
      </c>
      <c r="Z11" s="138">
        <f t="shared" ref="Z11:BI11" si="7">SUM(Z62:Z70)</f>
        <v>340631.12548217806</v>
      </c>
      <c r="AA11" s="74">
        <f>VLOOKUP($A11,平滑数据导入!$A$1:$AN$61,COLUMN(平滑数据导入!F$1),0)</f>
        <v>371135.42443493637</v>
      </c>
      <c r="AB11" s="72">
        <f>VLOOKUP($A11,平滑数据导入!$A$1:$AN$61,COLUMN(平滑数据导入!G$1),0)</f>
        <v>403640.61767319503</v>
      </c>
      <c r="AC11" s="72">
        <f>VLOOKUP($A11,平滑数据导入!$A$1:$AN$61,COLUMN(平滑数据导入!H$1),0)</f>
        <v>437988.46728068829</v>
      </c>
      <c r="AD11" s="72">
        <f>VLOOKUP($A11,平滑数据导入!$A$1:$AN$61,COLUMN(平滑数据导入!I$1),0)</f>
        <v>473941.88663942798</v>
      </c>
      <c r="AE11" s="138">
        <f>SUM(AE62:AE70)</f>
        <v>511175.03993892809</v>
      </c>
      <c r="AF11" s="74">
        <f>VLOOKUP($A11,平滑数据导入!$A$1:$AN$61,COLUMN(平滑数据导入!K$1),0)</f>
        <v>549356.11230317387</v>
      </c>
      <c r="AG11" s="72">
        <f>VLOOKUP($A11,平滑数据导入!$A$1:$AN$61,COLUMN(平滑数据导入!L$1),0)</f>
        <v>588466.60803382762</v>
      </c>
      <c r="AH11" s="72">
        <f>VLOOKUP($A11,平滑数据导入!$A$1:$AN$61,COLUMN(平滑数据导入!M$1),0)</f>
        <v>628620.828550832</v>
      </c>
      <c r="AI11" s="72">
        <f>VLOOKUP($A11,平滑数据导入!$A$1:$AN$61,COLUMN(平滑数据导入!N$1),0)</f>
        <v>669993.32065959275</v>
      </c>
      <c r="AJ11" s="138">
        <f t="shared" si="7"/>
        <v>712824.8040648906</v>
      </c>
      <c r="AK11" s="74">
        <f>VLOOKUP($A11,平滑数据导入!$A$1:$AN$61,COLUMN(平滑数据导入!P$1),0)</f>
        <v>757357.88788441033</v>
      </c>
      <c r="AL11" s="72">
        <f>VLOOKUP($A11,平滑数据导入!$A$1:$AN$61,COLUMN(平滑数据导入!Q$1),0)</f>
        <v>803597.87526238069</v>
      </c>
      <c r="AM11" s="72">
        <f>VLOOKUP($A11,平滑数据导入!$A$1:$AN$61,COLUMN(平滑数据导入!R$1),0)</f>
        <v>851469.9522132962</v>
      </c>
      <c r="AN11" s="72">
        <f>VLOOKUP($A11,平滑数据导入!$A$1:$AN$61,COLUMN(平滑数据导入!S$1),0)</f>
        <v>900881.21190486592</v>
      </c>
      <c r="AO11" s="75">
        <f>VLOOKUP($A11,平滑数据导入!$A$1:$AN$61,COLUMN(平滑数据导入!T$1),0)</f>
        <v>951719.97502658423</v>
      </c>
      <c r="AP11" s="74">
        <f>VLOOKUP($A11,平滑数据导入!$A$1:$AN$61,COLUMN(平滑数据导入!U$1),0)</f>
        <v>1003855.294141511</v>
      </c>
      <c r="AQ11" s="72">
        <f>VLOOKUP($A11,平滑数据导入!$A$1:$AN$61,COLUMN(平滑数据导入!V$1),0)</f>
        <v>1057136.6690137209</v>
      </c>
      <c r="AR11" s="72">
        <f>VLOOKUP($A11,平滑数据导入!$A$1:$AN$61,COLUMN(平滑数据导入!W$1),0)</f>
        <v>1111393.998731416</v>
      </c>
      <c r="AS11" s="72">
        <f>VLOOKUP($A11,平滑数据导入!$A$1:$AN$61,COLUMN(平滑数据导入!X$1),0)</f>
        <v>1166437.7945370581</v>
      </c>
      <c r="AT11" s="75">
        <f>VLOOKUP($A11,平滑数据导入!$A$1:$AN$61,COLUMN(平滑数据导入!Y$1),0)</f>
        <v>1222059.674586555</v>
      </c>
      <c r="AU11" s="74">
        <f>VLOOKUP($A11,平滑数据导入!$A$1:$AN$61,COLUMN(平滑数据导入!Z$1),0)</f>
        <v>1278033.1583621721</v>
      </c>
      <c r="AV11" s="72">
        <f>VLOOKUP($A11,平滑数据导入!$A$1:$AN$61,COLUMN(平滑数据导入!AA$1),0)</f>
        <v>1334114.774152596</v>
      </c>
      <c r="AW11" s="72">
        <f>VLOOKUP($A11,平滑数据导入!$A$1:$AN$61,COLUMN(平滑数据导入!AB$1),0)</f>
        <v>1390045.4879068341</v>
      </c>
      <c r="AX11" s="72">
        <f>VLOOKUP($A11,平滑数据导入!$A$1:$AN$61,COLUMN(平滑数据导入!AC$1),0)</f>
        <v>1445552.4559124371</v>
      </c>
      <c r="AY11" s="138">
        <f>SUM(AY62:AY70)</f>
        <v>1500351.0972189831</v>
      </c>
      <c r="AZ11" s="74">
        <f>VLOOKUP($A11,平滑数据导入!$A$1:$AN$61,COLUMN(平滑数据导入!AE$1),0)</f>
        <v>1554147.474631968</v>
      </c>
      <c r="BA11" s="72">
        <f>VLOOKUP($A11,平滑数据导入!$A$1:$AN$61,COLUMN(平滑数据导入!AF$1),0)</f>
        <v>1606640.965580109</v>
      </c>
      <c r="BB11" s="72">
        <f>VLOOKUP($A11,平滑数据导入!$A$1:$AN$61,COLUMN(平滑数据导入!AG$1),0)</f>
        <v>1657527.1963806041</v>
      </c>
      <c r="BC11" s="72">
        <f>VLOOKUP($A11,平滑数据导入!$A$1:$AN$61,COLUMN(平滑数据导入!AH$1),0)</f>
        <v>1706501.20559208</v>
      </c>
      <c r="BD11" s="75">
        <f>VLOOKUP($A11,平滑数据导入!$A$1:$AN$61,COLUMN(平滑数据导入!AI$1),0)</f>
        <v>1753260.7944785359</v>
      </c>
      <c r="BE11" s="74">
        <f>VLOOKUP($A11,平滑数据导入!$A$1:$AN$61,COLUMN(平滑数据导入!AJ$1),0)</f>
        <v>1797510.015354044</v>
      </c>
      <c r="BF11" s="72">
        <f>VLOOKUP($A11,平滑数据导入!$A$1:$AN$61,COLUMN(平滑数据导入!AK$1),0)</f>
        <v>1838962.7419952729</v>
      </c>
      <c r="BG11" s="72">
        <f>VLOOKUP($A11,平滑数据导入!$A$1:$AN$61,COLUMN(平滑数据导入!AL$1),0)</f>
        <v>1877346.260658785</v>
      </c>
      <c r="BH11" s="72">
        <f>VLOOKUP($A11,平滑数据导入!$A$1:$AN$61,COLUMN(平滑数据导入!AM$1),0)</f>
        <v>1912404.81577937</v>
      </c>
      <c r="BI11" s="138">
        <f t="shared" si="7"/>
        <v>1943903.0413949902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5" s="9" customFormat="1" x14ac:dyDescent="0.2">
      <c r="A13" s="4" t="s">
        <v>2</v>
      </c>
      <c r="B13" s="6">
        <f>B4</f>
        <v>82472.588935236359</v>
      </c>
      <c r="C13" s="7">
        <f t="shared" ref="C13:BI13" si="8">C4</f>
        <v>89280.442375518236</v>
      </c>
      <c r="D13" s="7">
        <f t="shared" si="8"/>
        <v>100799.63833201525</v>
      </c>
      <c r="E13" s="7">
        <f t="shared" si="8"/>
        <v>111960.0304202925</v>
      </c>
      <c r="F13" s="8">
        <f t="shared" si="8"/>
        <v>127718.90013401274</v>
      </c>
      <c r="G13" s="6">
        <f t="shared" si="8"/>
        <v>145373.42336474854</v>
      </c>
      <c r="H13" s="7">
        <f t="shared" si="8"/>
        <v>163331.37833449789</v>
      </c>
      <c r="I13" s="7">
        <f t="shared" si="8"/>
        <v>178777.31335147261</v>
      </c>
      <c r="J13" s="7">
        <f t="shared" si="8"/>
        <v>187816.58747999065</v>
      </c>
      <c r="K13" s="8">
        <f t="shared" si="8"/>
        <v>210052.75645915509</v>
      </c>
      <c r="L13" s="6">
        <f t="shared" si="8"/>
        <v>229790.33434331449</v>
      </c>
      <c r="M13" s="39">
        <f t="shared" si="8"/>
        <v>240473.17222739744</v>
      </c>
      <c r="N13" s="39">
        <f t="shared" si="8"/>
        <v>250594.10025312903</v>
      </c>
      <c r="O13" s="39">
        <f t="shared" si="8"/>
        <v>260094.46798668895</v>
      </c>
      <c r="P13" s="40">
        <f t="shared" si="8"/>
        <v>261976.82537780039</v>
      </c>
      <c r="Q13" s="38">
        <f t="shared" si="8"/>
        <v>269693.62544095406</v>
      </c>
      <c r="R13" s="39">
        <f t="shared" si="8"/>
        <v>289941.42849585827</v>
      </c>
      <c r="S13" s="39">
        <f t="shared" si="8"/>
        <v>306438.05124800676</v>
      </c>
      <c r="T13" s="39">
        <f t="shared" si="8"/>
        <v>313513.06904014404</v>
      </c>
      <c r="U13" s="40">
        <f t="shared" si="8"/>
        <v>312902.90000000002</v>
      </c>
      <c r="V13" s="38">
        <f t="shared" si="8"/>
        <v>356193.67592506018</v>
      </c>
      <c r="W13" s="39">
        <f t="shared" si="8"/>
        <v>375578.60517081129</v>
      </c>
      <c r="X13" s="81">
        <f>VLOOKUP($A13,平滑数据导入!$A$1:$AN$61,COLUMN(平滑数据导入!C$1),0)</f>
        <v>388611.81259451428</v>
      </c>
      <c r="Y13" s="81">
        <f>VLOOKUP($A13,平滑数据导入!$A$1:$AN$61,COLUMN(平滑数据导入!D$1),0)</f>
        <v>402616.51840908767</v>
      </c>
      <c r="Z13" s="139">
        <f>Z4</f>
        <v>417398.95319218811</v>
      </c>
      <c r="AA13" s="83">
        <f>VLOOKUP($A13,平滑数据导入!$A$1:$AN$61,COLUMN(平滑数据导入!F$1),0)</f>
        <v>432743.74337009311</v>
      </c>
      <c r="AB13" s="81">
        <f>VLOOKUP($A13,平滑数据导入!$A$1:$AN$61,COLUMN(平滑数据导入!G$1),0)</f>
        <v>448409.44034544798</v>
      </c>
      <c r="AC13" s="81">
        <f>VLOOKUP($A13,平滑数据导入!$A$1:$AN$61,COLUMN(平滑数据导入!H$1),0)</f>
        <v>464125.56627013063</v>
      </c>
      <c r="AD13" s="81">
        <f>VLOOKUP($A13,平滑数据导入!$A$1:$AN$61,COLUMN(平滑数据导入!I$1),0)</f>
        <v>479591.60408792872</v>
      </c>
      <c r="AE13" s="139">
        <f>AE4</f>
        <v>494478.45187656058</v>
      </c>
      <c r="AF13" s="83">
        <f>VLOOKUP($A13,平滑数据导入!$A$1:$AN$61,COLUMN(平滑数据导入!K$1),0)</f>
        <v>508505.37735929393</v>
      </c>
      <c r="AG13" s="81">
        <f>VLOOKUP($A13,平滑数据导入!$A$1:$AN$61,COLUMN(平滑数据导入!L$1),0)</f>
        <v>521674.0624588629</v>
      </c>
      <c r="AH13" s="81">
        <f>VLOOKUP($A13,平滑数据导入!$A$1:$AN$61,COLUMN(平滑数据导入!M$1),0)</f>
        <v>534070.29793654929</v>
      </c>
      <c r="AI13" s="81">
        <f>VLOOKUP($A13,平滑数据导入!$A$1:$AN$61,COLUMN(平滑数据导入!N$1),0)</f>
        <v>545791.14016780478</v>
      </c>
      <c r="AJ13" s="139">
        <f t="shared" si="8"/>
        <v>556942.10700891458</v>
      </c>
      <c r="AK13" s="83">
        <f>VLOOKUP($A13,平滑数据导入!$A$1:$AN$61,COLUMN(平滑数据导入!P$1),0)</f>
        <v>567610.38498564973</v>
      </c>
      <c r="AL13" s="81">
        <f>VLOOKUP($A13,平滑数据导入!$A$1:$AN$61,COLUMN(平滑数据导入!Q$1),0)</f>
        <v>577789.78753205342</v>
      </c>
      <c r="AM13" s="81">
        <f>VLOOKUP($A13,平滑数据导入!$A$1:$AN$61,COLUMN(平滑数据导入!R$1),0)</f>
        <v>587454.19191303034</v>
      </c>
      <c r="AN13" s="81">
        <f>VLOOKUP($A13,平滑数据导入!$A$1:$AN$61,COLUMN(平滑数据导入!S$1),0)</f>
        <v>596582.22889453033</v>
      </c>
      <c r="AO13" s="84">
        <f>VLOOKUP($A13,平滑数据导入!$A$1:$AN$61,COLUMN(平滑数据导入!T$1),0)</f>
        <v>605157.36754465138</v>
      </c>
      <c r="AP13" s="83">
        <f>VLOOKUP($A13,平滑数据导入!$A$1:$AN$61,COLUMN(平滑数据导入!U$1),0)</f>
        <v>613167.93820965174</v>
      </c>
      <c r="AQ13" s="81">
        <f>VLOOKUP($A13,平滑数据导入!$A$1:$AN$61,COLUMN(平滑数据导入!V$1),0)</f>
        <v>620607.09946950467</v>
      </c>
      <c r="AR13" s="81">
        <f>VLOOKUP($A13,平滑数据导入!$A$1:$AN$61,COLUMN(平滑数据导入!W$1),0)</f>
        <v>627472.75569731998</v>
      </c>
      <c r="AS13" s="81">
        <f>VLOOKUP($A13,平滑数据导入!$A$1:$AN$61,COLUMN(平滑数据导入!X$1),0)</f>
        <v>633767.43239769747</v>
      </c>
      <c r="AT13" s="84">
        <f>VLOOKUP($A13,平滑数据导入!$A$1:$AN$61,COLUMN(平滑数据导入!Y$1),0)</f>
        <v>639498.11680702714</v>
      </c>
      <c r="AU13" s="83">
        <f>VLOOKUP($A13,平滑数据导入!$A$1:$AN$61,COLUMN(平滑数据导入!Z$1),0)</f>
        <v>644676.07133699872</v>
      </c>
      <c r="AV13" s="81">
        <f>VLOOKUP($A13,平滑数据导入!$A$1:$AN$61,COLUMN(平滑数据导入!AA$1),0)</f>
        <v>649316.62736858602</v>
      </c>
      <c r="AW13" s="81">
        <f>VLOOKUP($A13,平滑数据导入!$A$1:$AN$61,COLUMN(平滑数据导入!AB$1),0)</f>
        <v>653438.96669721475</v>
      </c>
      <c r="AX13" s="81">
        <f>VLOOKUP($A13,平滑数据导入!$A$1:$AN$61,COLUMN(平滑数据导入!AC$1),0)</f>
        <v>657065.89763052308</v>
      </c>
      <c r="AY13" s="139">
        <f>AY4</f>
        <v>660223.63238702435</v>
      </c>
      <c r="AZ13" s="83">
        <f>VLOOKUP($A13,平滑数据导入!$A$1:$AN$61,COLUMN(平滑数据导入!AE$1),0)</f>
        <v>662941.57207409921</v>
      </c>
      <c r="BA13" s="81">
        <f>VLOOKUP($A13,平滑数据导入!$A$1:$AN$61,COLUMN(平滑数据导入!AF$1),0)</f>
        <v>665252.10517204867</v>
      </c>
      <c r="BB13" s="81">
        <f>VLOOKUP($A13,平滑数据导入!$A$1:$AN$61,COLUMN(平滑数据导入!AG$1),0)</f>
        <v>667190.42515042285</v>
      </c>
      <c r="BC13" s="81">
        <f>VLOOKUP($A13,平滑数据导入!$A$1:$AN$61,COLUMN(平滑数据导入!AH$1),0)</f>
        <v>668794.3726251059</v>
      </c>
      <c r="BD13" s="84">
        <f>VLOOKUP($A13,平滑数据导入!$A$1:$AN$61,COLUMN(平滑数据导入!AI$1),0)</f>
        <v>670104.30736105843</v>
      </c>
      <c r="BE13" s="83">
        <f>VLOOKUP($A13,平滑数据导入!$A$1:$AN$61,COLUMN(平滑数据导入!AJ$1),0)</f>
        <v>671163.01546858554</v>
      </c>
      <c r="BF13" s="81">
        <f>VLOOKUP($A13,平滑数据导入!$A$1:$AN$61,COLUMN(平滑数据导入!AK$1),0)</f>
        <v>672015.65736594412</v>
      </c>
      <c r="BG13" s="81">
        <f>VLOOKUP($A13,平滑数据导入!$A$1:$AN$61,COLUMN(平滑数据导入!AL$1),0)</f>
        <v>672709.76252883859</v>
      </c>
      <c r="BH13" s="81">
        <f>VLOOKUP($A13,平滑数据导入!$A$1:$AN$61,COLUMN(平滑数据导入!AM$1),0)</f>
        <v>673295.27776718955</v>
      </c>
      <c r="BI13" s="139">
        <f t="shared" si="8"/>
        <v>673824.67682312836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(2001-2022, 当年价) '!I14*I$77</f>
        <v>11675.691302555673</v>
      </c>
      <c r="J14" s="23">
        <f>'增加值 (2001-2022, 当年价) '!J14*J$77</f>
        <v>11986.509173068849</v>
      </c>
      <c r="K14" s="24">
        <f>'增加值 (2001-2022, 当年价) '!K14*K$77</f>
        <v>13642.402547215563</v>
      </c>
      <c r="L14" s="22">
        <f>'增加值 (2001-2022, 当年价) '!L14*L$77</f>
        <v>15284.767301525537</v>
      </c>
      <c r="M14" s="23">
        <f>'增加值 (2001-2022, 当年价) '!M14*M$77</f>
        <v>15977.00058411059</v>
      </c>
      <c r="N14" s="23">
        <f>'增加值 (2001-2022, 当年价) '!N14*N$77</f>
        <v>16042.647349483059</v>
      </c>
      <c r="O14" s="23">
        <f>'增加值 (2001-2022, 当年价) '!O14*O$77</f>
        <v>15765.052945342293</v>
      </c>
      <c r="P14" s="23">
        <f>'增加值 (2001-2022, 当年价) '!P14*P$77</f>
        <v>15240.595553465613</v>
      </c>
      <c r="Q14" s="22">
        <f>'增加值 (2001-2022, 当年价) '!Q14*Q$77</f>
        <v>14649.973762874</v>
      </c>
      <c r="R14" s="23">
        <f>'增加值 (2001-2022, 当年价) '!R14*R$77</f>
        <v>14517.447248030725</v>
      </c>
      <c r="S14" s="23">
        <f>'增加值 (2001-2022, 当年价) '!S14*S$77</f>
        <v>14773.011258582617</v>
      </c>
      <c r="T14" s="23">
        <f>'增加值 (2001-2022, 当年价) '!T14*T$77</f>
        <v>15027.04880806837</v>
      </c>
      <c r="U14" s="24">
        <f>'增加值 (2001-2022, 当年价) '!U14*U$77</f>
        <v>14783.756200003678</v>
      </c>
      <c r="V14" s="23">
        <f>'增加值 (2001-2022, 当年价) '!V14*V$77</f>
        <v>16423.99901838032</v>
      </c>
      <c r="W14" s="23">
        <f>'增加值 (2001-2022, 当年价) '!W14*W$77</f>
        <v>18002.06128553487</v>
      </c>
      <c r="X14" s="98">
        <f>VLOOKUP($A14,平滑数据导入!$A$1:$AN$61,COLUMN(平滑数据导入!C$1),0)</f>
        <v>18184.610571809899</v>
      </c>
      <c r="Y14" s="98">
        <f>VLOOKUP($A14,平滑数据导入!$A$1:$AN$61,COLUMN(平滑数据导入!D$1),0)</f>
        <v>18449.30048851814</v>
      </c>
      <c r="Z14" s="140">
        <f>VLOOKUP(A14,情景假设!$B$48:$S$88,14,0)/情景假设!O$47*Z$13</f>
        <v>18773.814142046449</v>
      </c>
      <c r="AA14" s="100">
        <f>VLOOKUP($A14,平滑数据导入!$A$1:$AN$61,COLUMN(平滑数据导入!F$1),0)</f>
        <v>19134.821448357401</v>
      </c>
      <c r="AB14" s="98">
        <f>VLOOKUP($A14,平滑数据导入!$A$1:$AN$61,COLUMN(平滑数据导入!G$1),0)</f>
        <v>19507.345873573089</v>
      </c>
      <c r="AC14" s="98">
        <f>VLOOKUP($A14,平滑数据导入!$A$1:$AN$61,COLUMN(平滑数据导入!H$1),0)</f>
        <v>19864.443581813379</v>
      </c>
      <c r="AD14" s="98">
        <f>VLOOKUP($A14,平滑数据导入!$A$1:$AN$61,COLUMN(平滑数据导入!I$1),0)</f>
        <v>20177.23513970133</v>
      </c>
      <c r="AE14" s="132">
        <f>VLOOKUP(A14,情景假设!$B$48:$S$88,15,0)/情景假设!P$47*AE$13</f>
        <v>20415.335237549414</v>
      </c>
      <c r="AF14" s="98">
        <f>VLOOKUP($A14,平滑数据导入!$A$1:$AN$61,COLUMN(平滑数据导入!K$1),0)</f>
        <v>20555.4937480347</v>
      </c>
      <c r="AG14" s="98">
        <f>VLOOKUP($A14,平滑数据导入!$A$1:$AN$61,COLUMN(平滑数据导入!L$1),0)</f>
        <v>20606.30671834054</v>
      </c>
      <c r="AH14" s="98">
        <f>VLOOKUP($A14,平滑数据导入!$A$1:$AN$61,COLUMN(平滑数据导入!M$1),0)</f>
        <v>20585.5234871268</v>
      </c>
      <c r="AI14" s="98">
        <f>VLOOKUP($A14,平滑数据导入!$A$1:$AN$61,COLUMN(平滑数据导入!N$1),0)</f>
        <v>20511.708665564161</v>
      </c>
      <c r="AJ14" s="140">
        <f>VLOOKUP(A14,情景假设!$B$48:$S$88,16,0)/情景假设!Q$47*AJ$13</f>
        <v>20403.684105846201</v>
      </c>
      <c r="AK14" s="100">
        <f>VLOOKUP($A14,平滑数据导入!$A$1:$AN$61,COLUMN(平滑数据导入!P$1),0)</f>
        <v>20277.111939268361</v>
      </c>
      <c r="AL14" s="98">
        <f>VLOOKUP($A14,平滑数据导入!$A$1:$AN$61,COLUMN(平滑数据导入!Q$1),0)</f>
        <v>20135.35849225647</v>
      </c>
      <c r="AM14" s="98">
        <f>VLOOKUP($A14,平滑数据导入!$A$1:$AN$61,COLUMN(平滑数据导入!R$1),0)</f>
        <v>19978.766292233391</v>
      </c>
      <c r="AN14" s="98">
        <f>VLOOKUP($A14,平滑数据导入!$A$1:$AN$61,COLUMN(平滑数据导入!S$1),0)</f>
        <v>19807.710169048209</v>
      </c>
      <c r="AO14" s="99">
        <f>VLOOKUP($A14,平滑数据导入!$A$1:$AN$61,COLUMN(平滑数据导入!T$1),0)</f>
        <v>19622.59576719152</v>
      </c>
      <c r="AP14" s="98">
        <f>VLOOKUP($A14,平滑数据导入!$A$1:$AN$61,COLUMN(平滑数据导入!U$1),0)</f>
        <v>19423.857951254009</v>
      </c>
      <c r="AQ14" s="98">
        <f>VLOOKUP($A14,平滑数据导入!$A$1:$AN$61,COLUMN(平滑数据导入!V$1),0)</f>
        <v>19211.95911335338</v>
      </c>
      <c r="AR14" s="98">
        <f>VLOOKUP($A14,平滑数据导入!$A$1:$AN$61,COLUMN(平滑数据导入!W$1),0)</f>
        <v>18987.38739169301</v>
      </c>
      <c r="AS14" s="98">
        <f>VLOOKUP($A14,平滑数据导入!$A$1:$AN$61,COLUMN(平滑数据导入!X$1),0)</f>
        <v>18750.654809794582</v>
      </c>
      <c r="AT14" s="98">
        <f>VLOOKUP($A14,平滑数据导入!$A$1:$AN$61,COLUMN(平滑数据导入!Y$1),0)</f>
        <v>18502.295346256738</v>
      </c>
      <c r="AU14" s="100">
        <f>VLOOKUP($A14,平滑数据导入!$A$1:$AN$61,COLUMN(平滑数据导入!Z$1),0)</f>
        <v>18242.862945137189</v>
      </c>
      <c r="AV14" s="98">
        <f>VLOOKUP($A14,平滑数据导入!$A$1:$AN$61,COLUMN(平滑数据导入!AA$1),0)</f>
        <v>17972.929477233742</v>
      </c>
      <c r="AW14" s="98">
        <f>VLOOKUP($A14,平滑数据导入!$A$1:$AN$61,COLUMN(平滑数据导入!AB$1),0)</f>
        <v>17693.082662650431</v>
      </c>
      <c r="AX14" s="98">
        <f>VLOOKUP($A14,平滑数据导入!$A$1:$AN$61,COLUMN(平滑数据导入!AC$1),0)</f>
        <v>17403.923965076519</v>
      </c>
      <c r="AY14" s="132">
        <f>VLOOKUP(A14,情景假设!$B$48:$S$88,17,0)/情景假设!R$47*AY$13</f>
        <v>17106.066468185512</v>
      </c>
      <c r="AZ14" s="100">
        <f>VLOOKUP($A14,平滑数据导入!$A$1:$AN$61,COLUMN(平滑数据导入!AE$1),0)</f>
        <v>16800.132744470269</v>
      </c>
      <c r="BA14" s="98">
        <f>VLOOKUP($A14,平滑数据导入!$A$1:$AN$61,COLUMN(平滑数据导入!AF$1),0)</f>
        <v>16486.752726682069</v>
      </c>
      <c r="BB14" s="98">
        <f>VLOOKUP($A14,平滑数据导入!$A$1:$AN$61,COLUMN(平滑数据导入!AG$1),0)</f>
        <v>16166.561591827351</v>
      </c>
      <c r="BC14" s="98">
        <f>VLOOKUP($A14,平滑数据导入!$A$1:$AN$61,COLUMN(平滑数据导入!AH$1),0)</f>
        <v>15840.19766740707</v>
      </c>
      <c r="BD14" s="99">
        <f>VLOOKUP($A14,平滑数据导入!$A$1:$AN$61,COLUMN(平滑数据导入!AI$1),0)</f>
        <v>15508.300369257749</v>
      </c>
      <c r="BE14" s="98">
        <f>VLOOKUP($A14,平滑数据导入!$A$1:$AN$61,COLUMN(平滑数据导入!AJ$1),0)</f>
        <v>15171.50817997756</v>
      </c>
      <c r="BF14" s="98">
        <f>VLOOKUP($A14,平滑数据导入!$A$1:$AN$61,COLUMN(平滑数据导入!AK$1),0)</f>
        <v>14830.45667649608</v>
      </c>
      <c r="BG14" s="98">
        <f>VLOOKUP($A14,平滑数据导入!$A$1:$AN$61,COLUMN(平滑数据导入!AL$1),0)</f>
        <v>14485.77661487865</v>
      </c>
      <c r="BH14" s="98">
        <f>VLOOKUP($A14,平滑数据导入!$A$1:$AN$61,COLUMN(平滑数据导入!AM$1),0)</f>
        <v>14138.09207994966</v>
      </c>
      <c r="BI14" s="132">
        <f>VLOOKUP(A14,情景假设!$B$48:$S$88,18,0)/情景假设!S$47*BI$13</f>
        <v>13788.018706776629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(2001-2022, 当年价) '!I15*I$77</f>
        <v>12283.179582633313</v>
      </c>
      <c r="J15" s="20">
        <f>'增加值 (2001-2022, 当年价) '!J15*J$77</f>
        <v>12202.638496028681</v>
      </c>
      <c r="K15" s="21">
        <f>'增加值 (2001-2022, 当年价) '!K15*K$77</f>
        <v>11826.461249538334</v>
      </c>
      <c r="L15" s="19">
        <f>'增加值 (2001-2022, 当年价) '!L15*L$77</f>
        <v>11943.371736968709</v>
      </c>
      <c r="M15" s="20">
        <f>'增加值 (2001-2022, 当年价) '!M15*M$77</f>
        <v>11733.855261453687</v>
      </c>
      <c r="N15" s="20">
        <f>'增加值 (2001-2022, 当年价) '!N15*N$77</f>
        <v>11403.079682203779</v>
      </c>
      <c r="O15" s="20">
        <f>'增加值 (2001-2022, 当年价) '!O15*O$77</f>
        <v>11315.090716981736</v>
      </c>
      <c r="P15" s="20">
        <f>'增加值 (2001-2022, 当年价) '!P15*P$77</f>
        <v>11185.568962035375</v>
      </c>
      <c r="Q15" s="19">
        <f>'增加值 (2001-2022, 当年价) '!Q15*Q$77</f>
        <v>10904.914030827651</v>
      </c>
      <c r="R15" s="20">
        <f>'增加值 (2001-2022, 当年价) '!R15*R$77</f>
        <v>10740.037662864512</v>
      </c>
      <c r="S15" s="20">
        <f>'增加值 (2001-2022, 当年价) '!S15*S$77</f>
        <v>10907.716769371638</v>
      </c>
      <c r="T15" s="20">
        <f>'增加值 (2001-2022, 当年价) '!T15*T$77</f>
        <v>10905.983026745087</v>
      </c>
      <c r="U15" s="21">
        <f>'增加值 (2001-2022, 当年价) '!U15*U$77</f>
        <v>10602.811030571023</v>
      </c>
      <c r="V15" s="20">
        <f>'增加值 (2001-2022, 当年价) '!V15*V$77</f>
        <v>11470.075268301911</v>
      </c>
      <c r="W15" s="20">
        <f>'增加值 (2001-2022, 当年价) '!W15*W$77</f>
        <v>12304.162743704102</v>
      </c>
      <c r="X15" s="90">
        <f>VLOOKUP($A15,平滑数据导入!$A$1:$AN$61,COLUMN(平滑数据导入!C$1),0)</f>
        <v>12293.53014996716</v>
      </c>
      <c r="Y15" s="90">
        <f>VLOOKUP($A15,平滑数据导入!$A$1:$AN$61,COLUMN(平滑数据导入!D$1),0)</f>
        <v>12328.258185465391</v>
      </c>
      <c r="Z15" s="141">
        <f>VLOOKUP(A15,情景假设!$B$48:$S$88,14,0)/情景假设!O$47*Z$13</f>
        <v>12394.815435829098</v>
      </c>
      <c r="AA15" s="89">
        <f>VLOOKUP($A15,平滑数据导入!$A$1:$AN$61,COLUMN(平滑数据导入!F$1),0)</f>
        <v>12479.704638918331</v>
      </c>
      <c r="AB15" s="90">
        <f>VLOOKUP($A15,平滑数据导入!$A$1:$AN$61,COLUMN(平滑数据导入!G$1),0)</f>
        <v>12569.18490422286</v>
      </c>
      <c r="AC15" s="90">
        <f>VLOOKUP($A15,平滑数据导入!$A$1:$AN$61,COLUMN(平滑数据导入!H$1),0)</f>
        <v>12649.14454857101</v>
      </c>
      <c r="AD15" s="90">
        <f>VLOOKUP($A15,平滑数据导入!$A$1:$AN$61,COLUMN(平滑数据导入!I$1),0)</f>
        <v>12705.129451463201</v>
      </c>
      <c r="AE15" s="133">
        <f>VLOOKUP(A15,情景假设!$B$48:$S$88,15,0)/情景假设!P$47*AE$13</f>
        <v>12722.533356153768</v>
      </c>
      <c r="AF15" s="90">
        <f>VLOOKUP($A15,平滑数据导入!$A$1:$AN$61,COLUMN(平滑数据导入!K$1),0)</f>
        <v>12691.13456062666</v>
      </c>
      <c r="AG15" s="90">
        <f>VLOOKUP($A15,平滑数据导入!$A$1:$AN$61,COLUMN(平滑数据导入!L$1),0)</f>
        <v>12617.923513286611</v>
      </c>
      <c r="AH15" s="90">
        <f>VLOOKUP($A15,平滑数据导入!$A$1:$AN$61,COLUMN(平滑数据导入!M$1),0)</f>
        <v>12514.320773168951</v>
      </c>
      <c r="AI15" s="90">
        <f>VLOOKUP($A15,平滑数据导入!$A$1:$AN$61,COLUMN(平滑数据导入!N$1),0)</f>
        <v>12391.67417275446</v>
      </c>
      <c r="AJ15" s="141">
        <f>VLOOKUP(A15,情景假设!$B$48:$S$88,16,0)/情景假设!Q$47*AJ$13</f>
        <v>12261.041384728915</v>
      </c>
      <c r="AK15" s="89">
        <f>VLOOKUP($A15,平滑数据导入!$A$1:$AN$61,COLUMN(平滑数据导入!P$1),0)</f>
        <v>12131.225251484449</v>
      </c>
      <c r="AL15" s="90">
        <f>VLOOKUP($A15,平滑数据导入!$A$1:$AN$61,COLUMN(平滑数据导入!Q$1),0)</f>
        <v>12003.3591342986</v>
      </c>
      <c r="AM15" s="90">
        <f>VLOOKUP($A15,平滑数据导入!$A$1:$AN$61,COLUMN(平滑数据导入!R$1),0)</f>
        <v>11876.72098254292</v>
      </c>
      <c r="AN15" s="90">
        <f>VLOOKUP($A15,平滑数据导入!$A$1:$AN$61,COLUMN(平滑数据导入!S$1),0)</f>
        <v>11750.618401757991</v>
      </c>
      <c r="AO15" s="101">
        <f>VLOOKUP($A15,平滑数据导入!$A$1:$AN$61,COLUMN(平滑数据导入!T$1),0)</f>
        <v>11624.38814032968</v>
      </c>
      <c r="AP15" s="90">
        <f>VLOOKUP($A15,平滑数据导入!$A$1:$AN$61,COLUMN(平滑数据导入!U$1),0)</f>
        <v>11497.3959630233</v>
      </c>
      <c r="AQ15" s="90">
        <f>VLOOKUP($A15,平滑数据导入!$A$1:$AN$61,COLUMN(平滑数据导入!V$1),0)</f>
        <v>11369.0368820822</v>
      </c>
      <c r="AR15" s="90">
        <f>VLOOKUP($A15,平滑数据导入!$A$1:$AN$61,COLUMN(平滑数据导入!W$1),0)</f>
        <v>11238.7357165426</v>
      </c>
      <c r="AS15" s="90">
        <f>VLOOKUP($A15,平滑数据导入!$A$1:$AN$61,COLUMN(平滑数据导入!X$1),0)</f>
        <v>11105.94794984126</v>
      </c>
      <c r="AT15" s="90">
        <f>VLOOKUP($A15,平滑数据导入!$A$1:$AN$61,COLUMN(平滑数据导入!Y$1),0)</f>
        <v>10970.16085476974</v>
      </c>
      <c r="AU15" s="89">
        <f>VLOOKUP($A15,平滑数据导入!$A$1:$AN$61,COLUMN(平滑数据导入!Z$1),0)</f>
        <v>10830.894853429039</v>
      </c>
      <c r="AV15" s="90">
        <f>VLOOKUP($A15,平滑数据导入!$A$1:$AN$61,COLUMN(平滑数据导入!AA$1),0)</f>
        <v>10687.705078131879</v>
      </c>
      <c r="AW15" s="90">
        <f>VLOOKUP($A15,平滑数据导入!$A$1:$AN$61,COLUMN(平滑数据导入!AB$1),0)</f>
        <v>10540.183097269721</v>
      </c>
      <c r="AX15" s="90">
        <f>VLOOKUP($A15,平滑数据导入!$A$1:$AN$61,COLUMN(平滑数据导入!AC$1),0)</f>
        <v>10387.958768085749</v>
      </c>
      <c r="AY15" s="133">
        <f>VLOOKUP(A15,情景假设!$B$48:$S$88,17,0)/情景假设!R$47*AY$13</f>
        <v>10230.702176164574</v>
      </c>
      <c r="AZ15" s="89">
        <f>VLOOKUP($A15,平滑数据导入!$A$1:$AN$61,COLUMN(平滑数据导入!AE$1),0)</f>
        <v>10068.12561935387</v>
      </c>
      <c r="BA15" s="90">
        <f>VLOOKUP($A15,平滑数据导入!$A$1:$AN$61,COLUMN(平滑数据导入!AF$1),0)</f>
        <v>9899.9855918702833</v>
      </c>
      <c r="BB15" s="90">
        <f>VLOOKUP($A15,平滑数据导入!$A$1:$AN$61,COLUMN(平滑数据导入!AG$1),0)</f>
        <v>9726.0847226095993</v>
      </c>
      <c r="BC15" s="90">
        <f>VLOOKUP($A15,平滑数据导入!$A$1:$AN$61,COLUMN(平滑数据导入!AH$1),0)</f>
        <v>9546.2736202807446</v>
      </c>
      <c r="BD15" s="101">
        <f>VLOOKUP($A15,平滑数据导入!$A$1:$AN$61,COLUMN(平滑数据导入!AI$1),0)</f>
        <v>9360.4525770160872</v>
      </c>
      <c r="BE15" s="90">
        <f>VLOOKUP($A15,平滑数据导入!$A$1:$AN$61,COLUMN(平滑数据导入!AJ$1),0)</f>
        <v>9168.5730816740179</v>
      </c>
      <c r="BF15" s="90">
        <f>VLOOKUP($A15,平滑数据导入!$A$1:$AN$61,COLUMN(平滑数据导入!AK$1),0)</f>
        <v>8970.6390942407561</v>
      </c>
      <c r="BG15" s="90">
        <f>VLOOKUP($A15,平滑数据导入!$A$1:$AN$61,COLUMN(平滑数据导入!AL$1),0)</f>
        <v>8766.7080336415347</v>
      </c>
      <c r="BH15" s="90">
        <f>VLOOKUP($A15,平滑数据导入!$A$1:$AN$61,COLUMN(平滑数据导入!AM$1),0)</f>
        <v>8556.8914329672843</v>
      </c>
      <c r="BI15" s="133">
        <f>VLOOKUP(A15,情景假设!$B$48:$S$88,18,0)/情景假设!S$47*BI$13</f>
        <v>8341.3552186731085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(2001-2022, 当年价) '!I16*I$77</f>
        <v>2043.0118588044513</v>
      </c>
      <c r="J16" s="20">
        <f>'增加值 (2001-2022, 当年价) '!J16*J$77</f>
        <v>2426.630321654618</v>
      </c>
      <c r="K16" s="21">
        <f>'增加值 (2001-2022, 当年价) '!K16*K$77</f>
        <v>2841.9828585560304</v>
      </c>
      <c r="L16" s="19">
        <f>'增加值 (2001-2022, 当年价) '!L16*L$77</f>
        <v>3276.9674000897576</v>
      </c>
      <c r="M16" s="20">
        <f>'增加值 (2001-2022, 当年价) '!M16*M$77</f>
        <v>3762.3007435323352</v>
      </c>
      <c r="N16" s="20">
        <f>'增加值 (2001-2022, 当年价) '!N16*N$77</f>
        <v>4110.1450364962056</v>
      </c>
      <c r="O16" s="20">
        <f>'增加值 (2001-2022, 当年价) '!O16*O$77</f>
        <v>4358.206514887198</v>
      </c>
      <c r="P16" s="20">
        <f>'增加值 (2001-2022, 当年价) '!P16*P$77</f>
        <v>4238.0296569708398</v>
      </c>
      <c r="Q16" s="19">
        <f>'增加值 (2001-2022, 当年价) '!Q16*Q$77</f>
        <v>4028.2983329052572</v>
      </c>
      <c r="R16" s="20">
        <f>'增加值 (2001-2022, 当年价) '!R16*R$77</f>
        <v>3963.3151687311879</v>
      </c>
      <c r="S16" s="20">
        <f>'增加值 (2001-2022, 当年价) '!S16*S$77</f>
        <v>3760.7926246739084</v>
      </c>
      <c r="T16" s="20">
        <f>'增加值 (2001-2022, 当年价) '!T16*T$77</f>
        <v>3883.4799374977438</v>
      </c>
      <c r="U16" s="21">
        <f>'增加值 (2001-2022, 当年价) '!U16*U$77</f>
        <v>3696.6327461554224</v>
      </c>
      <c r="V16" s="103">
        <f>'增加值 (2001-2022, 当年价) '!V16*V$77</f>
        <v>3979.7568976278721</v>
      </c>
      <c r="W16" s="103">
        <f>'增加值 (2001-2022, 当年价) '!W16*W$77</f>
        <v>4568.3236898109044</v>
      </c>
      <c r="X16" s="90">
        <f>VLOOKUP($A16,平滑数据导入!$A$1:$AN$61,COLUMN(平滑数据导入!C$1),0)</f>
        <v>4555.8710176758441</v>
      </c>
      <c r="Y16" s="90">
        <f>VLOOKUP($A16,平滑数据导入!$A$1:$AN$61,COLUMN(平滑数据导入!D$1),0)</f>
        <v>4552.9743786243762</v>
      </c>
      <c r="Z16" s="141">
        <f>VLOOKUP(A16,情景假设!$B$48:$S$88,14,0)/情景假设!O$47*Z$13</f>
        <v>4556.3033750132063</v>
      </c>
      <c r="AA16" s="89">
        <f>VLOOKUP($A16,平滑数据导入!$A$1:$AN$61,COLUMN(平滑数据导入!F$1),0)</f>
        <v>4562.554940416203</v>
      </c>
      <c r="AB16" s="90">
        <f>VLOOKUP($A16,平滑数据导入!$A$1:$AN$61,COLUMN(平滑数据导入!G$1),0)</f>
        <v>4568.4201052031704</v>
      </c>
      <c r="AC16" s="90">
        <f>VLOOKUP($A16,平滑数据导入!$A$1:$AN$61,COLUMN(平滑数据导入!H$1),0)</f>
        <v>4570.5747990678674</v>
      </c>
      <c r="AD16" s="90">
        <f>VLOOKUP($A16,平滑数据导入!$A$1:$AN$61,COLUMN(平滑数据导入!I$1),0)</f>
        <v>4565.6947571333394</v>
      </c>
      <c r="AE16" s="133">
        <f>VLOOKUP(A16,情景假设!$B$48:$S$88,15,0)/情景假设!P$47*AE$13</f>
        <v>4550.4945380300978</v>
      </c>
      <c r="AF16" s="90">
        <f>VLOOKUP($A16,平滑数据导入!$A$1:$AN$61,COLUMN(平滑数据导入!K$1),0)</f>
        <v>4522.7311794047318</v>
      </c>
      <c r="AG16" s="90">
        <f>VLOOKUP($A16,平滑数据导入!$A$1:$AN$61,COLUMN(平滑数据导入!L$1),0)</f>
        <v>4484.0421577273719</v>
      </c>
      <c r="AH16" s="90">
        <f>VLOOKUP($A16,平滑数据导入!$A$1:$AN$61,COLUMN(平滑数据导入!M$1),0)</f>
        <v>4437.0261620389119</v>
      </c>
      <c r="AI16" s="90">
        <f>VLOOKUP($A16,平滑数据导入!$A$1:$AN$61,COLUMN(平滑数据导入!N$1),0)</f>
        <v>4384.2401839520526</v>
      </c>
      <c r="AJ16" s="141">
        <f>VLOOKUP(A16,情景假设!$B$48:$S$88,16,0)/情景假设!Q$47*AJ$13</f>
        <v>4328.1608228532004</v>
      </c>
      <c r="AK16" s="89">
        <f>VLOOKUP($A16,平滑数据导入!$A$1:$AN$61,COLUMN(平滑数据导入!P$1),0)</f>
        <v>4270.7723664681598</v>
      </c>
      <c r="AL16" s="90">
        <f>VLOOKUP($A16,平滑数据导入!$A$1:$AN$61,COLUMN(平滑数据导入!Q$1),0)</f>
        <v>4212.4350742442502</v>
      </c>
      <c r="AM16" s="90">
        <f>VLOOKUP($A16,平滑数据导入!$A$1:$AN$61,COLUMN(平滑数据导入!R$1),0)</f>
        <v>4153.1171473673621</v>
      </c>
      <c r="AN16" s="90">
        <f>VLOOKUP($A16,平滑数据导入!$A$1:$AN$61,COLUMN(平滑数据导入!S$1),0)</f>
        <v>4092.7923503332968</v>
      </c>
      <c r="AO16" s="101">
        <f>VLOOKUP($A16,平滑数据导入!$A$1:$AN$61,COLUMN(平滑数据导入!T$1),0)</f>
        <v>4031.44010890652</v>
      </c>
      <c r="AP16" s="90">
        <f>VLOOKUP($A16,平滑数据导入!$A$1:$AN$61,COLUMN(平滑数据导入!U$1),0)</f>
        <v>3969.0455991618642</v>
      </c>
      <c r="AQ16" s="90">
        <f>VLOOKUP($A16,平滑数据导入!$A$1:$AN$61,COLUMN(平滑数据导入!V$1),0)</f>
        <v>3905.599825618448</v>
      </c>
      <c r="AR16" s="90">
        <f>VLOOKUP($A16,平滑数据导入!$A$1:$AN$61,COLUMN(平滑数据导入!W$1),0)</f>
        <v>3841.0996865021789</v>
      </c>
      <c r="AS16" s="90">
        <f>VLOOKUP($A16,平滑数据导入!$A$1:$AN$61,COLUMN(平滑数据导入!X$1),0)</f>
        <v>3775.5480242140611</v>
      </c>
      <c r="AT16" s="90">
        <f>VLOOKUP($A16,平滑数据导入!$A$1:$AN$61,COLUMN(平滑数据导入!Y$1),0)</f>
        <v>3708.953659138836</v>
      </c>
      <c r="AU16" s="89">
        <f>VLOOKUP($A16,平滑数据导入!$A$1:$AN$61,COLUMN(平滑数据导入!Z$1),0)</f>
        <v>3641.3314050015661</v>
      </c>
      <c r="AV16" s="90">
        <f>VLOOKUP($A16,平滑数据导入!$A$1:$AN$61,COLUMN(平滑数据导入!AA$1),0)</f>
        <v>3572.70206407051</v>
      </c>
      <c r="AW16" s="90">
        <f>VLOOKUP($A16,平滑数据导入!$A$1:$AN$61,COLUMN(平滑数据导入!AB$1),0)</f>
        <v>3503.092400613466</v>
      </c>
      <c r="AX16" s="90">
        <f>VLOOKUP($A16,平滑数据导入!$A$1:$AN$61,COLUMN(平滑数据导入!AC$1),0)</f>
        <v>3432.5350911416399</v>
      </c>
      <c r="AY16" s="133">
        <f>VLOOKUP(A16,情景假设!$B$48:$S$88,17,0)/情景假设!R$47*AY$13</f>
        <v>3361.0686501211321</v>
      </c>
      <c r="AZ16" s="89">
        <f>VLOOKUP($A16,平滑数据导入!$A$1:$AN$61,COLUMN(平滑数据导入!AE$1),0)</f>
        <v>3288.7373299958031</v>
      </c>
      <c r="BA16" s="90">
        <f>VLOOKUP($A16,平滑数据导入!$A$1:$AN$61,COLUMN(平滑数据导入!AF$1),0)</f>
        <v>3215.5909945482249</v>
      </c>
      <c r="BB16" s="90">
        <f>VLOOKUP($A16,平滑数据导入!$A$1:$AN$61,COLUMN(平滑数据导入!AG$1),0)</f>
        <v>3141.6849648249458</v>
      </c>
      <c r="BC16" s="90">
        <f>VLOOKUP($A16,平滑数据导入!$A$1:$AN$61,COLUMN(平滑数据导入!AH$1),0)</f>
        <v>3067.0798370692069</v>
      </c>
      <c r="BD16" s="101">
        <f>VLOOKUP($A16,平滑数据导入!$A$1:$AN$61,COLUMN(平滑数据导入!AI$1),0)</f>
        <v>2991.841272336118</v>
      </c>
      <c r="BE16" s="90">
        <f>VLOOKUP($A16,平滑数据导入!$A$1:$AN$61,COLUMN(平滑数据导入!AJ$1),0)</f>
        <v>2916.0397577114891</v>
      </c>
      <c r="BF16" s="90">
        <f>VLOOKUP($A16,平滑数据导入!$A$1:$AN$61,COLUMN(平滑数据导入!AK$1),0)</f>
        <v>2839.7503393134421</v>
      </c>
      <c r="BG16" s="90">
        <f>VLOOKUP($A16,平滑数据导入!$A$1:$AN$61,COLUMN(平滑数据导入!AL$1),0)</f>
        <v>2763.0523275242722</v>
      </c>
      <c r="BH16" s="90">
        <f>VLOOKUP($A16,平滑数据导入!$A$1:$AN$61,COLUMN(平滑数据导入!AM$1),0)</f>
        <v>2686.0289751755981</v>
      </c>
      <c r="BI16" s="133">
        <f>VLOOKUP(A16,情景假设!$B$48:$S$88,18,0)/情景假设!S$47*BI$13</f>
        <v>2608.767129690546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(2001-2022, 当年价) '!I17*I$77</f>
        <v>1310.7957571469735</v>
      </c>
      <c r="J17" s="20">
        <f>'增加值 (2001-2022, 当年价) '!J17*J$77</f>
        <v>1488.5845476631823</v>
      </c>
      <c r="K17" s="21">
        <f>'增加值 (2001-2022, 当年价) '!K17*K$77</f>
        <v>1607.4919993808442</v>
      </c>
      <c r="L17" s="19">
        <f>'增加值 (2001-2022, 当年价) '!L17*L$77</f>
        <v>1784.0220797573177</v>
      </c>
      <c r="M17" s="20">
        <f>'增加值 (2001-2022, 当年价) '!M17*M$77</f>
        <v>1958.22960476651</v>
      </c>
      <c r="N17" s="20">
        <f>'增加值 (2001-2022, 当年价) '!N17*N$77</f>
        <v>2036.9648259107798</v>
      </c>
      <c r="O17" s="20">
        <f>'增加值 (2001-2022, 当年价) '!O17*O$77</f>
        <v>2097.4100390948875</v>
      </c>
      <c r="P17" s="20">
        <f>'增加值 (2001-2022, 当年价) '!P17*P$77</f>
        <v>2075.3912020817443</v>
      </c>
      <c r="Q17" s="19">
        <f>'增加值 (2001-2022, 当年价) '!Q17*Q$77</f>
        <v>2075.9768918787054</v>
      </c>
      <c r="R17" s="20">
        <f>'增加值 (2001-2022, 当年价) '!R17*R$77</f>
        <v>2025.6773253510662</v>
      </c>
      <c r="S17" s="20">
        <f>'增加值 (2001-2022, 当年价) '!S17*S$77</f>
        <v>2047.2184433162315</v>
      </c>
      <c r="T17" s="20">
        <f>'增加值 (2001-2022, 当年价) '!T17*T$77</f>
        <v>2033.076023735219</v>
      </c>
      <c r="U17" s="21">
        <f>'增加值 (2001-2022, 当年价) '!U17*U$77</f>
        <v>1962.7921031386184</v>
      </c>
      <c r="V17" s="103">
        <f>'增加值 (2001-2022, 当年价) '!V17*V$77</f>
        <v>2008.8963000276083</v>
      </c>
      <c r="W17" s="103">
        <f>'增加值 (2001-2022, 当年价) '!W17*W$77</f>
        <v>2146.8175625414897</v>
      </c>
      <c r="X17" s="90">
        <f>VLOOKUP($A17,平滑数据导入!$A$1:$AN$61,COLUMN(平滑数据导入!C$1),0)</f>
        <v>2121.8041985476989</v>
      </c>
      <c r="Y17" s="90">
        <f>VLOOKUP($A17,平滑数据导入!$A$1:$AN$61,COLUMN(平滑数据导入!D$1),0)</f>
        <v>2101.3955013383888</v>
      </c>
      <c r="Z17" s="141">
        <f>VLOOKUP(A17,情景假设!$B$48:$S$88,14,0)/情景假设!O$47*Z$13</f>
        <v>2084.17758840646</v>
      </c>
      <c r="AA17" s="89">
        <f>VLOOKUP($A17,平滑数据导入!$A$1:$AN$61,COLUMN(平滑数据导入!F$1),0)</f>
        <v>2068.798417266848</v>
      </c>
      <c r="AB17" s="90">
        <f>VLOOKUP($A17,平滑数据导入!$A$1:$AN$61,COLUMN(平滑数据导入!G$1),0)</f>
        <v>2053.9518588723731</v>
      </c>
      <c r="AC17" s="90">
        <f>VLOOKUP($A17,平滑数据导入!$A$1:$AN$61,COLUMN(平滑数据导入!H$1),0)</f>
        <v>2038.3702739524581</v>
      </c>
      <c r="AD17" s="90">
        <f>VLOOKUP($A17,平滑数据导入!$A$1:$AN$61,COLUMN(平滑数据导入!I$1),0)</f>
        <v>2020.825098535028</v>
      </c>
      <c r="AE17" s="133">
        <f>VLOOKUP(A17,情景假设!$B$48:$S$88,15,0)/情景假设!P$47*AE$13</f>
        <v>2000.1350053262622</v>
      </c>
      <c r="AF17" s="90">
        <f>VLOOKUP($A17,平滑数据导入!$A$1:$AN$61,COLUMN(平滑数据导入!K$1),0)</f>
        <v>1975.5144688345031</v>
      </c>
      <c r="AG17" s="90">
        <f>VLOOKUP($A17,平滑数据导入!$A$1:$AN$61,COLUMN(平滑数据导入!L$1),0)</f>
        <v>1947.556074430657</v>
      </c>
      <c r="AH17" s="90">
        <f>VLOOKUP($A17,平滑数据导入!$A$1:$AN$61,COLUMN(平滑数据导入!M$1),0)</f>
        <v>1917.1689913475709</v>
      </c>
      <c r="AI17" s="90">
        <f>VLOOKUP($A17,平滑数据导入!$A$1:$AN$61,COLUMN(平滑数据导入!N$1),0)</f>
        <v>1885.225509960597</v>
      </c>
      <c r="AJ17" s="141">
        <f>VLOOKUP(A17,情景假设!$B$48:$S$88,16,0)/情景假设!Q$47*AJ$13</f>
        <v>1852.5524961157505</v>
      </c>
      <c r="AK17" s="89">
        <f>VLOOKUP($A17,平滑数据导入!$A$1:$AN$61,COLUMN(平滑数据导入!P$1),0)</f>
        <v>1819.800517420656</v>
      </c>
      <c r="AL17" s="90">
        <f>VLOOKUP($A17,平滑数据导入!$A$1:$AN$61,COLUMN(平滑数据导入!Q$1),0)</f>
        <v>1787.0821847347879</v>
      </c>
      <c r="AM17" s="90">
        <f>VLOOKUP($A17,平滑数据导入!$A$1:$AN$61,COLUMN(平滑数据导入!R$1),0)</f>
        <v>1754.381772131537</v>
      </c>
      <c r="AN17" s="90">
        <f>VLOOKUP($A17,平滑数据导入!$A$1:$AN$61,COLUMN(平滑数据导入!S$1),0)</f>
        <v>1721.685756120102</v>
      </c>
      <c r="AO17" s="101">
        <f>VLOOKUP($A17,平滑数据导入!$A$1:$AN$61,COLUMN(平滑数据导入!T$1),0)</f>
        <v>1688.9827919044619</v>
      </c>
      <c r="AP17" s="90">
        <f>VLOOKUP($A17,平滑数据导入!$A$1:$AN$61,COLUMN(平滑数据导入!U$1),0)</f>
        <v>1656.2636888096511</v>
      </c>
      <c r="AQ17" s="90">
        <f>VLOOKUP($A17,平滑数据导入!$A$1:$AN$61,COLUMN(平滑数据导入!V$1),0)</f>
        <v>1623.521384302521</v>
      </c>
      <c r="AR17" s="90">
        <f>VLOOKUP($A17,平滑数据导入!$A$1:$AN$61,COLUMN(平滑数据导入!W$1),0)</f>
        <v>1590.750916059038</v>
      </c>
      <c r="AS17" s="90">
        <f>VLOOKUP($A17,平滑数据导入!$A$1:$AN$61,COLUMN(平滑数据导入!X$1),0)</f>
        <v>1557.9493915569869</v>
      </c>
      <c r="AT17" s="90">
        <f>VLOOKUP($A17,平滑数据导入!$A$1:$AN$61,COLUMN(平滑数据导入!Y$1),0)</f>
        <v>1525.115954702314</v>
      </c>
      <c r="AU17" s="89">
        <f>VLOOKUP($A17,平滑数据导入!$A$1:$AN$61,COLUMN(平滑数据导入!Z$1),0)</f>
        <v>1492.251749029037</v>
      </c>
      <c r="AV17" s="90">
        <f>VLOOKUP($A17,平滑数据导入!$A$1:$AN$61,COLUMN(平滑数据导入!AA$1),0)</f>
        <v>1459.3598770471449</v>
      </c>
      <c r="AW17" s="90">
        <f>VLOOKUP($A17,平滑数据导入!$A$1:$AN$61,COLUMN(平滑数据导入!AB$1),0)</f>
        <v>1426.445355350239</v>
      </c>
      <c r="AX17" s="90">
        <f>VLOOKUP($A17,平滑数据导入!$A$1:$AN$61,COLUMN(平滑数据导入!AC$1),0)</f>
        <v>1393.515065134806</v>
      </c>
      <c r="AY17" s="133">
        <f>VLOOKUP(A17,情景假设!$B$48:$S$88,17,0)/情景假设!R$47*AY$13</f>
        <v>1360.5776978261458</v>
      </c>
      <c r="AZ17" s="89">
        <f>VLOOKUP($A17,平滑数据导入!$A$1:$AN$61,COLUMN(平滑数据导入!AE$1),0)</f>
        <v>1327.643695552028</v>
      </c>
      <c r="BA17" s="90">
        <f>VLOOKUP($A17,平滑数据导入!$A$1:$AN$61,COLUMN(平滑数据导入!AF$1),0)</f>
        <v>1294.7251862538669</v>
      </c>
      <c r="BB17" s="90">
        <f>VLOOKUP($A17,平滑数据导入!$A$1:$AN$61,COLUMN(平滑数据导入!AG$1),0)</f>
        <v>1261.8359132768221</v>
      </c>
      <c r="BC17" s="90">
        <f>VLOOKUP($A17,平滑数据导入!$A$1:$AN$61,COLUMN(平滑数据导入!AH$1),0)</f>
        <v>1228.991159334129</v>
      </c>
      <c r="BD17" s="101">
        <f>VLOOKUP($A17,平滑数据导入!$A$1:$AN$61,COLUMN(平滑数据导入!AI$1),0)</f>
        <v>1196.207664797254</v>
      </c>
      <c r="BE17" s="90">
        <f>VLOOKUP($A17,平滑数据导入!$A$1:$AN$61,COLUMN(平滑数据导入!AJ$1),0)</f>
        <v>1163.50354032161</v>
      </c>
      <c r="BF17" s="90">
        <f>VLOOKUP($A17,平滑数据导入!$A$1:$AN$61,COLUMN(平滑数据导入!AK$1),0)</f>
        <v>1130.8981738773</v>
      </c>
      <c r="BG17" s="90">
        <f>VLOOKUP($A17,平滑数据导入!$A$1:$AN$61,COLUMN(平滑数据导入!AL$1),0)</f>
        <v>1098.412132315364</v>
      </c>
      <c r="BH17" s="90">
        <f>VLOOKUP($A17,平滑数据导入!$A$1:$AN$61,COLUMN(平滑数据导入!AM$1),0)</f>
        <v>1066.0670576615339</v>
      </c>
      <c r="BI17" s="133">
        <f>VLOOKUP(A17,情景假设!$B$48:$S$88,18,0)/情景假设!S$47*BI$13</f>
        <v>1033.8855583914033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(2001-2022, 当年价) '!I18*I$77</f>
        <v>740.76653991594344</v>
      </c>
      <c r="J18" s="20">
        <f>'增加值 (2001-2022, 当年价) '!J18*J$77</f>
        <v>844.0486631354139</v>
      </c>
      <c r="K18" s="21">
        <f>'增加值 (2001-2022, 当年价) '!K18*K$77</f>
        <v>1022.9457399478509</v>
      </c>
      <c r="L18" s="19">
        <f>'增加值 (2001-2022, 当年价) '!L18*L$77</f>
        <v>1214.8998811626097</v>
      </c>
      <c r="M18" s="20">
        <f>'增加值 (2001-2022, 当年价) '!M18*M$77</f>
        <v>1274.5479058190608</v>
      </c>
      <c r="N18" s="20">
        <f>'增加值 (2001-2022, 当年价) '!N18*N$77</f>
        <v>1356.0633699380928</v>
      </c>
      <c r="O18" s="20">
        <f>'增加值 (2001-2022, 当年价) '!O18*O$77</f>
        <v>1401.5037918321566</v>
      </c>
      <c r="P18" s="20">
        <f>'增加值 (2001-2022, 当年价) '!P18*P$77</f>
        <v>1417.3718474346597</v>
      </c>
      <c r="Q18" s="19">
        <f>'增加值 (2001-2022, 当年价) '!Q18*Q$77</f>
        <v>1442.6692962996772</v>
      </c>
      <c r="R18" s="20">
        <f>'增加值 (2001-2022, 当年价) '!R18*R$77</f>
        <v>1454.4434672707334</v>
      </c>
      <c r="S18" s="20">
        <f>'增加值 (2001-2022, 当年价) '!S18*S$77</f>
        <v>1468.4618787211398</v>
      </c>
      <c r="T18" s="20">
        <f>'增加值 (2001-2022, 当年价) '!T18*T$77</f>
        <v>1418.6739912185421</v>
      </c>
      <c r="U18" s="21">
        <f>'增加值 (2001-2022, 当年价) '!U18*U$77</f>
        <v>1364.1405953083029</v>
      </c>
      <c r="V18" s="20">
        <f>'增加值 (2001-2022, 当年价) '!V18*V$77</f>
        <v>1526.8532453395294</v>
      </c>
      <c r="W18" s="20">
        <f>'增加值 (2001-2022, 当年价) '!W18*W$77</f>
        <v>1532.4140383714741</v>
      </c>
      <c r="X18" s="90">
        <f>VLOOKUP($A18,平滑数据导入!$A$1:$AN$61,COLUMN(平滑数据导入!C$1),0)</f>
        <v>1517.498797603236</v>
      </c>
      <c r="Y18" s="90">
        <f>VLOOKUP($A18,平滑数据导入!$A$1:$AN$61,COLUMN(平滑数据导入!D$1),0)</f>
        <v>1506.1723574595451</v>
      </c>
      <c r="Z18" s="141">
        <f>VLOOKUP(A18,情景假设!$B$48:$S$88,14,0)/情景假设!O$47*Z$13</f>
        <v>1497.3169529261447</v>
      </c>
      <c r="AA18" s="89">
        <f>VLOOKUP($A18,平滑数据导入!$A$1:$AN$61,COLUMN(平滑数据导入!F$1),0)</f>
        <v>1489.855782768592</v>
      </c>
      <c r="AB18" s="90">
        <f>VLOOKUP($A18,平滑数据导入!$A$1:$AN$61,COLUMN(平滑数据导入!G$1),0)</f>
        <v>1482.7393344514369</v>
      </c>
      <c r="AC18" s="90">
        <f>VLOOKUP($A18,平滑数据导入!$A$1:$AN$61,COLUMN(平滑数据导入!H$1),0)</f>
        <v>1474.939286265077</v>
      </c>
      <c r="AD18" s="90">
        <f>VLOOKUP($A18,平滑数据导入!$A$1:$AN$61,COLUMN(平滑数据导入!I$1),0)</f>
        <v>1465.4496576504739</v>
      </c>
      <c r="AE18" s="133">
        <f>VLOOKUP(A18,情景假设!$B$48:$S$88,15,0)/情景假设!P$47*AE$13</f>
        <v>1453.2949277284724</v>
      </c>
      <c r="AF18" s="90">
        <f>VLOOKUP($A18,平滑数据导入!$A$1:$AN$61,COLUMN(平滑数据导入!K$1),0)</f>
        <v>1437.819670545503</v>
      </c>
      <c r="AG18" s="90">
        <f>VLOOKUP($A18,平滑数据导入!$A$1:$AN$61,COLUMN(平滑数据导入!L$1),0)</f>
        <v>1419.504571383977</v>
      </c>
      <c r="AH18" s="90">
        <f>VLOOKUP($A18,平滑数据导入!$A$1:$AN$61,COLUMN(平滑数据导入!M$1),0)</f>
        <v>1399.0970186905929</v>
      </c>
      <c r="AI18" s="90">
        <f>VLOOKUP($A18,平滑数据导入!$A$1:$AN$61,COLUMN(平滑数据导入!N$1),0)</f>
        <v>1377.318805706534</v>
      </c>
      <c r="AJ18" s="141">
        <f>VLOOKUP(A18,情景假设!$B$48:$S$88,16,0)/情景假设!Q$47*AJ$13</f>
        <v>1354.8576983842481</v>
      </c>
      <c r="AK18" s="89">
        <f>VLOOKUP($A18,平滑数据导入!$A$1:$AN$61,COLUMN(平滑数据导入!P$1),0)</f>
        <v>1332.2570266643991</v>
      </c>
      <c r="AL18" s="90">
        <f>VLOOKUP($A18,平滑数据导入!$A$1:$AN$61,COLUMN(平滑数据导入!Q$1),0)</f>
        <v>1309.611677838185</v>
      </c>
      <c r="AM18" s="90">
        <f>VLOOKUP($A18,平滑数据导入!$A$1:$AN$61,COLUMN(平滑数据导入!R$1),0)</f>
        <v>1286.909230932288</v>
      </c>
      <c r="AN18" s="90">
        <f>VLOOKUP($A18,平滑数据导入!$A$1:$AN$61,COLUMN(平滑数据导入!S$1),0)</f>
        <v>1264.1389845584149</v>
      </c>
      <c r="AO18" s="101">
        <f>VLOOKUP($A18,平滑数据导入!$A$1:$AN$61,COLUMN(平滑数据导入!T$1),0)</f>
        <v>1241.291950041526</v>
      </c>
      <c r="AP18" s="90">
        <f>VLOOKUP($A18,平滑数据导入!$A$1:$AN$61,COLUMN(平滑数据导入!U$1),0)</f>
        <v>1218.360843666565</v>
      </c>
      <c r="AQ18" s="90">
        <f>VLOOKUP($A18,平滑数据导入!$A$1:$AN$61,COLUMN(平滑数据导入!V$1),0)</f>
        <v>1195.3400775313789</v>
      </c>
      <c r="AR18" s="90">
        <f>VLOOKUP($A18,平滑数据导入!$A$1:$AN$61,COLUMN(平滑数据导入!W$1),0)</f>
        <v>1172.225748510225</v>
      </c>
      <c r="AS18" s="90">
        <f>VLOOKUP($A18,平滑数据导入!$A$1:$AN$61,COLUMN(平滑数据导入!X$1),0)</f>
        <v>1149.0156248512089</v>
      </c>
      <c r="AT18" s="90">
        <f>VLOOKUP($A18,平滑数据导入!$A$1:$AN$61,COLUMN(平滑数据导入!Y$1),0)</f>
        <v>1125.709129952495</v>
      </c>
      <c r="AU18" s="89">
        <f>VLOOKUP($A18,平滑数据导入!$A$1:$AN$61,COLUMN(平滑数据导入!Z$1),0)</f>
        <v>1102.3073228862261</v>
      </c>
      <c r="AV18" s="90">
        <f>VLOOKUP($A18,平滑数据导入!$A$1:$AN$61,COLUMN(平滑数据导入!AA$1),0)</f>
        <v>1078.8128752662481</v>
      </c>
      <c r="AW18" s="90">
        <f>VLOOKUP($A18,平滑数据导入!$A$1:$AN$61,COLUMN(平滑数据导入!AB$1),0)</f>
        <v>1055.2300440858251</v>
      </c>
      <c r="AX18" s="90">
        <f>VLOOKUP($A18,平滑数据导入!$A$1:$AN$61,COLUMN(平滑数据导入!AC$1),0)</f>
        <v>1031.5646401848601</v>
      </c>
      <c r="AY18" s="133">
        <f>VLOOKUP(A18,情景假设!$B$48:$S$88,17,0)/情景假设!R$47*AY$13</f>
        <v>1007.823992042671</v>
      </c>
      <c r="AZ18" s="89">
        <f>VLOOKUP($A18,平滑数据导入!$A$1:$AN$61,COLUMN(平滑数据导入!AE$1),0)</f>
        <v>984.01690463206285</v>
      </c>
      <c r="BA18" s="90">
        <f>VLOOKUP($A18,平滑数据导入!$A$1:$AN$61,COLUMN(平滑数据导入!AF$1),0)</f>
        <v>960.15361311344293</v>
      </c>
      <c r="BB18" s="90">
        <f>VLOOKUP($A18,平滑数据导入!$A$1:$AN$61,COLUMN(平滑数据导入!AG$1),0)</f>
        <v>936.24573119360139</v>
      </c>
      <c r="BC18" s="90">
        <f>VLOOKUP($A18,平滑数据导入!$A$1:$AN$61,COLUMN(平滑数据导入!AH$1),0)</f>
        <v>912.30619402274726</v>
      </c>
      <c r="BD18" s="101">
        <f>VLOOKUP($A18,平滑数据导入!$A$1:$AN$61,COLUMN(平滑数据导入!AI$1),0)</f>
        <v>888.34919555488443</v>
      </c>
      <c r="BE18" s="90">
        <f>VLOOKUP($A18,平滑数据导入!$A$1:$AN$61,COLUMN(平滑数据导入!AJ$1),0)</f>
        <v>864.39012035059</v>
      </c>
      <c r="BF18" s="90">
        <f>VLOOKUP($A18,平滑数据导入!$A$1:$AN$61,COLUMN(平滑数据导入!AK$1),0)</f>
        <v>840.4454698572705</v>
      </c>
      <c r="BG18" s="90">
        <f>VLOOKUP($A18,平滑数据导入!$A$1:$AN$61,COLUMN(平滑数据导入!AL$1),0)</f>
        <v>816.53278325957206</v>
      </c>
      <c r="BH18" s="90">
        <f>VLOOKUP($A18,平滑数据导入!$A$1:$AN$61,COLUMN(平滑数据导入!AM$1),0)</f>
        <v>792.67055305155054</v>
      </c>
      <c r="BI18" s="133">
        <f>VLOOKUP(A18,情景假设!$B$48:$S$88,18,0)/情景假设!S$47*BI$13</f>
        <v>768.87813554167815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(2001-2022, 当年价) '!I19*I$77</f>
        <v>622.28189547720797</v>
      </c>
      <c r="J19" s="20">
        <f>'增加值 (2001-2022, 当年价) '!J19*J$77</f>
        <v>708.94586294105329</v>
      </c>
      <c r="K19" s="21">
        <f>'增加值 (2001-2022, 当年价) '!K19*K$77</f>
        <v>796.67192689080173</v>
      </c>
      <c r="L19" s="19">
        <f>'增加值 (2001-2022, 当年价) '!L19*L$77</f>
        <v>897.68406282890419</v>
      </c>
      <c r="M19" s="20">
        <f>'增加值 (2001-2022, 当年价) '!M19*M$77</f>
        <v>975.94130351953618</v>
      </c>
      <c r="N19" s="20">
        <f>'增加值 (2001-2022, 当年价) '!N19*N$77</f>
        <v>974.38864222573625</v>
      </c>
      <c r="O19" s="20">
        <f>'增加值 (2001-2022, 当年价) '!O19*O$77</f>
        <v>903.34619259796079</v>
      </c>
      <c r="P19" s="20">
        <f>'增加值 (2001-2022, 当年价) '!P19*P$77</f>
        <v>755.02693912330028</v>
      </c>
      <c r="Q19" s="19">
        <f>'增加值 (2001-2022, 当年价) '!Q19*Q$77</f>
        <v>629.98069374082036</v>
      </c>
      <c r="R19" s="20">
        <f>'增加值 (2001-2022, 当年价) '!R19*R$77</f>
        <v>764.56980297896723</v>
      </c>
      <c r="S19" s="20">
        <f>'增加值 (2001-2022, 当年价) '!S19*S$77</f>
        <v>943.22721747818241</v>
      </c>
      <c r="T19" s="20">
        <f>'增加值 (2001-2022, 当年价) '!T19*T$77</f>
        <v>1106.7744145318222</v>
      </c>
      <c r="U19" s="21">
        <f>'增加值 (2001-2022, 当年价) '!U19*U$77</f>
        <v>935.75183103419295</v>
      </c>
      <c r="V19" s="20">
        <f>'增加值 (2001-2022, 当年价) '!V19*V$77</f>
        <v>1028.8553087520027</v>
      </c>
      <c r="W19" s="20">
        <f>'增加值 (2001-2022, 当年价) '!W19*W$77</f>
        <v>1144.432816780665</v>
      </c>
      <c r="X19" s="90">
        <f>VLOOKUP($A19,平滑数据导入!$A$1:$AN$61,COLUMN(平滑数据导入!C$1),0)</f>
        <v>1220.6730223883801</v>
      </c>
      <c r="Y19" s="90">
        <f>VLOOKUP($A19,平滑数据导入!$A$1:$AN$61,COLUMN(平滑数据导入!D$1),0)</f>
        <v>1295.6052577683549</v>
      </c>
      <c r="Z19" s="141">
        <f>VLOOKUP(A19,情景假设!$B$48:$S$88,14,0)/情景假设!O$47*Z$13</f>
        <v>1368.6472204396794</v>
      </c>
      <c r="AA19" s="89">
        <f>VLOOKUP($A19,平滑数据导入!$A$1:$AN$61,COLUMN(平滑数据导入!F$1),0)</f>
        <v>1439.2523644372859</v>
      </c>
      <c r="AB19" s="90">
        <f>VLOOKUP($A19,平滑数据导入!$A$1:$AN$61,COLUMN(平滑数据导入!G$1),0)</f>
        <v>1506.919831980968</v>
      </c>
      <c r="AC19" s="90">
        <f>VLOOKUP($A19,平滑数据导入!$A$1:$AN$61,COLUMN(平滑数据导入!H$1),0)</f>
        <v>1571.202862339303</v>
      </c>
      <c r="AD19" s="90">
        <f>VLOOKUP($A19,平滑数据导入!$A$1:$AN$61,COLUMN(平滑数据导入!I$1),0)</f>
        <v>1631.715511775644</v>
      </c>
      <c r="AE19" s="133">
        <f>VLOOKUP(A19,情景假设!$B$48:$S$88,15,0)/情景假设!P$47*AE$13</f>
        <v>1688.1375929347344</v>
      </c>
      <c r="AF19" s="90">
        <f>VLOOKUP($A19,平滑数据导入!$A$1:$AN$61,COLUMN(平滑数据导入!K$1),0)</f>
        <v>1740.296706364014</v>
      </c>
      <c r="AG19" s="90">
        <f>VLOOKUP($A19,平滑数据导入!$A$1:$AN$61,COLUMN(平滑数据导入!L$1),0)</f>
        <v>1788.423654045371</v>
      </c>
      <c r="AH19" s="90">
        <f>VLOOKUP($A19,平滑数据导入!$A$1:$AN$61,COLUMN(平滑数据导入!M$1),0)</f>
        <v>1832.940817818745</v>
      </c>
      <c r="AI19" s="90">
        <f>VLOOKUP($A19,平滑数据导入!$A$1:$AN$61,COLUMN(平滑数据导入!N$1),0)</f>
        <v>1874.3758953961569</v>
      </c>
      <c r="AJ19" s="141">
        <f>VLOOKUP(A19,情景假设!$B$48:$S$88,16,0)/情景假设!Q$47*AJ$13</f>
        <v>1913.35003803739</v>
      </c>
      <c r="AK19" s="89">
        <f>VLOOKUP($A19,平滑数据导入!$A$1:$AN$61,COLUMN(平滑数据导入!P$1),0)</f>
        <v>1950.417203731771</v>
      </c>
      <c r="AL19" s="90">
        <f>VLOOKUP($A19,平滑数据导入!$A$1:$AN$61,COLUMN(平滑数据导入!Q$1),0)</f>
        <v>1985.583423528298</v>
      </c>
      <c r="AM19" s="90">
        <f>VLOOKUP($A19,平滑数据导入!$A$1:$AN$61,COLUMN(平滑数据导入!R$1),0)</f>
        <v>2018.7151696679671</v>
      </c>
      <c r="AN19" s="90">
        <f>VLOOKUP($A19,平滑数据导入!$A$1:$AN$61,COLUMN(平滑数据导入!S$1),0)</f>
        <v>2049.6844288372099</v>
      </c>
      <c r="AO19" s="101">
        <f>VLOOKUP($A19,平滑数据导入!$A$1:$AN$61,COLUMN(平滑数据导入!T$1),0)</f>
        <v>2078.3695124747892</v>
      </c>
      <c r="AP19" s="90">
        <f>VLOOKUP($A19,平滑数据导入!$A$1:$AN$61,COLUMN(平滑数据导入!U$1),0)</f>
        <v>2104.6558414852939</v>
      </c>
      <c r="AQ19" s="90">
        <f>VLOOKUP($A19,平滑数据导入!$A$1:$AN$61,COLUMN(平滑数据导入!V$1),0)</f>
        <v>2128.4366983988461</v>
      </c>
      <c r="AR19" s="90">
        <f>VLOOKUP($A19,平滑数据导入!$A$1:$AN$61,COLUMN(平滑数据导入!W$1),0)</f>
        <v>2149.6139401724349</v>
      </c>
      <c r="AS19" s="90">
        <f>VLOOKUP($A19,平滑数据导入!$A$1:$AN$61,COLUMN(平滑数据导入!X$1),0)</f>
        <v>2168.0986650616519</v>
      </c>
      <c r="AT19" s="90">
        <f>VLOOKUP($A19,平滑数据导入!$A$1:$AN$61,COLUMN(平滑数据导入!Y$1),0)</f>
        <v>2183.8118273018072</v>
      </c>
      <c r="AU19" s="89">
        <f>VLOOKUP($A19,平滑数据导入!$A$1:$AN$61,COLUMN(平滑数据导入!Z$1),0)</f>
        <v>2196.684793721985</v>
      </c>
      <c r="AV19" s="90">
        <f>VLOOKUP($A19,平滑数据导入!$A$1:$AN$61,COLUMN(平滑数据导入!AA$1),0)</f>
        <v>2206.6598368715181</v>
      </c>
      <c r="AW19" s="90">
        <f>VLOOKUP($A19,平滑数据导入!$A$1:$AN$61,COLUMN(平滑数据导入!AB$1),0)</f>
        <v>2213.6905597612072</v>
      </c>
      <c r="AX19" s="90">
        <f>VLOOKUP($A19,平滑数据导入!$A$1:$AN$61,COLUMN(平滑数据导入!AC$1),0)</f>
        <v>2217.7422479063289</v>
      </c>
      <c r="AY19" s="133">
        <f>VLOOKUP(A19,情景假设!$B$48:$S$88,17,0)/情景假设!R$47*AY$13</f>
        <v>2218.7921449986366</v>
      </c>
      <c r="AZ19" s="89">
        <f>VLOOKUP($A19,平滑数据导入!$A$1:$AN$61,COLUMN(平滑数据导入!AE$1),0)</f>
        <v>2216.8296492232889</v>
      </c>
      <c r="BA19" s="90">
        <f>VLOOKUP($A19,平滑数据导入!$A$1:$AN$61,COLUMN(平滑数据导入!AF$1),0)</f>
        <v>2211.856427965919</v>
      </c>
      <c r="BB19" s="90">
        <f>VLOOKUP($A19,平滑数据导入!$A$1:$AN$61,COLUMN(平滑数据导入!AG$1),0)</f>
        <v>2203.8864494166301</v>
      </c>
      <c r="BC19" s="90">
        <f>VLOOKUP($A19,平滑数据导入!$A$1:$AN$61,COLUMN(平滑数据导入!AH$1),0)</f>
        <v>2192.9459303622239</v>
      </c>
      <c r="BD19" s="101">
        <f>VLOOKUP($A19,平滑数据导入!$A$1:$AN$61,COLUMN(平滑数据导入!AI$1),0)</f>
        <v>2179.0732002562768</v>
      </c>
      <c r="BE19" s="90">
        <f>VLOOKUP($A19,平滑数据导入!$A$1:$AN$61,COLUMN(平滑数据导入!AJ$1),0)</f>
        <v>2162.318482458782</v>
      </c>
      <c r="BF19" s="90">
        <f>VLOOKUP($A19,平滑数据导入!$A$1:$AN$61,COLUMN(平滑数据导入!AK$1),0)</f>
        <v>2142.743594333273</v>
      </c>
      <c r="BG19" s="90">
        <f>VLOOKUP($A19,平滑数据导入!$A$1:$AN$61,COLUMN(平滑数据导入!AL$1),0)</f>
        <v>2120.4215686697639</v>
      </c>
      <c r="BH19" s="90">
        <f>VLOOKUP($A19,平滑数据导入!$A$1:$AN$61,COLUMN(平滑数据导入!AM$1),0)</f>
        <v>2095.4361996565308</v>
      </c>
      <c r="BI19" s="133">
        <f>VLOOKUP(A19,情景假设!$B$48:$S$88,18,0)/情景假设!S$47*BI$13</f>
        <v>2067.8815173439084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(2001-2022, 当年价) '!I20*I$77</f>
        <v>4.2073585081337939</v>
      </c>
      <c r="J20" s="20">
        <f>'增加值 (2001-2022, 当年价) '!J20*J$77</f>
        <v>5.6913481669919435</v>
      </c>
      <c r="K20" s="21">
        <f>'增加值 (2001-2022, 当年价) '!K20*K$77</f>
        <v>6.6710308764954105</v>
      </c>
      <c r="L20" s="19">
        <f>'增加值 (2001-2022, 当年价) '!L20*L$77</f>
        <v>7.8715586982123913</v>
      </c>
      <c r="M20" s="20">
        <f>'增加值 (2001-2022, 当年价) '!M20*M$77</f>
        <v>7.9058264716914133</v>
      </c>
      <c r="N20" s="20">
        <f>'增加值 (2001-2022, 当年价) '!N20*N$77</f>
        <v>8.4565158393190849</v>
      </c>
      <c r="O20" s="20">
        <f>'增加值 (2001-2022, 当年价) '!O20*O$77</f>
        <v>7.8642757355593114</v>
      </c>
      <c r="P20" s="20">
        <f>'增加值 (2001-2022, 当年价) '!P20*P$77</f>
        <v>7.6399586741987617</v>
      </c>
      <c r="Q20" s="19">
        <f>'增加值 (2001-2022, 当年价) '!Q20*Q$77</f>
        <v>6.6132251314970931</v>
      </c>
      <c r="R20" s="20">
        <f>'增加值 (2001-2022, 当年价) '!R20*R$77</f>
        <v>7.651212356064276</v>
      </c>
      <c r="S20" s="20">
        <f>'增加值 (2001-2022, 当年价) '!S20*S$77</f>
        <v>7.8468501110366367</v>
      </c>
      <c r="T20" s="20">
        <f>'增加值 (2001-2022, 当年价) '!T20*T$77</f>
        <v>7.8531685552162784</v>
      </c>
      <c r="U20" s="21">
        <f>'增加值 (2001-2022, 当年价) '!U20*U$77</f>
        <v>7.680442047975407</v>
      </c>
      <c r="V20" s="20">
        <f>'增加值 (2001-2022, 当年价) '!V20*V$77</f>
        <v>7.133140363143748</v>
      </c>
      <c r="W20" s="103">
        <f>'增加值 (2001-2022, 当年价) '!W20*W$77</f>
        <v>9.2604801376398402</v>
      </c>
      <c r="X20" s="90">
        <f>VLOOKUP($A20,平滑数据导入!$A$1:$AN$61,COLUMN(平滑数据导入!C$1),0)</f>
        <v>9.5177244304521853</v>
      </c>
      <c r="Y20" s="90">
        <f>VLOOKUP($A20,平滑数据导入!$A$1:$AN$61,COLUMN(平滑数据导入!D$1),0)</f>
        <v>9.7667730150912018</v>
      </c>
      <c r="Z20" s="141">
        <f>VLOOKUP(A20,情景假设!$B$48:$S$88,14,0)/情景假设!O$47*Z$13</f>
        <v>10.004643737418911</v>
      </c>
      <c r="AA20" s="89">
        <f>VLOOKUP($A20,平滑数据导入!$A$1:$AN$61,COLUMN(平滑数据导入!F$1),0)</f>
        <v>10.228193743879491</v>
      </c>
      <c r="AB20" s="90">
        <f>VLOOKUP($A20,平滑数据导入!$A$1:$AN$61,COLUMN(平滑数据导入!G$1),0)</f>
        <v>10.43415458859625</v>
      </c>
      <c r="AC20" s="90">
        <f>VLOOKUP($A20,平滑数据导入!$A$1:$AN$61,COLUMN(平滑数据导入!H$1),0)</f>
        <v>10.61917577812455</v>
      </c>
      <c r="AD20" s="90">
        <f>VLOOKUP($A20,平滑数据导入!$A$1:$AN$61,COLUMN(平滑数据导入!I$1),0)</f>
        <v>10.77987670268887</v>
      </c>
      <c r="AE20" s="133">
        <f>VLOOKUP(A20,情景假设!$B$48:$S$88,15,0)/情景假设!P$47*AE$13</f>
        <v>10.912906574444921</v>
      </c>
      <c r="AF20" s="90">
        <f>VLOOKUP($A20,平滑数据导入!$A$1:$AN$61,COLUMN(平滑数据导入!K$1),0)</f>
        <v>11.01615914840011</v>
      </c>
      <c r="AG20" s="90">
        <f>VLOOKUP($A20,平滑数据导入!$A$1:$AN$61,COLUMN(平滑数据导入!L$1),0)</f>
        <v>11.09234871729395</v>
      </c>
      <c r="AH20" s="90">
        <f>VLOOKUP($A20,平滑数据导入!$A$1:$AN$61,COLUMN(平滑数据导入!M$1),0)</f>
        <v>11.145666542245269</v>
      </c>
      <c r="AI20" s="90">
        <f>VLOOKUP($A20,平滑数据导入!$A$1:$AN$61,COLUMN(平滑数据导入!N$1),0)</f>
        <v>11.180557649110529</v>
      </c>
      <c r="AJ20" s="141">
        <f>VLOOKUP(A20,情景假设!$B$48:$S$88,16,0)/情景假设!Q$47*AJ$13</f>
        <v>11.201635665186433</v>
      </c>
      <c r="AK20" s="89">
        <f>VLOOKUP($A20,平滑数据导入!$A$1:$AN$61,COLUMN(平滑数据导入!P$1),0)</f>
        <v>11.212795798457529</v>
      </c>
      <c r="AL20" s="90">
        <f>VLOOKUP($A20,平滑数据导入!$A$1:$AN$61,COLUMN(平滑数据导入!Q$1),0)</f>
        <v>11.21470530619241</v>
      </c>
      <c r="AM20" s="90">
        <f>VLOOKUP($A20,平滑数据导入!$A$1:$AN$61,COLUMN(平滑数据导入!R$1),0)</f>
        <v>11.20723700756999</v>
      </c>
      <c r="AN20" s="90">
        <f>VLOOKUP($A20,平滑数据导入!$A$1:$AN$61,COLUMN(平滑数据导入!S$1),0)</f>
        <v>11.190287363210389</v>
      </c>
      <c r="AO20" s="101">
        <f>VLOOKUP($A20,平滑数据导入!$A$1:$AN$61,COLUMN(平滑数据导入!T$1),0)</f>
        <v>11.16377742488304</v>
      </c>
      <c r="AP20" s="90">
        <f>VLOOKUP($A20,平滑数据导入!$A$1:$AN$61,COLUMN(平滑数据导入!U$1),0)</f>
        <v>11.127653690060001</v>
      </c>
      <c r="AQ20" s="90">
        <f>VLOOKUP($A20,平滑数据导入!$A$1:$AN$61,COLUMN(平滑数据导入!V$1),0)</f>
        <v>11.08188885300345</v>
      </c>
      <c r="AR20" s="90">
        <f>VLOOKUP($A20,平滑数据导入!$A$1:$AN$61,COLUMN(平滑数据导入!W$1),0)</f>
        <v>11.026482444529259</v>
      </c>
      <c r="AS20" s="90">
        <f>VLOOKUP($A20,平滑数据导入!$A$1:$AN$61,COLUMN(平滑数据导入!X$1),0)</f>
        <v>10.96146135312808</v>
      </c>
      <c r="AT20" s="90">
        <f>VLOOKUP($A20,平滑数据导入!$A$1:$AN$61,COLUMN(平滑数据导入!Y$1),0)</f>
        <v>10.886880220747781</v>
      </c>
      <c r="AU20" s="89">
        <f>VLOOKUP($A20,平滑数据导入!$A$1:$AN$61,COLUMN(平滑数据导入!Z$1),0)</f>
        <v>10.80282170724692</v>
      </c>
      <c r="AV20" s="90">
        <f>VLOOKUP($A20,平滑数据导入!$A$1:$AN$61,COLUMN(平滑数据导入!AA$1),0)</f>
        <v>10.70939661831216</v>
      </c>
      <c r="AW20" s="90">
        <f>VLOOKUP($A20,平滑数据导入!$A$1:$AN$61,COLUMN(平滑数据导入!AB$1),0)</f>
        <v>10.60674389248987</v>
      </c>
      <c r="AX20" s="90">
        <f>VLOOKUP($A20,平滑数据导入!$A$1:$AN$61,COLUMN(平滑数据导入!AC$1),0)</f>
        <v>10.495030443907391</v>
      </c>
      <c r="AY20" s="133">
        <f>VLOOKUP(A20,情景假设!$B$48:$S$88,17,0)/情景假设!R$47*AY$13</f>
        <v>10.374450858246805</v>
      </c>
      <c r="AZ20" s="89">
        <f>VLOOKUP($A20,平滑数据导入!$A$1:$AN$61,COLUMN(平滑数据导入!AE$1),0)</f>
        <v>10.24522694057443</v>
      </c>
      <c r="BA20" s="90">
        <f>VLOOKUP($A20,平滑数据导入!$A$1:$AN$61,COLUMN(平滑数据导入!AF$1),0)</f>
        <v>10.10760711471581</v>
      </c>
      <c r="BB20" s="90">
        <f>VLOOKUP($A20,平滑数据导入!$A$1:$AN$61,COLUMN(平滑数据导入!AG$1),0)</f>
        <v>9.9618656749878784</v>
      </c>
      <c r="BC20" s="90">
        <f>VLOOKUP($A20,平滑数据导入!$A$1:$AN$61,COLUMN(平滑数据导入!AH$1),0)</f>
        <v>9.8083018922479912</v>
      </c>
      <c r="BD20" s="101">
        <f>VLOOKUP($A20,平滑数据导入!$A$1:$AN$61,COLUMN(平滑数据导入!AI$1),0)</f>
        <v>9.6472389773821785</v>
      </c>
      <c r="BE20" s="90">
        <f>VLOOKUP($A20,平滑数据导入!$A$1:$AN$61,COLUMN(平滑数据导入!AJ$1),0)</f>
        <v>9.4790229065210898</v>
      </c>
      <c r="BF20" s="90">
        <f>VLOOKUP($A20,平滑数据导入!$A$1:$AN$61,COLUMN(平滑数据导入!AK$1),0)</f>
        <v>9.3040211134296111</v>
      </c>
      <c r="BG20" s="90">
        <f>VLOOKUP($A20,平滑数据导入!$A$1:$AN$61,COLUMN(平滑数据导入!AL$1),0)</f>
        <v>9.1226210556533243</v>
      </c>
      <c r="BH20" s="90">
        <f>VLOOKUP($A20,平滑数据导入!$A$1:$AN$61,COLUMN(平滑数据导入!AM$1),0)</f>
        <v>8.9352286621083454</v>
      </c>
      <c r="BI20" s="133">
        <f>VLOOKUP(A20,情景假设!$B$48:$S$88,18,0)/情景假设!S$47*BI$13</f>
        <v>8.7422666708598928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(2001-2022, 当年价) '!I21*I$77</f>
        <v>6050.1815346963958</v>
      </c>
      <c r="J21" s="20">
        <f>'增加值 (2001-2022, 当年价) '!J21*J$77</f>
        <v>6647.1197559437896</v>
      </c>
      <c r="K21" s="21">
        <f>'增加值 (2001-2022, 当年价) '!K21*K$77</f>
        <v>7423.3830327374781</v>
      </c>
      <c r="L21" s="19">
        <f>'增加值 (2001-2022, 当年价) '!L21*L$77</f>
        <v>8138.735509032279</v>
      </c>
      <c r="M21" s="20">
        <f>'增加值 (2001-2022, 当年价) '!M21*M$77</f>
        <v>8801.756427856033</v>
      </c>
      <c r="N21" s="20">
        <f>'增加值 (2001-2022, 当年价) '!N21*N$77</f>
        <v>9147.290394606589</v>
      </c>
      <c r="O21" s="20">
        <f>'增加值 (2001-2022, 当年价) '!O21*O$77</f>
        <v>9445.0378195708508</v>
      </c>
      <c r="P21" s="20">
        <f>'增加值 (2001-2022, 当年价) '!P21*P$77</f>
        <v>9453.4097282134589</v>
      </c>
      <c r="Q21" s="19">
        <f>'增加值 (2001-2022, 当年价) '!Q21*Q$77</f>
        <v>9788.1934403291416</v>
      </c>
      <c r="R21" s="20">
        <f>'增加值 (2001-2022, 当年价) '!R21*R$77</f>
        <v>10581.43367652795</v>
      </c>
      <c r="S21" s="20">
        <f>'增加值 (2001-2022, 当年价) '!S21*S$77</f>
        <v>11157.537384528478</v>
      </c>
      <c r="T21" s="20">
        <f>'增加值 (2001-2022, 当年价) '!T21*T$77</f>
        <v>10962.124829845372</v>
      </c>
      <c r="U21" s="21">
        <f>'增加值 (2001-2022, 当年价) '!U21*U$77</f>
        <v>10445.304759048124</v>
      </c>
      <c r="V21" s="20">
        <f>'增加值 (2001-2022, 当年价) '!V21*V$77</f>
        <v>11712.956168186243</v>
      </c>
      <c r="W21" s="20">
        <f>'增加值 (2001-2022, 当年价) '!W21*W$77</f>
        <v>11981.684218336073</v>
      </c>
      <c r="X21" s="90">
        <f>VLOOKUP($A21,平滑数据导入!$A$1:$AN$61,COLUMN(平滑数据导入!C$1),0)</f>
        <v>12102.24716885043</v>
      </c>
      <c r="Y21" s="90">
        <f>VLOOKUP($A21,平滑数据导入!$A$1:$AN$61,COLUMN(平滑数据导入!D$1),0)</f>
        <v>12223.77381076753</v>
      </c>
      <c r="Z21" s="141">
        <f>VLOOKUP(A21,情景假设!$B$48:$S$88,14,0)/情景假设!O$47*Z$13</f>
        <v>12341.796712521056</v>
      </c>
      <c r="AA21" s="89">
        <f>VLOOKUP($A21,平滑数据导入!$A$1:$AN$61,COLUMN(平滑数据导入!F$1),0)</f>
        <v>12451.679351564761</v>
      </c>
      <c r="AB21" s="90">
        <f>VLOOKUP($A21,平滑数据导入!$A$1:$AN$61,COLUMN(平滑数据导入!G$1),0)</f>
        <v>12548.637788824341</v>
      </c>
      <c r="AC21" s="90">
        <f>VLOOKUP($A21,平滑数据导入!$A$1:$AN$61,COLUMN(平滑数据导入!H$1),0)</f>
        <v>12627.780198199451</v>
      </c>
      <c r="AD21" s="90">
        <f>VLOOKUP($A21,平滑数据导入!$A$1:$AN$61,COLUMN(平滑数据导入!I$1),0)</f>
        <v>12684.16486112496</v>
      </c>
      <c r="AE21" s="133">
        <f>VLOOKUP(A21,情景假设!$B$48:$S$88,15,0)/情景假设!P$47*AE$13</f>
        <v>12712.876725246702</v>
      </c>
      <c r="AF21" s="90">
        <f>VLOOKUP($A21,平滑数据导入!$A$1:$AN$61,COLUMN(平滑数据导入!K$1),0)</f>
        <v>12710.58361822852</v>
      </c>
      <c r="AG21" s="90">
        <f>VLOOKUP($A21,平滑数据导入!$A$1:$AN$61,COLUMN(平滑数据导入!L$1),0)</f>
        <v>12679.99949377381</v>
      </c>
      <c r="AH21" s="90">
        <f>VLOOKUP($A21,平滑数据导入!$A$1:$AN$61,COLUMN(平滑数据导入!M$1),0)</f>
        <v>12625.46561194186</v>
      </c>
      <c r="AI21" s="90">
        <f>VLOOKUP($A21,平滑数据导入!$A$1:$AN$61,COLUMN(平滑数据导入!N$1),0)</f>
        <v>12551.404574245051</v>
      </c>
      <c r="AJ21" s="141">
        <f>VLOOKUP(A21,情景假设!$B$48:$S$88,16,0)/情景假设!Q$47*AJ$13</f>
        <v>12462.246781893375</v>
      </c>
      <c r="AK21" s="89">
        <f>VLOOKUP($A21,平滑数据导入!$A$1:$AN$61,COLUMN(平滑数据导入!P$1),0)</f>
        <v>12361.73908404955</v>
      </c>
      <c r="AL21" s="90">
        <f>VLOOKUP($A21,平滑数据导入!$A$1:$AN$61,COLUMN(平滑数据导入!Q$1),0)</f>
        <v>12251.04783308771</v>
      </c>
      <c r="AM21" s="90">
        <f>VLOOKUP($A21,平滑数据导入!$A$1:$AN$61,COLUMN(平滑数据导入!R$1),0)</f>
        <v>12130.71344431947</v>
      </c>
      <c r="AN21" s="90">
        <f>VLOOKUP($A21,平滑数据导入!$A$1:$AN$61,COLUMN(平滑数据导入!S$1),0)</f>
        <v>12001.28933763737</v>
      </c>
      <c r="AO21" s="101">
        <f>VLOOKUP($A21,平滑数据导入!$A$1:$AN$61,COLUMN(平滑数据导入!T$1),0)</f>
        <v>11863.338744963859</v>
      </c>
      <c r="AP21" s="90">
        <f>VLOOKUP($A21,平滑数据导入!$A$1:$AN$61,COLUMN(平滑数据导入!U$1),0)</f>
        <v>11717.431623640119</v>
      </c>
      <c r="AQ21" s="90">
        <f>VLOOKUP($A21,平滑数据导入!$A$1:$AN$61,COLUMN(平滑数据导入!V$1),0)</f>
        <v>11564.14169274308</v>
      </c>
      <c r="AR21" s="90">
        <f>VLOOKUP($A21,平滑数据导入!$A$1:$AN$61,COLUMN(平滑数据导入!W$1),0)</f>
        <v>11404.043607110139</v>
      </c>
      <c r="AS21" s="90">
        <f>VLOOKUP($A21,平滑数据导入!$A$1:$AN$61,COLUMN(平滑数据导入!X$1),0)</f>
        <v>11237.71028164483</v>
      </c>
      <c r="AT21" s="90">
        <f>VLOOKUP($A21,平滑数据导入!$A$1:$AN$61,COLUMN(平滑数据导入!Y$1),0)</f>
        <v>11065.710376301109</v>
      </c>
      <c r="AU21" s="89">
        <f>VLOOKUP($A21,平滑数据导入!$A$1:$AN$61,COLUMN(平滑数据导入!Z$1),0)</f>
        <v>10888.605950020639</v>
      </c>
      <c r="AV21" s="90">
        <f>VLOOKUP($A21,平滑数据导入!$A$1:$AN$61,COLUMN(平滑数据导入!AA$1),0)</f>
        <v>10706.950289848681</v>
      </c>
      <c r="AW21" s="90">
        <f>VLOOKUP($A21,平滑数据导入!$A$1:$AN$61,COLUMN(平滑数据导入!AB$1),0)</f>
        <v>10521.285919496981</v>
      </c>
      <c r="AX21" s="90">
        <f>VLOOKUP($A21,平滑数据导入!$A$1:$AN$61,COLUMN(平滑数据导入!AC$1),0)</f>
        <v>10332.142789773459</v>
      </c>
      <c r="AY21" s="133">
        <f>VLOOKUP(A21,情景假设!$B$48:$S$88,17,0)/情景假设!R$47*AY$13</f>
        <v>10140.036651567907</v>
      </c>
      <c r="AZ21" s="89">
        <f>VLOOKUP($A21,平滑数据导入!$A$1:$AN$61,COLUMN(平滑数据导入!AE$1),0)</f>
        <v>9945.4676104839564</v>
      </c>
      <c r="BA21" s="90">
        <f>VLOOKUP($A21,平滑数据导入!$A$1:$AN$61,COLUMN(平滑数据导入!AF$1),0)</f>
        <v>9748.9188607442866</v>
      </c>
      <c r="BB21" s="90">
        <f>VLOOKUP($A21,平滑数据导入!$A$1:$AN$61,COLUMN(平滑数据导入!AG$1),0)</f>
        <v>9550.8555946756533</v>
      </c>
      <c r="BC21" s="90">
        <f>VLOOKUP($A21,平滑数据导入!$A$1:$AN$61,COLUMN(平滑数据导入!AH$1),0)</f>
        <v>9351.7240829031052</v>
      </c>
      <c r="BD21" s="101">
        <f>VLOOKUP($A21,平滑数据导入!$A$1:$AN$61,COLUMN(平滑数据导入!AI$1),0)</f>
        <v>9151.9509193522372</v>
      </c>
      <c r="BE21" s="90">
        <f>VLOOKUP($A21,平滑数据导入!$A$1:$AN$61,COLUMN(平滑数据导入!AJ$1),0)</f>
        <v>8951.9424242693221</v>
      </c>
      <c r="BF21" s="90">
        <f>VLOOKUP($A21,平滑数据导入!$A$1:$AN$61,COLUMN(平滑数据导入!AK$1),0)</f>
        <v>8752.0841977220298</v>
      </c>
      <c r="BG21" s="90">
        <f>VLOOKUP($A21,平滑数据导入!$A$1:$AN$61,COLUMN(平滑数据导入!AL$1),0)</f>
        <v>8552.74081543186</v>
      </c>
      <c r="BH21" s="90">
        <f>VLOOKUP($A21,平滑数据导入!$A$1:$AN$61,COLUMN(平滑数据导入!AM$1),0)</f>
        <v>8354.2556583076421</v>
      </c>
      <c r="BI21" s="133">
        <f>VLOOKUP(A21,情景假设!$B$48:$S$88,18,0)/情景假设!S$47*BI$13</f>
        <v>8156.9508666910315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(2001-2022, 当年价) '!I22*I$77</f>
        <v>2840.6455992012998</v>
      </c>
      <c r="J22" s="20">
        <f>'增加值 (2001-2022, 当年价) '!J22*J$77</f>
        <v>3072.4467177068132</v>
      </c>
      <c r="K22" s="21">
        <f>'增加值 (2001-2022, 当年价) '!K22*K$77</f>
        <v>3437.2202803711198</v>
      </c>
      <c r="L22" s="19">
        <f>'增加值 (2001-2022, 当年价) '!L22*L$77</f>
        <v>3867.5299130704925</v>
      </c>
      <c r="M22" s="20">
        <f>'增加值 (2001-2022, 当年价) '!M22*M$77</f>
        <v>4116.3241269140553</v>
      </c>
      <c r="N22" s="20">
        <f>'增加值 (2001-2022, 当年价) '!N22*N$77</f>
        <v>4301.3823456235787</v>
      </c>
      <c r="O22" s="20">
        <f>'增加值 (2001-2022, 当年价) '!O22*O$77</f>
        <v>4478.5085208395594</v>
      </c>
      <c r="P22" s="20">
        <f>'增加值 (2001-2022, 当年价) '!P22*P$77</f>
        <v>4567.4540786538546</v>
      </c>
      <c r="Q22" s="19">
        <f>'增加值 (2001-2022, 当年价) '!Q22*Q$77</f>
        <v>4849.5535940714435</v>
      </c>
      <c r="R22" s="20">
        <f>'增加值 (2001-2022, 当年价) '!R22*R$77</f>
        <v>5355.4655716280495</v>
      </c>
      <c r="S22" s="20">
        <f>'增加值 (2001-2022, 当年价) '!S22*S$77</f>
        <v>5689.7020900355756</v>
      </c>
      <c r="T22" s="20">
        <f>'增加值 (2001-2022, 当年价) '!T22*T$77</f>
        <v>5776.570889117249</v>
      </c>
      <c r="U22" s="21">
        <f>'增加值 (2001-2022, 当年价) '!U22*U$77</f>
        <v>5671.8703052305846</v>
      </c>
      <c r="V22" s="20">
        <f>'增加值 (2001-2022, 当年价) '!V22*V$77</f>
        <v>6377.9299660669476</v>
      </c>
      <c r="W22" s="103">
        <f>'增加值 (2001-2022, 当年价) '!W22*W$77</f>
        <v>6627.9200426937196</v>
      </c>
      <c r="X22" s="90">
        <f>VLOOKUP($A22,平滑数据导入!$A$1:$AN$61,COLUMN(平滑数据导入!C$1),0)</f>
        <v>6790.6707984691939</v>
      </c>
      <c r="Y22" s="90">
        <f>VLOOKUP($A22,平滑数据导入!$A$1:$AN$61,COLUMN(平滑数据导入!D$1),0)</f>
        <v>6948.5035438506866</v>
      </c>
      <c r="Z22" s="141">
        <f>VLOOKUP(A22,情景假设!$B$48:$S$88,14,0)/情景假设!O$47*Z$13</f>
        <v>7099.2571345209262</v>
      </c>
      <c r="AA22" s="89">
        <f>VLOOKUP($A22,平滑数据导入!$A$1:$AN$61,COLUMN(平滑数据导入!F$1),0)</f>
        <v>7240.6469784253586</v>
      </c>
      <c r="AB22" s="90">
        <f>VLOOKUP($A22,平滑数据导入!$A$1:$AN$61,COLUMN(平滑数据导入!G$1),0)</f>
        <v>7370.2889045366428</v>
      </c>
      <c r="AC22" s="90">
        <f>VLOOKUP($A22,平滑数据导入!$A$1:$AN$61,COLUMN(平滑数据导入!H$1),0)</f>
        <v>7485.7298180197577</v>
      </c>
      <c r="AD22" s="90">
        <f>VLOOKUP($A22,平滑数据导入!$A$1:$AN$61,COLUMN(平滑数据导入!I$1),0)</f>
        <v>7584.4852203338896</v>
      </c>
      <c r="AE22" s="133">
        <f>VLOOKUP(A22,情景假设!$B$48:$S$88,15,0)/情景假设!P$47*AE$13</f>
        <v>7664.0834126362952</v>
      </c>
      <c r="AF22" s="90">
        <f>VLOOKUP($A22,平滑数据导入!$A$1:$AN$61,COLUMN(平滑数据导入!K$1),0)</f>
        <v>7722.9596739942226</v>
      </c>
      <c r="AG22" s="90">
        <f>VLOOKUP($A22,平滑数据导入!$A$1:$AN$61,COLUMN(平滑数据导入!L$1),0)</f>
        <v>7763.0758328452694</v>
      </c>
      <c r="AH22" s="90">
        <f>VLOOKUP($A22,平滑数据导入!$A$1:$AN$61,COLUMN(平滑数据导入!M$1),0)</f>
        <v>7787.4441472442459</v>
      </c>
      <c r="AI22" s="90">
        <f>VLOOKUP($A22,平滑数据导入!$A$1:$AN$61,COLUMN(平滑数据导入!N$1),0)</f>
        <v>7799.2286712226432</v>
      </c>
      <c r="AJ22" s="141">
        <f>VLOOKUP(A22,情景假设!$B$48:$S$88,16,0)/情景假设!Q$47*AJ$13</f>
        <v>7801.6864788675657</v>
      </c>
      <c r="AK22" s="89">
        <f>VLOOKUP($A22,平滑数据导入!$A$1:$AN$61,COLUMN(平滑数据导入!P$1),0)</f>
        <v>7797.5542286462423</v>
      </c>
      <c r="AL22" s="90">
        <f>VLOOKUP($A22,平滑数据导入!$A$1:$AN$61,COLUMN(平滑数据导入!Q$1),0)</f>
        <v>7787.3183978504521</v>
      </c>
      <c r="AM22" s="90">
        <f>VLOOKUP($A22,平滑数据导入!$A$1:$AN$61,COLUMN(平滑数据导入!R$1),0)</f>
        <v>7770.9126568702404</v>
      </c>
      <c r="AN22" s="90">
        <f>VLOOKUP($A22,平滑数据导入!$A$1:$AN$61,COLUMN(平滑数据导入!S$1),0)</f>
        <v>7748.2859573436872</v>
      </c>
      <c r="AO22" s="101">
        <f>VLOOKUP($A22,平滑数据导入!$A$1:$AN$61,COLUMN(平滑数据导入!T$1),0)</f>
        <v>7719.4030945433951</v>
      </c>
      <c r="AP22" s="90">
        <f>VLOOKUP($A22,平滑数据导入!$A$1:$AN$61,COLUMN(平滑数据导入!U$1),0)</f>
        <v>7684.245209537853</v>
      </c>
      <c r="AQ22" s="90">
        <f>VLOOKUP($A22,平滑数据导入!$A$1:$AN$61,COLUMN(平滑数据导入!V$1),0)</f>
        <v>7642.8102260617179</v>
      </c>
      <c r="AR22" s="90">
        <f>VLOOKUP($A22,平滑数据导入!$A$1:$AN$61,COLUMN(平滑数据导入!W$1),0)</f>
        <v>7595.1132173042333</v>
      </c>
      <c r="AS22" s="90">
        <f>VLOOKUP($A22,平滑数据导入!$A$1:$AN$61,COLUMN(平滑数据导入!X$1),0)</f>
        <v>7541.1866981539488</v>
      </c>
      <c r="AT22" s="90">
        <f>VLOOKUP($A22,平滑数据导入!$A$1:$AN$61,COLUMN(平滑数据导入!Y$1),0)</f>
        <v>7481.0808388175255</v>
      </c>
      <c r="AU22" s="89">
        <f>VLOOKUP($A22,平滑数据导入!$A$1:$AN$61,COLUMN(平滑数据导入!Z$1),0)</f>
        <v>7414.8635961610134</v>
      </c>
      <c r="AV22" s="90">
        <f>VLOOKUP($A22,平滑数据导入!$A$1:$AN$61,COLUMN(平滑数据导入!AA$1),0)</f>
        <v>7342.6207596002841</v>
      </c>
      <c r="AW22" s="90">
        <f>VLOOKUP($A22,平滑数据导入!$A$1:$AN$61,COLUMN(平滑数据导入!AB$1),0)</f>
        <v>7264.455908892347</v>
      </c>
      <c r="AX22" s="90">
        <f>VLOOKUP($A22,平滑数据导入!$A$1:$AN$61,COLUMN(平滑数据导入!AC$1),0)</f>
        <v>7180.4902817456214</v>
      </c>
      <c r="AY22" s="133">
        <f>VLOOKUP(A22,情景假设!$B$48:$S$88,17,0)/情景假设!R$47*AY$13</f>
        <v>7090.8625497731555</v>
      </c>
      <c r="AZ22" s="89">
        <f>VLOOKUP($A22,平滑数据导入!$A$1:$AN$61,COLUMN(平滑数据导入!AE$1),0)</f>
        <v>6995.7285019524124</v>
      </c>
      <c r="BA22" s="90">
        <f>VLOOKUP($A22,平滑数据导入!$A$1:$AN$61,COLUMN(平滑数据导入!AF$1),0)</f>
        <v>6895.2606354237996</v>
      </c>
      <c r="BB22" s="90">
        <f>VLOOKUP($A22,平滑数据导入!$A$1:$AN$61,COLUMN(平滑数据导入!AG$1),0)</f>
        <v>6789.6476541523416</v>
      </c>
      <c r="BC22" s="90">
        <f>VLOOKUP($A22,平滑数据导入!$A$1:$AN$61,COLUMN(平滑数据导入!AH$1),0)</f>
        <v>6679.0938766861909</v>
      </c>
      <c r="BD22" s="101">
        <f>VLOOKUP($A22,平滑数据导入!$A$1:$AN$61,COLUMN(平滑数据导入!AI$1),0)</f>
        <v>6563.8185549655745</v>
      </c>
      <c r="BE22" s="90">
        <f>VLOOKUP($A22,平滑数据导入!$A$1:$AN$61,COLUMN(平滑数据导入!AJ$1),0)</f>
        <v>6444.0551068597824</v>
      </c>
      <c r="BF22" s="90">
        <f>VLOOKUP($A22,平滑数据导入!$A$1:$AN$61,COLUMN(平滑数据导入!AK$1),0)</f>
        <v>6320.0502658297937</v>
      </c>
      <c r="BG22" s="90">
        <f>VLOOKUP($A22,平滑数据导入!$A$1:$AN$61,COLUMN(平滑数据导入!AL$1),0)</f>
        <v>6192.0631518230357</v>
      </c>
      <c r="BH22" s="90">
        <f>VLOOKUP($A22,平滑数据导入!$A$1:$AN$61,COLUMN(平滑数据导入!AM$1),0)</f>
        <v>6060.3642681975143</v>
      </c>
      <c r="BI22" s="133">
        <f>VLOOKUP(A22,情景假设!$B$48:$S$88,18,0)/情景假设!S$47*BI$13</f>
        <v>5925.234430136129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(2001-2022, 当年价) '!I23*I$77</f>
        <v>3020.3405238712726</v>
      </c>
      <c r="J23" s="20">
        <f>'增加值 (2001-2022, 当年价) '!J23*J$77</f>
        <v>3281.1205636919672</v>
      </c>
      <c r="K23" s="21">
        <f>'增加值 (2001-2022, 当年价) '!K23*K$77</f>
        <v>3651.550680724517</v>
      </c>
      <c r="L23" s="19">
        <f>'增加值 (2001-2022, 当年价) '!L23*L$77</f>
        <v>4171.8492624004839</v>
      </c>
      <c r="M23" s="20">
        <f>'增加值 (2001-2022, 当年价) '!M23*M$77</f>
        <v>4468.0210462305595</v>
      </c>
      <c r="N23" s="20">
        <f>'增加值 (2001-2022, 当年价) '!N23*N$77</f>
        <v>4677.3794495133261</v>
      </c>
      <c r="O23" s="20">
        <f>'增加值 (2001-2022, 当年价) '!O23*O$77</f>
        <v>4775.8177167059885</v>
      </c>
      <c r="P23" s="20">
        <f>'增加值 (2001-2022, 当年价) '!P23*P$77</f>
        <v>4879.7297009487811</v>
      </c>
      <c r="Q23" s="19">
        <f>'增加值 (2001-2022, 当年价) '!Q23*Q$77</f>
        <v>5143.0198420387633</v>
      </c>
      <c r="R23" s="20">
        <f>'增加值 (2001-2022, 当年价) '!R23*R$77</f>
        <v>5679.5466147461566</v>
      </c>
      <c r="S23" s="20">
        <f>'增加值 (2001-2022, 当年价) '!S23*S$77</f>
        <v>6067.9398448699503</v>
      </c>
      <c r="T23" s="20">
        <f>'增加值 (2001-2022, 当年价) '!T23*T$77</f>
        <v>6213.2380330633578</v>
      </c>
      <c r="U23" s="21">
        <f>'增加值 (2001-2022, 当年价) '!U23*U$77</f>
        <v>5848.183273548666</v>
      </c>
      <c r="V23" s="20">
        <f>'增加值 (2001-2022, 当年价) '!V23*V$77</f>
        <v>6734.5068704919468</v>
      </c>
      <c r="W23" s="20">
        <f>'增加值 (2001-2022, 当年价) '!W23*W$77</f>
        <v>7272.1184742926107</v>
      </c>
      <c r="X23" s="90">
        <f>VLOOKUP($A23,平滑数据导入!$A$1:$AN$61,COLUMN(平滑数据导入!C$1),0)</f>
        <v>7483.6637052869846</v>
      </c>
      <c r="Y23" s="90">
        <f>VLOOKUP($A23,平滑数据导入!$A$1:$AN$61,COLUMN(平滑数据导入!D$1),0)</f>
        <v>7688.3887252694194</v>
      </c>
      <c r="Z23" s="141">
        <f>VLOOKUP(A23,情景假设!$B$48:$S$88,14,0)/情景假设!O$47*Z$13</f>
        <v>7883.9562197631958</v>
      </c>
      <c r="AA23" s="89">
        <f>VLOOKUP($A23,平滑数据导入!$A$1:$AN$61,COLUMN(平滑数据导入!F$1),0)</f>
        <v>8067.9077612547726</v>
      </c>
      <c r="AB23" s="90">
        <f>VLOOKUP($A23,平滑数据导入!$A$1:$AN$61,COLUMN(平滑数据导入!G$1),0)</f>
        <v>8237.6918698552527</v>
      </c>
      <c r="AC23" s="90">
        <f>VLOOKUP($A23,平滑数据导入!$A$1:$AN$61,COLUMN(平滑数据导入!H$1),0)</f>
        <v>8390.6983662881703</v>
      </c>
      <c r="AD23" s="90">
        <f>VLOOKUP($A23,平滑数据导入!$A$1:$AN$61,COLUMN(平滑数据导入!I$1),0)</f>
        <v>8524.298924733941</v>
      </c>
      <c r="AE23" s="133">
        <f>VLOOKUP(A23,情景假设!$B$48:$S$88,15,0)/情景假设!P$47*AE$13</f>
        <v>8635.8934873394919</v>
      </c>
      <c r="AF23" s="90">
        <f>VLOOKUP($A23,平滑数据导入!$A$1:$AN$61,COLUMN(平滑数据导入!K$1),0)</f>
        <v>8723.852696087577</v>
      </c>
      <c r="AG23" s="90">
        <f>VLOOKUP($A23,平滑数据导入!$A$1:$AN$61,COLUMN(平滑数据导入!L$1),0)</f>
        <v>8790.2979117893246</v>
      </c>
      <c r="AH23" s="90">
        <f>VLOOKUP($A23,平滑数据导入!$A$1:$AN$61,COLUMN(平滑数据导入!M$1),0)</f>
        <v>8838.5132633981575</v>
      </c>
      <c r="AI23" s="90">
        <f>VLOOKUP($A23,平滑数据导入!$A$1:$AN$61,COLUMN(平滑数据导入!N$1),0)</f>
        <v>8871.9957692946391</v>
      </c>
      <c r="AJ23" s="141">
        <f>VLOOKUP(A23,情景假设!$B$48:$S$88,16,0)/情景假设!Q$47*AJ$13</f>
        <v>8894.3875429306863</v>
      </c>
      <c r="AK23" s="89">
        <f>VLOOKUP($A23,平滑数据导入!$A$1:$AN$61,COLUMN(平滑数据导入!P$1),0)</f>
        <v>8908.7695209744179</v>
      </c>
      <c r="AL23" s="90">
        <f>VLOOKUP($A23,平滑数据导入!$A$1:$AN$61,COLUMN(平滑数据导入!Q$1),0)</f>
        <v>8915.6604739096056</v>
      </c>
      <c r="AM23" s="90">
        <f>VLOOKUP($A23,平滑数据导入!$A$1:$AN$61,COLUMN(平滑数据导入!R$1),0)</f>
        <v>8914.9481251481102</v>
      </c>
      <c r="AN23" s="90">
        <f>VLOOKUP($A23,平滑数据导入!$A$1:$AN$61,COLUMN(平滑数据导入!S$1),0)</f>
        <v>8906.5395145999519</v>
      </c>
      <c r="AO23" s="101">
        <f>VLOOKUP($A23,平滑数据导入!$A$1:$AN$61,COLUMN(平滑数据导入!T$1),0)</f>
        <v>8890.3618038374861</v>
      </c>
      <c r="AP23" s="90">
        <f>VLOOKUP($A23,平滑数据导入!$A$1:$AN$61,COLUMN(平滑数据导入!U$1),0)</f>
        <v>8866.3630028305852</v>
      </c>
      <c r="AQ23" s="90">
        <f>VLOOKUP($A23,平滑数据导入!$A$1:$AN$61,COLUMN(平滑数据导入!V$1),0)</f>
        <v>8834.5126112796897</v>
      </c>
      <c r="AR23" s="90">
        <f>VLOOKUP($A23,平滑数据导入!$A$1:$AN$61,COLUMN(平滑数据导入!W$1),0)</f>
        <v>8794.8021679544672</v>
      </c>
      <c r="AS23" s="90">
        <f>VLOOKUP($A23,平滑数据导入!$A$1:$AN$61,COLUMN(平滑数据导入!X$1),0)</f>
        <v>8747.2457018952991</v>
      </c>
      <c r="AT23" s="90">
        <f>VLOOKUP($A23,平滑数据导入!$A$1:$AN$61,COLUMN(平滑数据导入!Y$1),0)</f>
        <v>8691.8800798579759</v>
      </c>
      <c r="AU23" s="89">
        <f>VLOOKUP($A23,平滑数据导入!$A$1:$AN$61,COLUMN(平滑数据导入!Z$1),0)</f>
        <v>8628.765244970893</v>
      </c>
      <c r="AV23" s="90">
        <f>VLOOKUP($A23,平滑数据导入!$A$1:$AN$61,COLUMN(平滑数据导入!AA$1),0)</f>
        <v>8557.9843422309877</v>
      </c>
      <c r="AW23" s="90">
        <f>VLOOKUP($A23,平滑数据导入!$A$1:$AN$61,COLUMN(平滑数据导入!AB$1),0)</f>
        <v>8479.6437271807608</v>
      </c>
      <c r="AX23" s="90">
        <f>VLOOKUP($A23,平滑数据导入!$A$1:$AN$61,COLUMN(平滑数据导入!AC$1),0)</f>
        <v>8393.8728548828876</v>
      </c>
      <c r="AY23" s="133">
        <f>VLOOKUP(A23,情景假设!$B$48:$S$88,17,0)/情景假设!R$47*AY$13</f>
        <v>8300.8240471342015</v>
      </c>
      <c r="AZ23" s="89">
        <f>VLOOKUP($A23,平滑数据导入!$A$1:$AN$61,COLUMN(平滑数据导入!AE$1),0)</f>
        <v>8200.6721367294031</v>
      </c>
      <c r="BA23" s="90">
        <f>VLOOKUP($A23,平滑数据导入!$A$1:$AN$61,COLUMN(平滑数据导入!AF$1),0)</f>
        <v>8093.6139884928489</v>
      </c>
      <c r="BB23" s="90">
        <f>VLOOKUP($A23,平滑数据导入!$A$1:$AN$61,COLUMN(平滑数据导入!AG$1),0)</f>
        <v>7979.8678977317659</v>
      </c>
      <c r="BC23" s="90">
        <f>VLOOKUP($A23,平滑数据导入!$A$1:$AN$61,COLUMN(平滑数据导入!AH$1),0)</f>
        <v>7859.6728677223564</v>
      </c>
      <c r="BD23" s="101">
        <f>VLOOKUP($A23,平滑数据导入!$A$1:$AN$61,COLUMN(平滑数据导入!AI$1),0)</f>
        <v>7733.2877688080234</v>
      </c>
      <c r="BE23" s="90">
        <f>VLOOKUP($A23,平滑数据导入!$A$1:$AN$61,COLUMN(平滑数据导入!AJ$1),0)</f>
        <v>7600.990382660525</v>
      </c>
      <c r="BF23" s="90">
        <f>VLOOKUP($A23,平滑数据导入!$A$1:$AN$61,COLUMN(平滑数据导入!AK$1),0)</f>
        <v>7463.0763362168464</v>
      </c>
      <c r="BG23" s="90">
        <f>VLOOKUP($A23,平滑数据导入!$A$1:$AN$61,COLUMN(平滑数据导入!AL$1),0)</f>
        <v>7319.8579307503778</v>
      </c>
      <c r="BH23" s="90">
        <f>VLOOKUP($A23,平滑数据导入!$A$1:$AN$61,COLUMN(平滑数据导入!AM$1),0)</f>
        <v>7171.6628724496413</v>
      </c>
      <c r="BI23" s="133">
        <f>VLOOKUP(A23,情景假设!$B$48:$S$88,18,0)/情景假设!S$47*BI$13</f>
        <v>7018.8329117573767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(2001-2022, 当年价) '!I24*I$77</f>
        <v>5910.2529339903967</v>
      </c>
      <c r="J24" s="20">
        <f>'增加值 (2001-2022, 当年价) '!J24*J$77</f>
        <v>6061.9868434906066</v>
      </c>
      <c r="K24" s="21">
        <f>'增加值 (2001-2022, 当年价) '!K24*K$77</f>
        <v>6587.4237670059674</v>
      </c>
      <c r="L24" s="19">
        <f>'增加值 (2001-2022, 当年价) '!L24*L$77</f>
        <v>7127.2733201323808</v>
      </c>
      <c r="M24" s="20">
        <f>'增加值 (2001-2022, 当年价) '!M24*M$77</f>
        <v>7416.135483677398</v>
      </c>
      <c r="N24" s="20">
        <f>'增加值 (2001-2022, 当年价) '!N24*N$77</f>
        <v>7552.2827148565511</v>
      </c>
      <c r="O24" s="20">
        <f>'增加值 (2001-2022, 当年价) '!O24*O$77</f>
        <v>7834.3150298743867</v>
      </c>
      <c r="P24" s="20">
        <f>'增加值 (2001-2022, 当年价) '!P24*P$77</f>
        <v>7685.1772861720265</v>
      </c>
      <c r="Q24" s="19">
        <f>'增加值 (2001-2022, 当年价) '!Q24*Q$77</f>
        <v>6877.3623126955108</v>
      </c>
      <c r="R24" s="20">
        <f>'增加值 (2001-2022, 当年价) '!R24*R$77</f>
        <v>7204.9831937381059</v>
      </c>
      <c r="S24" s="20">
        <f>'增加值 (2001-2022, 当年价) '!S24*S$77</f>
        <v>7604.4308278526087</v>
      </c>
      <c r="T24" s="20">
        <f>'增加值 (2001-2022, 当年价) '!T24*T$77</f>
        <v>7713.2012358029078</v>
      </c>
      <c r="U24" s="21">
        <f>'增加值 (2001-2022, 当年价) '!U24*U$77</f>
        <v>7700.2442564631801</v>
      </c>
      <c r="V24" s="20">
        <f>'增加值 (2001-2022, 当年价) '!V24*V$77</f>
        <v>8298.0213959945031</v>
      </c>
      <c r="W24" s="20">
        <f>'增加值 (2001-2022, 当年价) '!W24*W$77</f>
        <v>9019.4531857153415</v>
      </c>
      <c r="X24" s="90">
        <f>VLOOKUP($A24,平滑数据导入!$A$1:$AN$61,COLUMN(平滑数据导入!C$1),0)</f>
        <v>9191.6066129831506</v>
      </c>
      <c r="Y24" s="90">
        <f>VLOOKUP($A24,平滑数据导入!$A$1:$AN$61,COLUMN(平滑数据导入!D$1),0)</f>
        <v>9359.640178156953</v>
      </c>
      <c r="Z24" s="141">
        <f>VLOOKUP(A24,情景假设!$B$48:$S$88,14,0)/情景假设!O$47*Z$13</f>
        <v>9520.4745433777352</v>
      </c>
      <c r="AA24" s="89">
        <f>VLOOKUP($A24,平滑数据导入!$A$1:$AN$61,COLUMN(平滑数据导入!F$1),0)</f>
        <v>9670.8572573595848</v>
      </c>
      <c r="AB24" s="90">
        <f>VLOOKUP($A24,平滑数据导入!$A$1:$AN$61,COLUMN(平滑数据导入!G$1),0)</f>
        <v>9807.3912025479895</v>
      </c>
      <c r="AC24" s="90">
        <f>VLOOKUP($A24,平滑数据导入!$A$1:$AN$61,COLUMN(平滑数据导入!H$1),0)</f>
        <v>9926.574099003843</v>
      </c>
      <c r="AD24" s="90">
        <f>VLOOKUP($A24,平滑数据导入!$A$1:$AN$61,COLUMN(平滑数据导入!I$1),0)</f>
        <v>10024.849409416889</v>
      </c>
      <c r="AE24" s="133">
        <f>VLOOKUP(A24,情景假设!$B$48:$S$88,15,0)/情景假设!P$47*AE$13</f>
        <v>10098.668587856844</v>
      </c>
      <c r="AF24" s="90">
        <f>VLOOKUP($A24,平滑数据导入!$A$1:$AN$61,COLUMN(平滑数据导入!K$1),0)</f>
        <v>10145.760940784559</v>
      </c>
      <c r="AG24" s="90">
        <f>VLOOKUP($A24,平滑数据导入!$A$1:$AN$61,COLUMN(平滑数据导入!L$1),0)</f>
        <v>10168.82459018293</v>
      </c>
      <c r="AH24" s="90">
        <f>VLOOKUP($A24,平滑数据导入!$A$1:$AN$61,COLUMN(平滑数据导入!M$1),0)</f>
        <v>10171.971381345629</v>
      </c>
      <c r="AI24" s="90">
        <f>VLOOKUP($A24,平滑数据导入!$A$1:$AN$61,COLUMN(平滑数据导入!N$1),0)</f>
        <v>10159.45388049722</v>
      </c>
      <c r="AJ24" s="141">
        <f>VLOOKUP(A24,情景假设!$B$48:$S$88,16,0)/情景假设!Q$47*AJ$13</f>
        <v>10135.590913829652</v>
      </c>
      <c r="AK24" s="89">
        <f>VLOOKUP($A24,平滑数据导入!$A$1:$AN$61,COLUMN(平滑数据导入!P$1),0)</f>
        <v>10103.980807165261</v>
      </c>
      <c r="AL24" s="90">
        <f>VLOOKUP($A24,平滑数据导入!$A$1:$AN$61,COLUMN(平滑数据导入!Q$1),0)</f>
        <v>10065.294162901169</v>
      </c>
      <c r="AM24" s="90">
        <f>VLOOKUP($A24,平滑数据导入!$A$1:$AN$61,COLUMN(平滑数据导入!R$1),0)</f>
        <v>10019.484499132021</v>
      </c>
      <c r="AN24" s="90">
        <f>VLOOKUP($A24,平滑数据导入!$A$1:$AN$61,COLUMN(平滑数据导入!S$1),0)</f>
        <v>9966.5226147403246</v>
      </c>
      <c r="AO24" s="101">
        <f>VLOOKUP($A24,平滑数据导入!$A$1:$AN$61,COLUMN(平滑数据导入!T$1),0)</f>
        <v>9906.3971436601296</v>
      </c>
      <c r="AP24" s="90">
        <f>VLOOKUP($A24,平滑数据导入!$A$1:$AN$61,COLUMN(平滑数据导入!U$1),0)</f>
        <v>9839.1150433621915</v>
      </c>
      <c r="AQ24" s="90">
        <f>VLOOKUP($A24,平滑数据导入!$A$1:$AN$61,COLUMN(平滑数据导入!V$1),0)</f>
        <v>9764.7020122686008</v>
      </c>
      <c r="AR24" s="90">
        <f>VLOOKUP($A24,平滑数据导入!$A$1:$AN$61,COLUMN(平滑数据导入!W$1),0)</f>
        <v>9683.2028310846708</v>
      </c>
      <c r="AS24" s="90">
        <f>VLOOKUP($A24,平滑数据导入!$A$1:$AN$61,COLUMN(平滑数据导入!X$1),0)</f>
        <v>9594.6816233724749</v>
      </c>
      <c r="AT24" s="90">
        <f>VLOOKUP($A24,平滑数据导入!$A$1:$AN$61,COLUMN(平滑数据导入!Y$1),0)</f>
        <v>9499.2220310798839</v>
      </c>
      <c r="AU24" s="89">
        <f>VLOOKUP($A24,平滑数据导入!$A$1:$AN$61,COLUMN(平滑数据导入!Z$1),0)</f>
        <v>9396.9273011834666</v>
      </c>
      <c r="AV24" s="90">
        <f>VLOOKUP($A24,平滑数据导入!$A$1:$AN$61,COLUMN(平滑数据导入!AA$1),0)</f>
        <v>9287.9202800977801</v>
      </c>
      <c r="AW24" s="90">
        <f>VLOOKUP($A24,平滑数据导入!$A$1:$AN$61,COLUMN(平滑数据导入!AB$1),0)</f>
        <v>9172.3433130494395</v>
      </c>
      <c r="AX24" s="90">
        <f>VLOOKUP($A24,平滑数据导入!$A$1:$AN$61,COLUMN(平滑数据导入!AC$1),0)</f>
        <v>9050.3580462040245</v>
      </c>
      <c r="AY24" s="133">
        <f>VLOOKUP(A24,情景假设!$B$48:$S$88,17,0)/情景假设!R$47*AY$13</f>
        <v>8922.1451299684195</v>
      </c>
      <c r="AZ24" s="89">
        <f>VLOOKUP($A24,平滑数据导入!$A$1:$AN$61,COLUMN(平滑数据导入!AE$1),0)</f>
        <v>8787.9038225619352</v>
      </c>
      <c r="BA24" s="90">
        <f>VLOOKUP($A24,平滑数据导入!$A$1:$AN$61,COLUMN(平滑数据导入!AF$1),0)</f>
        <v>8647.8514936554275</v>
      </c>
      <c r="BB24" s="90">
        <f>VLOOKUP($A24,平滑数据导入!$A$1:$AN$61,COLUMN(平滑数据导入!AG$1),0)</f>
        <v>8502.2230286089489</v>
      </c>
      <c r="BC24" s="90">
        <f>VLOOKUP($A24,平滑数据导入!$A$1:$AN$61,COLUMN(平滑数据导入!AH$1),0)</f>
        <v>8351.2701345932073</v>
      </c>
      <c r="BD24" s="101">
        <f>VLOOKUP($A24,平滑数据导入!$A$1:$AN$61,COLUMN(平滑数据导入!AI$1),0)</f>
        <v>8195.2605506480359</v>
      </c>
      <c r="BE24" s="90">
        <f>VLOOKUP($A24,平滑数据导入!$A$1:$AN$61,COLUMN(平滑数据导入!AJ$1),0)</f>
        <v>8034.4771645068586</v>
      </c>
      <c r="BF24" s="90">
        <f>VLOOKUP($A24,平滑数据导入!$A$1:$AN$61,COLUMN(平滑数据导入!AK$1),0)</f>
        <v>7869.217039792391</v>
      </c>
      <c r="BG24" s="90">
        <f>VLOOKUP($A24,平滑数据导入!$A$1:$AN$61,COLUMN(平滑数据导入!AL$1),0)</f>
        <v>7699.7903579554122</v>
      </c>
      <c r="BH24" s="90">
        <f>VLOOKUP($A24,平滑数据导入!$A$1:$AN$61,COLUMN(平滑数据导入!AM$1),0)</f>
        <v>7526.5192800809245</v>
      </c>
      <c r="BI24" s="133">
        <f>VLOOKUP(A24,情景假设!$B$48:$S$88,18,0)/情景假设!S$47*BI$13</f>
        <v>7349.7367344125441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(2001-2022, 当年价) '!I25*I$77</f>
        <v>5647.7680515797283</v>
      </c>
      <c r="J25" s="20">
        <f>'增加值 (2001-2022, 当年价) '!J25*J$77</f>
        <v>5808.8244530877719</v>
      </c>
      <c r="K25" s="21">
        <f>'增加值 (2001-2022, 当年价) '!K25*K$77</f>
        <v>6295.3948284344315</v>
      </c>
      <c r="L25" s="19">
        <f>'增加值 (2001-2022, 当年价) '!L25*L$77</f>
        <v>6551.1998829030117</v>
      </c>
      <c r="M25" s="20">
        <f>'增加值 (2001-2022, 当年价) '!M25*M$77</f>
        <v>6997.5786247679334</v>
      </c>
      <c r="N25" s="20">
        <f>'增加值 (2001-2022, 当年价) '!N25*N$77</f>
        <v>7225.7532936361977</v>
      </c>
      <c r="O25" s="20">
        <f>'增加值 (2001-2022, 当年价) '!O25*O$77</f>
        <v>7391.6786908238228</v>
      </c>
      <c r="P25" s="20">
        <f>'增加值 (2001-2022, 当年价) '!P25*P$77</f>
        <v>7503.4186514554003</v>
      </c>
      <c r="Q25" s="19">
        <f>'增加值 (2001-2022, 当年价) '!Q25*Q$77</f>
        <v>7725.2103975749078</v>
      </c>
      <c r="R25" s="20">
        <f>'增加值 (2001-2022, 当年价) '!R25*R$77</f>
        <v>8132.3183921548325</v>
      </c>
      <c r="S25" s="20">
        <f>'增加值 (2001-2022, 当年价) '!S25*S$77</f>
        <v>8178.3110397253649</v>
      </c>
      <c r="T25" s="20">
        <f>'增加值 (2001-2022, 当年价) '!T25*T$77</f>
        <v>7987.7649672471616</v>
      </c>
      <c r="U25" s="21">
        <f>'增加值 (2001-2022, 当年价) '!U25*U$77</f>
        <v>7781.1697585795664</v>
      </c>
      <c r="V25" s="20">
        <f>'增加值 (2001-2022, 当年价) '!V25*V$77</f>
        <v>8215.0941346473574</v>
      </c>
      <c r="W25" s="20">
        <f>'增加值 (2001-2022, 当年价) '!W25*W$77</f>
        <v>8119.836142530613</v>
      </c>
      <c r="X25" s="90">
        <f>VLOOKUP($A25,平滑数据导入!$A$1:$AN$61,COLUMN(平滑数据导入!C$1),0)</f>
        <v>8038.9557424914483</v>
      </c>
      <c r="Y25" s="90">
        <f>VLOOKUP($A25,平滑数据导入!$A$1:$AN$61,COLUMN(平滑数据导入!D$1),0)</f>
        <v>7976.5016557871177</v>
      </c>
      <c r="Z25" s="141">
        <f>VLOOKUP(A25,情景假设!$B$48:$S$88,14,0)/情景假设!O$47*Z$13</f>
        <v>7926.7691374140704</v>
      </c>
      <c r="AA25" s="89">
        <f>VLOOKUP($A25,平滑数据导入!$A$1:$AN$61,COLUMN(平滑数据导入!F$1),0)</f>
        <v>7884.2677887186228</v>
      </c>
      <c r="AB25" s="90">
        <f>VLOOKUP($A25,平滑数据导入!$A$1:$AN$61,COLUMN(平滑数据导入!G$1),0)</f>
        <v>7843.6536571655606</v>
      </c>
      <c r="AC25" s="90">
        <f>VLOOKUP($A25,平滑数据导入!$A$1:$AN$61,COLUMN(平滑数据导入!H$1),0)</f>
        <v>7799.6984931656616</v>
      </c>
      <c r="AD25" s="90">
        <f>VLOOKUP($A25,平滑数据导入!$A$1:$AN$61,COLUMN(平滑数据导入!I$1),0)</f>
        <v>7747.2944661080228</v>
      </c>
      <c r="AE25" s="133">
        <f>VLOOKUP(A25,情景假设!$B$48:$S$88,15,0)/情景假设!P$47*AE$13</f>
        <v>7681.4928894996883</v>
      </c>
      <c r="AF25" s="90">
        <f>VLOOKUP($A25,平滑数据导入!$A$1:$AN$61,COLUMN(平滑数据导入!K$1),0)</f>
        <v>7598.9422240720269</v>
      </c>
      <c r="AG25" s="90">
        <f>VLOOKUP($A25,平滑数据导入!$A$1:$AN$61,COLUMN(平滑数据导入!L$1),0)</f>
        <v>7501.9432267446846</v>
      </c>
      <c r="AH25" s="90">
        <f>VLOOKUP($A25,平滑数据导入!$A$1:$AN$61,COLUMN(平滑数据导入!M$1),0)</f>
        <v>7394.1259884734754</v>
      </c>
      <c r="AI25" s="90">
        <f>VLOOKUP($A25,平滑数据导入!$A$1:$AN$61,COLUMN(平滑数据导入!N$1),0)</f>
        <v>7278.9993923362044</v>
      </c>
      <c r="AJ25" s="141">
        <f>VLOOKUP(A25,情景假设!$B$48:$S$88,16,0)/情景假设!Q$47*AJ$13</f>
        <v>7159.9106916108158</v>
      </c>
      <c r="AK25" s="89">
        <f>VLOOKUP($A25,平滑数据导入!$A$1:$AN$61,COLUMN(平滑数据导入!P$1),0)</f>
        <v>7039.520261486774</v>
      </c>
      <c r="AL25" s="90">
        <f>VLOOKUP($A25,平滑数据导入!$A$1:$AN$61,COLUMN(平滑数据导入!Q$1),0)</f>
        <v>6918.3579061781511</v>
      </c>
      <c r="AM25" s="90">
        <f>VLOOKUP($A25,平滑数据导入!$A$1:$AN$61,COLUMN(平滑数据导入!R$1),0)</f>
        <v>6796.4416018663551</v>
      </c>
      <c r="AN25" s="90">
        <f>VLOOKUP($A25,平滑数据导入!$A$1:$AN$61,COLUMN(平滑数据导入!S$1),0)</f>
        <v>6673.7948587185947</v>
      </c>
      <c r="AO25" s="101">
        <f>VLOOKUP($A25,平滑数据导入!$A$1:$AN$61,COLUMN(平滑数据导入!T$1),0)</f>
        <v>6550.446643655423</v>
      </c>
      <c r="AP25" s="90">
        <f>VLOOKUP($A25,平滑数据导入!$A$1:$AN$61,COLUMN(平滑数据导入!U$1),0)</f>
        <v>6426.4312893071528</v>
      </c>
      <c r="AQ25" s="90">
        <f>VLOOKUP($A25,平滑数据导入!$A$1:$AN$61,COLUMN(平滑数据导入!V$1),0)</f>
        <v>6301.78838855301</v>
      </c>
      <c r="AR25" s="90">
        <f>VLOOKUP($A25,平滑数据导入!$A$1:$AN$61,COLUMN(平滑数据导入!W$1),0)</f>
        <v>6176.5626741211136</v>
      </c>
      <c r="AS25" s="90">
        <f>VLOOKUP($A25,平滑数据导入!$A$1:$AN$61,COLUMN(平滑数据导入!X$1),0)</f>
        <v>6050.8038828157687</v>
      </c>
      <c r="AT25" s="90">
        <f>VLOOKUP($A25,平滑数据导入!$A$1:$AN$61,COLUMN(平滑数据导入!Y$1),0)</f>
        <v>5924.566604033882</v>
      </c>
      <c r="AU25" s="89">
        <f>VLOOKUP($A25,平滑数据导入!$A$1:$AN$61,COLUMN(平滑数据导入!Z$1),0)</f>
        <v>5797.9101123321798</v>
      </c>
      <c r="AV25" s="90">
        <f>VLOOKUP($A25,平滑数据导入!$A$1:$AN$61,COLUMN(平滑数据导入!AA$1),0)</f>
        <v>5670.8981839119033</v>
      </c>
      <c r="AW25" s="90">
        <f>VLOOKUP($A25,平滑数据导入!$A$1:$AN$61,COLUMN(平滑数据导入!AB$1),0)</f>
        <v>5543.5988969970394</v>
      </c>
      <c r="AX25" s="90">
        <f>VLOOKUP($A25,平滑数据导入!$A$1:$AN$61,COLUMN(平滑数据导入!AC$1),0)</f>
        <v>5416.0844161955383</v>
      </c>
      <c r="AY25" s="133">
        <f>VLOOKUP(A25,情景假设!$B$48:$S$88,17,0)/情景假设!R$47*AY$13</f>
        <v>5288.4307610491551</v>
      </c>
      <c r="AZ25" s="89">
        <f>VLOOKUP($A25,平滑数据导入!$A$1:$AN$61,COLUMN(平滑数据导入!AE$1),0)</f>
        <v>5160.7175590970492</v>
      </c>
      <c r="BA25" s="90">
        <f>VLOOKUP($A25,平滑数据导入!$A$1:$AN$61,COLUMN(平滑数据导入!AF$1),0)</f>
        <v>5033.0277838984666</v>
      </c>
      <c r="BB25" s="90">
        <f>VLOOKUP($A25,平滑数据导入!$A$1:$AN$61,COLUMN(平滑数据导入!AG$1),0)</f>
        <v>4905.4474785821467</v>
      </c>
      <c r="BC25" s="90">
        <f>VLOOKUP($A25,平滑数据导入!$A$1:$AN$61,COLUMN(平滑数据导入!AH$1),0)</f>
        <v>4778.0654656113948</v>
      </c>
      <c r="BD25" s="101">
        <f>VLOOKUP($A25,平滑数据导入!$A$1:$AN$61,COLUMN(平滑数据导入!AI$1),0)</f>
        <v>4650.9730435748324</v>
      </c>
      <c r="BE25" s="90">
        <f>VLOOKUP($A25,平滑数据导入!$A$1:$AN$61,COLUMN(平滑数据导入!AJ$1),0)</f>
        <v>4524.2636719317234</v>
      </c>
      <c r="BF25" s="90">
        <f>VLOOKUP($A25,平滑数据导入!$A$1:$AN$61,COLUMN(平滑数据导入!AK$1),0)</f>
        <v>4398.0326447566522</v>
      </c>
      <c r="BG25" s="90">
        <f>VLOOKUP($A25,平滑数据导入!$A$1:$AN$61,COLUMN(平滑数据导入!AL$1),0)</f>
        <v>4272.3767546405388</v>
      </c>
      <c r="BH25" s="90">
        <f>VLOOKUP($A25,平滑数据导入!$A$1:$AN$61,COLUMN(平滑数据导入!AM$1),0)</f>
        <v>4147.3939480117142</v>
      </c>
      <c r="BI25" s="133">
        <f>VLOOKUP(A25,情景假设!$B$48:$S$88,18,0)/情景假设!S$47*BI$13</f>
        <v>4023.1829732417982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(2001-2022, 当年价) '!I26*I$77</f>
        <v>3460.8916760455404</v>
      </c>
      <c r="J26" s="20">
        <f>'增加值 (2001-2022, 当年价) '!J26*J$77</f>
        <v>3605.515444217865</v>
      </c>
      <c r="K26" s="21">
        <f>'增加值 (2001-2022, 当年价) '!K26*K$77</f>
        <v>4026.5743894484108</v>
      </c>
      <c r="L26" s="19">
        <f>'增加值 (2001-2022, 当年价) '!L26*L$77</f>
        <v>4472.6300956934492</v>
      </c>
      <c r="M26" s="20">
        <f>'增加值 (2001-2022, 当年价) '!M26*M$77</f>
        <v>4564.4856573758252</v>
      </c>
      <c r="N26" s="20">
        <f>'增加值 (2001-2022, 当年价) '!N26*N$77</f>
        <v>4648.2816027676581</v>
      </c>
      <c r="O26" s="20">
        <f>'增加值 (2001-2022, 当年价) '!O26*O$77</f>
        <v>4777.3025609458309</v>
      </c>
      <c r="P26" s="20">
        <f>'增加值 (2001-2022, 当年价) '!P26*P$77</f>
        <v>4731.6821855644102</v>
      </c>
      <c r="Q26" s="19">
        <f>'增加值 (2001-2022, 当年价) '!Q26*Q$77</f>
        <v>4793.0460137299378</v>
      </c>
      <c r="R26" s="20">
        <f>'增加值 (2001-2022, 当年价) '!R26*R$77</f>
        <v>5132.9612289534653</v>
      </c>
      <c r="S26" s="20">
        <f>'增加值 (2001-2022, 当年价) '!S26*S$77</f>
        <v>5335.7608842140544</v>
      </c>
      <c r="T26" s="20">
        <f>'增加值 (2001-2022, 当年价) '!T26*T$77</f>
        <v>5190.8649943427326</v>
      </c>
      <c r="U26" s="21">
        <f>'增加值 (2001-2022, 当年价) '!U26*U$77</f>
        <v>4569.5272137342927</v>
      </c>
      <c r="V26" s="20">
        <f>'增加值 (2001-2022, 当年价) '!V26*V$77</f>
        <v>5162.1510144134963</v>
      </c>
      <c r="W26" s="20">
        <f>'增加值 (2001-2022, 当年价) '!W26*W$77</f>
        <v>5144.2443998897388</v>
      </c>
      <c r="X26" s="90">
        <f>VLOOKUP($A26,平滑数据导入!$A$1:$AN$61,COLUMN(平滑数据导入!C$1),0)</f>
        <v>5106.4069660561627</v>
      </c>
      <c r="Y26" s="90">
        <f>VLOOKUP($A26,平滑数据导入!$A$1:$AN$61,COLUMN(平滑数据导入!D$1),0)</f>
        <v>5079.5148989097461</v>
      </c>
      <c r="Z26" s="141">
        <f>VLOOKUP(A26,情景假设!$B$48:$S$88,14,0)/情景假设!O$47*Z$13</f>
        <v>5060.0185548939216</v>
      </c>
      <c r="AA26" s="89">
        <f>VLOOKUP($A26,平滑数据导入!$A$1:$AN$61,COLUMN(平滑数据导入!F$1),0)</f>
        <v>5044.4649467772306</v>
      </c>
      <c r="AB26" s="90">
        <f>VLOOKUP($A26,平滑数据导入!$A$1:$AN$61,COLUMN(平滑数据导入!G$1),0)</f>
        <v>5029.4594150621797</v>
      </c>
      <c r="AC26" s="90">
        <f>VLOOKUP($A26,平滑数据导入!$A$1:$AN$61,COLUMN(平滑数据导入!H$1),0)</f>
        <v>5011.6505345525366</v>
      </c>
      <c r="AD26" s="90">
        <f>VLOOKUP($A26,平滑数据导入!$A$1:$AN$61,COLUMN(平滑数据导入!I$1),0)</f>
        <v>4987.7375803124833</v>
      </c>
      <c r="AE26" s="133">
        <f>VLOOKUP(A26,情景假设!$B$48:$S$88,15,0)/情景假设!P$47*AE$13</f>
        <v>4954.4999502738756</v>
      </c>
      <c r="AF26" s="90">
        <f>VLOOKUP($A26,平滑数据导入!$A$1:$AN$61,COLUMN(平滑数据导入!K$1),0)</f>
        <v>4909.7389864256029</v>
      </c>
      <c r="AG26" s="90">
        <f>VLOOKUP($A26,平滑数据导入!$A$1:$AN$61,COLUMN(平滑数据导入!L$1),0)</f>
        <v>4854.9378312392873</v>
      </c>
      <c r="AH26" s="90">
        <f>VLOOKUP($A26,平滑数据导入!$A$1:$AN$61,COLUMN(平滑数据导入!M$1),0)</f>
        <v>4792.4637601988043</v>
      </c>
      <c r="AI26" s="90">
        <f>VLOOKUP($A26,平滑数据导入!$A$1:$AN$61,COLUMN(平滑数据导入!N$1),0)</f>
        <v>4724.6223693300699</v>
      </c>
      <c r="AJ26" s="141">
        <f>VLOOKUP(A26,情景假设!$B$48:$S$88,16,0)/情景假设!Q$47*AJ$13</f>
        <v>4653.6280644611879</v>
      </c>
      <c r="AK26" s="89">
        <f>VLOOKUP($A26,平滑数据导入!$A$1:$AN$61,COLUMN(平滑数据导入!P$1),0)</f>
        <v>4581.2549076816267</v>
      </c>
      <c r="AL26" s="90">
        <f>VLOOKUP($A26,平滑数据导入!$A$1:$AN$61,COLUMN(平滑数据导入!Q$1),0)</f>
        <v>4507.8787553352286</v>
      </c>
      <c r="AM26" s="90">
        <f>VLOOKUP($A26,平滑数据导入!$A$1:$AN$61,COLUMN(平滑数据导入!R$1),0)</f>
        <v>4433.5381802292941</v>
      </c>
      <c r="AN26" s="90">
        <f>VLOOKUP($A26,平滑数据导入!$A$1:$AN$61,COLUMN(平滑数据导入!S$1),0)</f>
        <v>4358.2748015491934</v>
      </c>
      <c r="AO26" s="101">
        <f>VLOOKUP($A26,平滑数据导入!$A$1:$AN$61,COLUMN(平滑数据导入!T$1),0)</f>
        <v>4282.1332125610097</v>
      </c>
      <c r="AP26" s="90">
        <f>VLOOKUP($A26,平滑数据导入!$A$1:$AN$61,COLUMN(平滑数据导入!U$1),0)</f>
        <v>4205.1608978080012</v>
      </c>
      <c r="AQ26" s="90">
        <f>VLOOKUP($A26,平滑数据导入!$A$1:$AN$61,COLUMN(平滑数据导入!V$1),0)</f>
        <v>4127.4081397707641</v>
      </c>
      <c r="AR26" s="90">
        <f>VLOOKUP($A26,平滑数据导入!$A$1:$AN$61,COLUMN(平滑数据导入!W$1),0)</f>
        <v>4048.9279150171619</v>
      </c>
      <c r="AS26" s="90">
        <f>VLOOKUP($A26,平滑数据导入!$A$1:$AN$61,COLUMN(平滑数据导入!X$1),0)</f>
        <v>3969.7757799265842</v>
      </c>
      <c r="AT26" s="90">
        <f>VLOOKUP($A26,平滑数据导入!$A$1:$AN$61,COLUMN(平滑数据导入!Y$1),0)</f>
        <v>3890.0097461328919</v>
      </c>
      <c r="AU26" s="89">
        <f>VLOOKUP($A26,平滑数据导入!$A$1:$AN$61,COLUMN(平滑数据导入!Z$1),0)</f>
        <v>3809.6901458918401</v>
      </c>
      <c r="AV26" s="90">
        <f>VLOOKUP($A26,平滑数据导入!$A$1:$AN$61,COLUMN(平滑数据导入!AA$1),0)</f>
        <v>3728.8794876407069</v>
      </c>
      <c r="AW26" s="90">
        <f>VLOOKUP($A26,平滑数据导入!$A$1:$AN$61,COLUMN(平滑数据导入!AB$1),0)</f>
        <v>3647.6423020807752</v>
      </c>
      <c r="AX26" s="90">
        <f>VLOOKUP($A26,平滑数据导入!$A$1:$AN$61,COLUMN(平滑数据导入!AC$1),0)</f>
        <v>3566.0449791754581</v>
      </c>
      <c r="AY26" s="133">
        <f>VLOOKUP(A26,情景假设!$B$48:$S$88,17,0)/情景假设!R$47*AY$13</f>
        <v>3484.1555965198536</v>
      </c>
      <c r="AZ26" s="89">
        <f>VLOOKUP($A26,平滑数据导入!$A$1:$AN$61,COLUMN(平滑数据导入!AE$1),0)</f>
        <v>3402.0437395982881</v>
      </c>
      <c r="BA26" s="90">
        <f>VLOOKUP($A26,平滑数据导入!$A$1:$AN$61,COLUMN(平滑数据导入!AF$1),0)</f>
        <v>3319.7803145068078</v>
      </c>
      <c r="BB26" s="90">
        <f>VLOOKUP($A26,平滑数据导入!$A$1:$AN$61,COLUMN(平滑数据导入!AG$1),0)</f>
        <v>3237.4373537757529</v>
      </c>
      <c r="BC26" s="90">
        <f>VLOOKUP($A26,平滑数据导入!$A$1:$AN$61,COLUMN(平滑数据导入!AH$1),0)</f>
        <v>3155.087815983376</v>
      </c>
      <c r="BD26" s="101">
        <f>VLOOKUP($A26,平滑数据导入!$A$1:$AN$61,COLUMN(平滑数据导入!AI$1),0)</f>
        <v>3072.8053799046229</v>
      </c>
      <c r="BE26" s="90">
        <f>VLOOKUP($A26,平滑数据导入!$A$1:$AN$61,COLUMN(平滑数据导入!AJ$1),0)</f>
        <v>2990.6642339887781</v>
      </c>
      <c r="BF26" s="90">
        <f>VLOOKUP($A26,平滑数据导入!$A$1:$AN$61,COLUMN(平滑数据导入!AK$1),0)</f>
        <v>2908.7388620057909</v>
      </c>
      <c r="BG26" s="90">
        <f>VLOOKUP($A26,平滑数据导入!$A$1:$AN$61,COLUMN(平滑数据导入!AL$1),0)</f>
        <v>2827.1038257425421</v>
      </c>
      <c r="BH26" s="90">
        <f>VLOOKUP($A26,平滑数据导入!$A$1:$AN$61,COLUMN(平滑数据导入!AM$1),0)</f>
        <v>2745.8335456673431</v>
      </c>
      <c r="BI26" s="133">
        <f>VLOOKUP(A26,情景假设!$B$48:$S$88,18,0)/情景假设!S$47*BI$13</f>
        <v>2665.0020805126082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(2001-2022, 当年价) '!I27*I$77</f>
        <v>2304.2752500353404</v>
      </c>
      <c r="J27" s="20">
        <f>'增加值 (2001-2022, 当年价) '!J27*J$77</f>
        <v>2387.4604094503197</v>
      </c>
      <c r="K27" s="21">
        <f>'增加值 (2001-2022, 当年价) '!K27*K$77</f>
        <v>2701.0500413627724</v>
      </c>
      <c r="L27" s="19">
        <f>'增加值 (2001-2022, 当年价) '!L27*L$77</f>
        <v>2935.3821972842488</v>
      </c>
      <c r="M27" s="20">
        <f>'增加值 (2001-2022, 当年价) '!M27*M$77</f>
        <v>3009.6392280388595</v>
      </c>
      <c r="N27" s="20">
        <f>'增加值 (2001-2022, 当年价) '!N27*N$77</f>
        <v>3090.6222823019139</v>
      </c>
      <c r="O27" s="20">
        <f>'增加值 (2001-2022, 当年价) '!O27*O$77</f>
        <v>3146.7770885639497</v>
      </c>
      <c r="P27" s="20">
        <f>'增加值 (2001-2022, 当年价) '!P27*P$77</f>
        <v>3131.6541085798658</v>
      </c>
      <c r="Q27" s="19">
        <f>'增加值 (2001-2022, 当年价) '!Q27*Q$77</f>
        <v>3160.0430937785932</v>
      </c>
      <c r="R27" s="20">
        <f>'增加值 (2001-2022, 当年价) '!R27*R$77</f>
        <v>3345.7647990286678</v>
      </c>
      <c r="S27" s="20">
        <f>'增加值 (2001-2022, 当年价) '!S27*S$77</f>
        <v>3487.9477112441045</v>
      </c>
      <c r="T27" s="20">
        <f>'增加值 (2001-2022, 当年价) '!T27*T$77</f>
        <v>3433.5858958672138</v>
      </c>
      <c r="U27" s="21">
        <f>'增加值 (2001-2022, 当年价) '!U27*U$77</f>
        <v>2932.9101730437146</v>
      </c>
      <c r="V27" s="20">
        <f>'增加值 (2001-2022, 当年价) '!V27*V$77</f>
        <v>3316.3341738898448</v>
      </c>
      <c r="W27" s="20">
        <f>'增加值 (2001-2022, 当年价) '!W27*W$77</f>
        <v>3355.3629553285882</v>
      </c>
      <c r="X27" s="90">
        <f>VLOOKUP($A27,平滑数据导入!$A$1:$AN$61,COLUMN(平滑数据导入!C$1),0)</f>
        <v>3327.747243294622</v>
      </c>
      <c r="Y27" s="90">
        <f>VLOOKUP($A27,平滑数据导入!$A$1:$AN$61,COLUMN(平滑数据导入!D$1),0)</f>
        <v>3306.075530343322</v>
      </c>
      <c r="Z27" s="141">
        <f>VLOOKUP(A27,情景假设!$B$48:$S$88,14,0)/情景假设!O$47*Z$13</f>
        <v>3288.3290058768653</v>
      </c>
      <c r="AA27" s="89">
        <f>VLOOKUP($A27,平滑数据导入!$A$1:$AN$61,COLUMN(平滑数据导入!F$1),0)</f>
        <v>3272.5496936877589</v>
      </c>
      <c r="AB27" s="90">
        <f>VLOOKUP($A27,平滑数据导入!$A$1:$AN$61,COLUMN(平滑数据导入!G$1),0)</f>
        <v>3256.8231215807282</v>
      </c>
      <c r="AC27" s="90">
        <f>VLOOKUP($A27,平滑数据导入!$A$1:$AN$61,COLUMN(平滑数据导入!H$1),0)</f>
        <v>3239.2724130946481</v>
      </c>
      <c r="AD27" s="90">
        <f>VLOOKUP($A27,平滑数据导入!$A$1:$AN$61,COLUMN(平滑数据导入!I$1),0)</f>
        <v>3218.063360690001</v>
      </c>
      <c r="AE27" s="133">
        <f>VLOOKUP(A27,情景假设!$B$48:$S$88,15,0)/情景假设!P$47*AE$13</f>
        <v>3191.4200475379284</v>
      </c>
      <c r="AF27" s="90">
        <f>VLOOKUP($A27,平滑数据导入!$A$1:$AN$61,COLUMN(平滑数据导入!K$1),0)</f>
        <v>3158.1649621037141</v>
      </c>
      <c r="AG27" s="90">
        <f>VLOOKUP($A27,平滑数据导入!$A$1:$AN$61,COLUMN(平滑数据导入!L$1),0)</f>
        <v>3119.2441782936462</v>
      </c>
      <c r="AH27" s="90">
        <f>VLOOKUP($A27,平滑数据导入!$A$1:$AN$61,COLUMN(平滑数据导入!M$1),0)</f>
        <v>3076.1015908090671</v>
      </c>
      <c r="AI27" s="90">
        <f>VLOOKUP($A27,平滑数据导入!$A$1:$AN$61,COLUMN(平滑数据导入!N$1),0)</f>
        <v>3030.1332932078808</v>
      </c>
      <c r="AJ27" s="141">
        <f>VLOOKUP(A27,情景假设!$B$48:$S$88,16,0)/情景假设!Q$47*AJ$13</f>
        <v>2982.6724910819357</v>
      </c>
      <c r="AK27" s="89">
        <f>VLOOKUP($A27,平滑数据导入!$A$1:$AN$61,COLUMN(平滑数据导入!P$1),0)</f>
        <v>2934.776156572555</v>
      </c>
      <c r="AL27" s="90">
        <f>VLOOKUP($A27,平滑数据导入!$A$1:$AN$61,COLUMN(平滑数据导入!Q$1),0)</f>
        <v>2886.6351943632658</v>
      </c>
      <c r="AM27" s="90">
        <f>VLOOKUP($A27,平滑数据导入!$A$1:$AN$61,COLUMN(平滑数据导入!R$1),0)</f>
        <v>2838.232973167912</v>
      </c>
      <c r="AN27" s="90">
        <f>VLOOKUP($A27,平滑数据导入!$A$1:$AN$61,COLUMN(平滑数据导入!S$1),0)</f>
        <v>2789.5561657462631</v>
      </c>
      <c r="AO27" s="101">
        <f>VLOOKUP($A27,平滑数据导入!$A$1:$AN$61,COLUMN(平滑数据导入!T$1),0)</f>
        <v>2740.5947438804251</v>
      </c>
      <c r="AP27" s="90">
        <f>VLOOKUP($A27,平滑数据导入!$A$1:$AN$61,COLUMN(平滑数据导入!U$1),0)</f>
        <v>2691.3419692798361</v>
      </c>
      <c r="AQ27" s="90">
        <f>VLOOKUP($A27,平滑数据导入!$A$1:$AN$61,COLUMN(平滑数据导入!V$1),0)</f>
        <v>2641.7943795717829</v>
      </c>
      <c r="AR27" s="90">
        <f>VLOOKUP($A27,平滑数据导入!$A$1:$AN$61,COLUMN(平滑数据导入!W$1),0)</f>
        <v>2591.9517685678752</v>
      </c>
      <c r="AS27" s="90">
        <f>VLOOKUP($A27,平滑数据导入!$A$1:$AN$61,COLUMN(平滑数据导入!X$1),0)</f>
        <v>2541.8171600347919</v>
      </c>
      <c r="AT27" s="90">
        <f>VLOOKUP($A27,平滑数据导入!$A$1:$AN$61,COLUMN(平滑数据导入!Y$1),0)</f>
        <v>2491.3967742411519</v>
      </c>
      <c r="AU27" s="89">
        <f>VLOOKUP($A27,平滑数据导入!$A$1:$AN$61,COLUMN(平滑数据导入!Z$1),0)</f>
        <v>2440.699986600961</v>
      </c>
      <c r="AV27" s="90">
        <f>VLOOKUP($A27,平滑数据导入!$A$1:$AN$61,COLUMN(平滑数据导入!AA$1),0)</f>
        <v>2389.7392777887139</v>
      </c>
      <c r="AW27" s="90">
        <f>VLOOKUP($A27,平滑数据导入!$A$1:$AN$61,COLUMN(平滑数据导入!AB$1),0)</f>
        <v>2338.5301747611938</v>
      </c>
      <c r="AX27" s="90">
        <f>VLOOKUP($A27,平滑数据导入!$A$1:$AN$61,COLUMN(平滑数据导入!AC$1),0)</f>
        <v>2287.0911821870768</v>
      </c>
      <c r="AY27" s="133">
        <f>VLOOKUP(A27,情景假设!$B$48:$S$88,17,0)/情景假设!R$47*AY$13</f>
        <v>2235.4437038569495</v>
      </c>
      <c r="AZ27" s="89">
        <f>VLOOKUP($A27,平滑数据导入!$A$1:$AN$61,COLUMN(平滑数据导入!AE$1),0)</f>
        <v>2183.611953723575</v>
      </c>
      <c r="BA27" s="90">
        <f>VLOOKUP($A27,平滑数据导入!$A$1:$AN$61,COLUMN(平滑数据导入!AF$1),0)</f>
        <v>2131.6228563045911</v>
      </c>
      <c r="BB27" s="90">
        <f>VLOOKUP($A27,平滑数据导入!$A$1:$AN$61,COLUMN(平滑数据导入!AG$1),0)</f>
        <v>2079.505936267346</v>
      </c>
      <c r="BC27" s="90">
        <f>VLOOKUP($A27,平滑数据导入!$A$1:$AN$61,COLUMN(平滑数据导入!AH$1),0)</f>
        <v>2027.293197107492</v>
      </c>
      <c r="BD27" s="101">
        <f>VLOOKUP($A27,平滑数据导入!$A$1:$AN$61,COLUMN(平滑数据导入!AI$1),0)</f>
        <v>1975.01898892895</v>
      </c>
      <c r="BE27" s="90">
        <f>VLOOKUP($A27,平滑数据导入!$A$1:$AN$61,COLUMN(平滑数据导入!AJ$1),0)</f>
        <v>1922.719865432284</v>
      </c>
      <c r="BF27" s="90">
        <f>VLOOKUP($A27,平滑数据导入!$A$1:$AN$61,COLUMN(平滑数据导入!AK$1),0)</f>
        <v>1870.434430320644</v>
      </c>
      <c r="BG27" s="90">
        <f>VLOOKUP($A27,平滑数据导入!$A$1:$AN$61,COLUMN(平滑数据导入!AL$1),0)</f>
        <v>1818.2031734364909</v>
      </c>
      <c r="BH27" s="90">
        <f>VLOOKUP($A27,平滑数据导入!$A$1:$AN$61,COLUMN(平滑数据导入!AM$1),0)</f>
        <v>1766.0682970474261</v>
      </c>
      <c r="BI27" s="133">
        <f>VLOOKUP(A27,情景假设!$B$48:$S$88,18,0)/情景假设!S$47*BI$13</f>
        <v>1714.0735328046619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(2001-2022, 当年价) '!I28*I$77</f>
        <v>1328.9824036014877</v>
      </c>
      <c r="J28" s="20">
        <f>'增加值 (2001-2022, 当年价) '!J28*J$77</f>
        <v>1482.7821695107011</v>
      </c>
      <c r="K28" s="21">
        <f>'增加值 (2001-2022, 当年价) '!K28*K$77</f>
        <v>1762.5007041562442</v>
      </c>
      <c r="L28" s="19">
        <f>'增加值 (2001-2022, 当年价) '!L28*L$77</f>
        <v>2049.1987875789623</v>
      </c>
      <c r="M28" s="20">
        <f>'增加值 (2001-2022, 当年价) '!M28*M$77</f>
        <v>2192.7265800548553</v>
      </c>
      <c r="N28" s="20">
        <f>'增加值 (2001-2022, 当年价) '!N28*N$77</f>
        <v>2326.7164094671548</v>
      </c>
      <c r="O28" s="20">
        <f>'增加值 (2001-2022, 当年价) '!O28*O$77</f>
        <v>2442.6042210226533</v>
      </c>
      <c r="P28" s="20">
        <f>'增加值 (2001-2022, 当年价) '!P28*P$77</f>
        <v>2463.3078356766532</v>
      </c>
      <c r="Q28" s="19">
        <f>'增加值 (2001-2022, 当年价) '!Q28*Q$77</f>
        <v>2567.3709288969417</v>
      </c>
      <c r="R28" s="20">
        <f>'增加值 (2001-2022, 当年价) '!R28*R$77</f>
        <v>2759.8396763201949</v>
      </c>
      <c r="S28" s="20">
        <f>'增加值 (2001-2022, 当年价) '!S28*S$77</f>
        <v>2824.9114892595062</v>
      </c>
      <c r="T28" s="20">
        <f>'增加值 (2001-2022, 当年价) '!T28*T$77</f>
        <v>2783.6071882539604</v>
      </c>
      <c r="U28" s="21">
        <f>'增加值 (2001-2022, 当年价) '!U28*U$77</f>
        <v>2641.6002604003402</v>
      </c>
      <c r="V28" s="20">
        <f>'增加值 (2001-2022, 当年价) '!V28*V$77</f>
        <v>3036.4481610921225</v>
      </c>
      <c r="W28" s="20">
        <f>'增加值 (2001-2022, 当年价) '!W28*W$77</f>
        <v>3069.0985404160137</v>
      </c>
      <c r="X28" s="90">
        <f>VLOOKUP($A28,平滑数据导入!$A$1:$AN$61,COLUMN(平滑数据导入!C$1),0)</f>
        <v>3090.3396817543749</v>
      </c>
      <c r="Y28" s="90">
        <f>VLOOKUP($A28,平滑数据导入!$A$1:$AN$61,COLUMN(平滑数据导入!D$1),0)</f>
        <v>3112.7171574657568</v>
      </c>
      <c r="Z28" s="141">
        <f>VLOOKUP(A28,情景假设!$B$48:$S$88,14,0)/情景假设!O$47*Z$13</f>
        <v>3134.9506671401878</v>
      </c>
      <c r="AA28" s="89">
        <f>VLOOKUP($A28,平滑数据导入!$A$1:$AN$61,COLUMN(平滑数据导入!F$1),0)</f>
        <v>3155.7233849224549</v>
      </c>
      <c r="AB28" s="90">
        <f>VLOOKUP($A28,平滑数据导入!$A$1:$AN$61,COLUMN(平滑数据导入!G$1),0)</f>
        <v>3173.685342892893</v>
      </c>
      <c r="AC28" s="90">
        <f>VLOOKUP($A28,平滑数据导入!$A$1:$AN$61,COLUMN(平滑数据导入!H$1),0)</f>
        <v>3187.4624727736391</v>
      </c>
      <c r="AD28" s="90">
        <f>VLOOKUP($A28,平滑数据导入!$A$1:$AN$61,COLUMN(平滑数据导入!I$1),0)</f>
        <v>3195.6714741286041</v>
      </c>
      <c r="AE28" s="133">
        <f>VLOOKUP(A28,情景假设!$B$48:$S$88,15,0)/情景假设!P$47*AE$13</f>
        <v>3196.94053563846</v>
      </c>
      <c r="AF28" s="90">
        <f>VLOOKUP($A28,平滑数据导入!$A$1:$AN$61,COLUMN(平滑数据导入!K$1),0)</f>
        <v>3190.3749770807981</v>
      </c>
      <c r="AG28" s="90">
        <f>VLOOKUP($A28,平滑数据导入!$A$1:$AN$61,COLUMN(平滑数据导入!L$1),0)</f>
        <v>3176.890065891268</v>
      </c>
      <c r="AH28" s="90">
        <f>VLOOKUP($A28,平滑数据导入!$A$1:$AN$61,COLUMN(平滑数据导入!M$1),0)</f>
        <v>3157.870159286319</v>
      </c>
      <c r="AI28" s="90">
        <f>VLOOKUP($A28,平滑数据导入!$A$1:$AN$61,COLUMN(平滑数据导入!N$1),0)</f>
        <v>3134.7024318482331</v>
      </c>
      <c r="AJ28" s="141">
        <f>VLOOKUP(A28,情景假设!$B$48:$S$88,16,0)/情景假设!Q$47*AJ$13</f>
        <v>3108.7563350830037</v>
      </c>
      <c r="AK28" s="89">
        <f>VLOOKUP($A28,平滑数据导入!$A$1:$AN$61,COLUMN(平滑数据导入!P$1),0)</f>
        <v>3081.1500480662398</v>
      </c>
      <c r="AL28" s="90">
        <f>VLOOKUP($A28,平滑数据导入!$A$1:$AN$61,COLUMN(平滑数据导入!Q$1),0)</f>
        <v>3052.1010289170949</v>
      </c>
      <c r="AM28" s="90">
        <f>VLOOKUP($A28,平滑数据导入!$A$1:$AN$61,COLUMN(平滑数据导入!R$1),0)</f>
        <v>3021.607796263133</v>
      </c>
      <c r="AN28" s="90">
        <f>VLOOKUP($A28,平滑数据导入!$A$1:$AN$61,COLUMN(平滑数据导入!S$1),0)</f>
        <v>2989.672716570954</v>
      </c>
      <c r="AO28" s="101">
        <f>VLOOKUP($A28,平滑数据导入!$A$1:$AN$61,COLUMN(平滑数据导入!T$1),0)</f>
        <v>2956.3020942415319</v>
      </c>
      <c r="AP28" s="90">
        <f>VLOOKUP($A28,平滑数据导入!$A$1:$AN$61,COLUMN(平滑数据导入!U$1),0)</f>
        <v>2921.506248670677</v>
      </c>
      <c r="AQ28" s="90">
        <f>VLOOKUP($A28,平滑数据导入!$A$1:$AN$61,COLUMN(平滑数据导入!V$1),0)</f>
        <v>2885.2995772180338</v>
      </c>
      <c r="AR28" s="90">
        <f>VLOOKUP($A28,平滑数据导入!$A$1:$AN$61,COLUMN(平滑数据导入!W$1),0)</f>
        <v>2847.7006030754842</v>
      </c>
      <c r="AS28" s="90">
        <f>VLOOKUP($A28,平滑数据导入!$A$1:$AN$61,COLUMN(平滑数据导入!X$1),0)</f>
        <v>2808.7320070842379</v>
      </c>
      <c r="AT28" s="90">
        <f>VLOOKUP($A28,平滑数据导入!$A$1:$AN$61,COLUMN(平滑数据导入!Y$1),0)</f>
        <v>2768.4206426187102</v>
      </c>
      <c r="AU28" s="89">
        <f>VLOOKUP($A28,平滑数据导入!$A$1:$AN$61,COLUMN(平滑数据导入!Z$1),0)</f>
        <v>2726.797532735141</v>
      </c>
      <c r="AV28" s="90">
        <f>VLOOKUP($A28,平滑数据导入!$A$1:$AN$61,COLUMN(平滑数据导入!AA$1),0)</f>
        <v>2683.8978488733228</v>
      </c>
      <c r="AW28" s="90">
        <f>VLOOKUP($A28,平滑数据导入!$A$1:$AN$61,COLUMN(平滑数据导入!AB$1),0)</f>
        <v>2639.7608705003981</v>
      </c>
      <c r="AX28" s="90">
        <f>VLOOKUP($A28,平滑数据导入!$A$1:$AN$61,COLUMN(平滑数据导入!AC$1),0)</f>
        <v>2594.4299251965499</v>
      </c>
      <c r="AY28" s="133">
        <f>VLOOKUP(A28,情景假设!$B$48:$S$88,17,0)/情景假设!R$47*AY$13</f>
        <v>2547.9523088024712</v>
      </c>
      <c r="AZ28" s="89">
        <f>VLOOKUP($A28,平滑数据导入!$A$1:$AN$61,COLUMN(平滑数据导入!AE$1),0)</f>
        <v>2500.3791853774801</v>
      </c>
      <c r="BA28" s="90">
        <f>VLOOKUP($A28,平滑数据导入!$A$1:$AN$61,COLUMN(平滑数据导入!AF$1),0)</f>
        <v>2451.7654668540981</v>
      </c>
      <c r="BB28" s="90">
        <f>VLOOKUP($A28,平滑数据导入!$A$1:$AN$61,COLUMN(平滑数据导入!AG$1),0)</f>
        <v>2402.1696724189078</v>
      </c>
      <c r="BC28" s="90">
        <f>VLOOKUP($A28,平滑数据导入!$A$1:$AN$61,COLUMN(平滑数据导入!AH$1),0)</f>
        <v>2351.6537677994061</v>
      </c>
      <c r="BD28" s="101">
        <f>VLOOKUP($A28,平滑数据导入!$A$1:$AN$61,COLUMN(平滑数据导入!AI$1),0)</f>
        <v>2300.2829847914791</v>
      </c>
      <c r="BE28" s="90">
        <f>VLOOKUP($A28,平滑数据导入!$A$1:$AN$61,COLUMN(平滑数据导入!AJ$1),0)</f>
        <v>2248.1256215201952</v>
      </c>
      <c r="BF28" s="90">
        <f>VLOOKUP($A28,平滑数据导入!$A$1:$AN$61,COLUMN(平滑数据导入!AK$1),0)</f>
        <v>2195.2528240870079</v>
      </c>
      <c r="BG28" s="90">
        <f>VLOOKUP($A28,平滑数据导入!$A$1:$AN$61,COLUMN(平滑数据导入!AL$1),0)</f>
        <v>2141.7383504171012</v>
      </c>
      <c r="BH28" s="90">
        <f>VLOOKUP($A28,平滑数据导入!$A$1:$AN$61,COLUMN(平滑数据导入!AM$1),0)</f>
        <v>2087.658317280489</v>
      </c>
      <c r="BI28" s="133">
        <f>VLOOKUP(A28,情景假设!$B$48:$S$88,18,0)/情景假设!S$47*BI$13</f>
        <v>2033.0909316172163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(2001-2022, 当年价) '!I29*I$77</f>
        <v>942.44830582196994</v>
      </c>
      <c r="J29" s="20">
        <f>'增加值 (2001-2022, 当年价) '!J29*J$77</f>
        <v>972.00409563695905</v>
      </c>
      <c r="K29" s="21">
        <f>'增加值 (2001-2022, 当年价) '!K29*K$77</f>
        <v>1129.8811717538965</v>
      </c>
      <c r="L29" s="19">
        <f>'增加值 (2001-2022, 当年价) '!L29*L$77</f>
        <v>1250.7043821461339</v>
      </c>
      <c r="M29" s="20">
        <f>'增加值 (2001-2022, 当年价) '!M29*M$77</f>
        <v>1324.0169299660911</v>
      </c>
      <c r="N29" s="20">
        <f>'增加值 (2001-2022, 当年价) '!N29*N$77</f>
        <v>1386.0564923380959</v>
      </c>
      <c r="O29" s="20">
        <f>'增加值 (2001-2022, 当年价) '!O29*O$77</f>
        <v>1444.4616196836896</v>
      </c>
      <c r="P29" s="20">
        <f>'增加值 (2001-2022, 当年价) '!P29*P$77</f>
        <v>1464.9271654424824</v>
      </c>
      <c r="Q29" s="19">
        <f>'增加值 (2001-2022, 当年价) '!Q29*Q$77</f>
        <v>1523.9542011748163</v>
      </c>
      <c r="R29" s="20">
        <f>'增加值 (2001-2022, 当年价) '!R29*R$77</f>
        <v>1693.7330948132931</v>
      </c>
      <c r="S29" s="20">
        <f>'增加值 (2001-2022, 当年价) '!S29*S$77</f>
        <v>1780.8886584549791</v>
      </c>
      <c r="T29" s="20">
        <f>'增加值 (2001-2022, 当年价) '!T29*T$77</f>
        <v>1760.0007062456536</v>
      </c>
      <c r="U29" s="21">
        <f>'增加值 (2001-2022, 当年价) '!U29*U$77</f>
        <v>1627.6494522571516</v>
      </c>
      <c r="V29" s="20">
        <f>'增加值 (2001-2022, 当年价) '!V29*V$77</f>
        <v>1901.4435312506728</v>
      </c>
      <c r="W29" s="20">
        <f>'增加值 (2001-2022, 当年价) '!W29*W$77</f>
        <v>1802.1334874675638</v>
      </c>
      <c r="X29" s="90">
        <f>VLOOKUP($A29,平滑数据导入!$A$1:$AN$61,COLUMN(平滑数据导入!C$1),0)</f>
        <v>1812.3438943073929</v>
      </c>
      <c r="Y29" s="90">
        <f>VLOOKUP($A29,平滑数据导入!$A$1:$AN$61,COLUMN(平滑数据导入!D$1),0)</f>
        <v>1823.4025501270271</v>
      </c>
      <c r="Z29" s="141">
        <f>VLOOKUP(A29,情景假设!$B$48:$S$88,14,0)/情景假设!O$47*Z$13</f>
        <v>1834.5372885830832</v>
      </c>
      <c r="AA29" s="89">
        <f>VLOOKUP($A29,平滑数据导入!$A$1:$AN$61,COLUMN(平滑数据导入!F$1),0)</f>
        <v>1844.9572462320771</v>
      </c>
      <c r="AB29" s="90">
        <f>VLOOKUP($A29,平滑数据导入!$A$1:$AN$61,COLUMN(平滑数据导入!G$1),0)</f>
        <v>1853.8542505517551</v>
      </c>
      <c r="AC29" s="90">
        <f>VLOOKUP($A29,平滑数据导入!$A$1:$AN$61,COLUMN(平滑数据导入!H$1),0)</f>
        <v>1860.4076871438031</v>
      </c>
      <c r="AD29" s="90">
        <f>VLOOKUP($A29,平滑数据导入!$A$1:$AN$61,COLUMN(平滑数据导入!I$1),0)</f>
        <v>1863.792937419495</v>
      </c>
      <c r="AE29" s="133">
        <f>VLOOKUP(A29,情景假设!$B$48:$S$88,15,0)/情景假设!P$47*AE$13</f>
        <v>1863.1933970966927</v>
      </c>
      <c r="AF29" s="90">
        <f>VLOOKUP($A29,平滑数据导入!$A$1:$AN$61,COLUMN(平滑数据导入!K$1),0)</f>
        <v>1858.0756131560131</v>
      </c>
      <c r="AG29" s="90">
        <f>VLOOKUP($A29,平滑数据导入!$A$1:$AN$61,COLUMN(平滑数据导入!L$1),0)</f>
        <v>1848.9757279681271</v>
      </c>
      <c r="AH29" s="90">
        <f>VLOOKUP($A29,平滑数据导入!$A$1:$AN$61,COLUMN(平滑数据导入!M$1),0)</f>
        <v>1836.7046177301499</v>
      </c>
      <c r="AI29" s="90">
        <f>VLOOKUP($A29,平滑数据导入!$A$1:$AN$61,COLUMN(平滑数据导入!N$1),0)</f>
        <v>1822.0723086012631</v>
      </c>
      <c r="AJ29" s="141">
        <f>VLOOKUP(A29,情景假设!$B$48:$S$88,16,0)/情景假设!Q$47*AJ$13</f>
        <v>1805.8762287031284</v>
      </c>
      <c r="AK29" s="89">
        <f>VLOOKUP($A29,平滑数据导入!$A$1:$AN$61,COLUMN(平滑数据导入!P$1),0)</f>
        <v>1788.766041175606</v>
      </c>
      <c r="AL29" s="90">
        <f>VLOOKUP($A29,平滑数据导入!$A$1:$AN$61,COLUMN(平滑数据导入!Q$1),0)</f>
        <v>1770.8680404723209</v>
      </c>
      <c r="AM29" s="90">
        <f>VLOOKUP($A29,平滑数据导入!$A$1:$AN$61,COLUMN(平滑数据导入!R$1),0)</f>
        <v>1752.1814224566519</v>
      </c>
      <c r="AN29" s="90">
        <f>VLOOKUP($A29,平滑数据导入!$A$1:$AN$61,COLUMN(平滑数据导入!S$1),0)</f>
        <v>1732.707555784913</v>
      </c>
      <c r="AO29" s="101">
        <f>VLOOKUP($A29,平滑数据导入!$A$1:$AN$61,COLUMN(平滑数据导入!T$1),0)</f>
        <v>1712.450030402109</v>
      </c>
      <c r="AP29" s="90">
        <f>VLOOKUP($A29,平滑数据导入!$A$1:$AN$61,COLUMN(平滑数据导入!U$1),0)</f>
        <v>1691.414698848557</v>
      </c>
      <c r="AQ29" s="90">
        <f>VLOOKUP($A29,平滑数据导入!$A$1:$AN$61,COLUMN(平滑数据导入!V$1),0)</f>
        <v>1669.609709785884</v>
      </c>
      <c r="AR29" s="90">
        <f>VLOOKUP($A29,平滑数据导入!$A$1:$AN$61,COLUMN(平滑数据导入!W$1),0)</f>
        <v>1647.045533177002</v>
      </c>
      <c r="AS29" s="90">
        <f>VLOOKUP($A29,平滑数据导入!$A$1:$AN$61,COLUMN(平滑数据导入!X$1),0)</f>
        <v>1623.7349765864931</v>
      </c>
      <c r="AT29" s="90">
        <f>VLOOKUP($A29,平滑数据导入!$A$1:$AN$61,COLUMN(平滑数据导入!Y$1),0)</f>
        <v>1599.6931921057219</v>
      </c>
      <c r="AU29" s="89">
        <f>VLOOKUP($A29,平滑数据导入!$A$1:$AN$61,COLUMN(平滑数据导入!Z$1),0)</f>
        <v>1574.937673450984</v>
      </c>
      <c r="AV29" s="90">
        <f>VLOOKUP($A29,平滑数据导入!$A$1:$AN$61,COLUMN(平滑数据导入!AA$1),0)</f>
        <v>1549.488242832638</v>
      </c>
      <c r="AW29" s="90">
        <f>VLOOKUP($A29,平滑数据导入!$A$1:$AN$61,COLUMN(平滑数据导入!AB$1),0)</f>
        <v>1523.3670272488939</v>
      </c>
      <c r="AX29" s="90">
        <f>VLOOKUP($A29,平滑数据导入!$A$1:$AN$61,COLUMN(平滑数据导入!AC$1),0)</f>
        <v>1496.598423919057</v>
      </c>
      <c r="AY29" s="133">
        <f>VLOOKUP(A29,情景假设!$B$48:$S$88,17,0)/情景假设!R$47*AY$13</f>
        <v>1469.2090546375553</v>
      </c>
      <c r="AZ29" s="89">
        <f>VLOOKUP($A29,平滑数据导入!$A$1:$AN$61,COLUMN(平滑数据导入!AE$1),0)</f>
        <v>1441.227708901562</v>
      </c>
      <c r="BA29" s="90">
        <f>VLOOKUP($A29,平滑数据导入!$A$1:$AN$61,COLUMN(平滑数据导入!AF$1),0)</f>
        <v>1412.6852757410061</v>
      </c>
      <c r="BB29" s="90">
        <f>VLOOKUP($A29,平滑数据导入!$A$1:$AN$61,COLUMN(平滑数据导入!AG$1),0)</f>
        <v>1383.614664259818</v>
      </c>
      <c r="BC29" s="90">
        <f>VLOOKUP($A29,平滑数据导入!$A$1:$AN$61,COLUMN(平滑数据导入!AH$1),0)</f>
        <v>1354.0507129806949</v>
      </c>
      <c r="BD29" s="101">
        <f>VLOOKUP($A29,平滑数据导入!$A$1:$AN$61,COLUMN(平滑数据导入!AI$1),0)</f>
        <v>1324.030088171937</v>
      </c>
      <c r="BE29" s="90">
        <f>VLOOKUP($A29,平滑数据导入!$A$1:$AN$61,COLUMN(平滑数据导入!AJ$1),0)</f>
        <v>1293.5911714232029</v>
      </c>
      <c r="BF29" s="90">
        <f>VLOOKUP($A29,平滑数据导入!$A$1:$AN$61,COLUMN(平滑数据导入!AK$1),0)</f>
        <v>1262.773936826597</v>
      </c>
      <c r="BG29" s="90">
        <f>VLOOKUP($A29,平滑数据导入!$A$1:$AN$61,COLUMN(平滑数据导入!AL$1),0)</f>
        <v>1231.6198182094911</v>
      </c>
      <c r="BH29" s="90">
        <f>VLOOKUP($A29,平滑数据导入!$A$1:$AN$61,COLUMN(平滑数据导入!AM$1),0)</f>
        <v>1200.1715669550481</v>
      </c>
      <c r="BI29" s="133">
        <f>VLOOKUP(A29,情景假设!$B$48:$S$88,18,0)/情景假设!S$47*BI$13</f>
        <v>1168.4731010344371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(2001-2022, 当年价) '!I30*I$77</f>
        <v>2399.4158408160433</v>
      </c>
      <c r="J30" s="20">
        <f>'增加值 (2001-2022, 当年价) '!J30*J$77</f>
        <v>2517.8787005987151</v>
      </c>
      <c r="K30" s="21">
        <f>'增加值 (2001-2022, 当年价) '!K30*K$77</f>
        <v>2841.2631481498397</v>
      </c>
      <c r="L30" s="19">
        <f>'增加值 (2001-2022, 当年价) '!L30*L$77</f>
        <v>3123.251114962859</v>
      </c>
      <c r="M30" s="20">
        <f>'增加值 (2001-2022, 当年价) '!M30*M$77</f>
        <v>3234.9671780680355</v>
      </c>
      <c r="N30" s="20">
        <f>'增加值 (2001-2022, 当年价) '!N30*N$77</f>
        <v>3331.2326114407938</v>
      </c>
      <c r="O30" s="20">
        <f>'增加值 (2001-2022, 当年价) '!O30*O$77</f>
        <v>3401.3404077881783</v>
      </c>
      <c r="P30" s="20">
        <f>'增加值 (2001-2022, 当年价) '!P30*P$77</f>
        <v>3397.9015395567599</v>
      </c>
      <c r="Q30" s="19">
        <f>'增加值 (2001-2022, 当年价) '!Q30*Q$77</f>
        <v>3511.6031390759331</v>
      </c>
      <c r="R30" s="20">
        <f>'增加值 (2001-2022, 当年价) '!R30*R$77</f>
        <v>3703.7687703101592</v>
      </c>
      <c r="S30" s="20">
        <f>'增加值 (2001-2022, 当年价) '!S30*S$77</f>
        <v>3724.7155807424642</v>
      </c>
      <c r="T30" s="20">
        <f>'增加值 (2001-2022, 当年价) '!T30*T$77</f>
        <v>3742.079787486814</v>
      </c>
      <c r="U30" s="21">
        <f>'增加值 (2001-2022, 当年价) '!U30*U$77</f>
        <v>3663.3945727849982</v>
      </c>
      <c r="V30" s="20">
        <f>'增加值 (2001-2022, 当年价) '!V30*V$77</f>
        <v>4054.5873514850814</v>
      </c>
      <c r="W30" s="20">
        <f>'增加值 (2001-2022, 当年价) '!W30*W$77</f>
        <v>4094.0668183633061</v>
      </c>
      <c r="X30" s="90">
        <f>VLOOKUP($A30,平滑数据导入!$A$1:$AN$61,COLUMN(平滑数据导入!C$1),0)</f>
        <v>4105.0235933320291</v>
      </c>
      <c r="Y30" s="90">
        <f>VLOOKUP($A30,平滑数据导入!$A$1:$AN$61,COLUMN(平滑数据导入!D$1),0)</f>
        <v>4122.9583349077566</v>
      </c>
      <c r="Z30" s="141">
        <f>VLOOKUP(A30,情景假设!$B$48:$S$88,14,0)/情景假设!O$47*Z$13</f>
        <v>4145.1781604857952</v>
      </c>
      <c r="AA30" s="89">
        <f>VLOOKUP($A30,平滑数据导入!$A$1:$AN$61,COLUMN(平滑数据导入!F$1),0)</f>
        <v>4168.9514073451237</v>
      </c>
      <c r="AB30" s="90">
        <f>VLOOKUP($A30,平滑数据导入!$A$1:$AN$61,COLUMN(平滑数据导入!G$1),0)</f>
        <v>4191.4882281878045</v>
      </c>
      <c r="AC30" s="90">
        <f>VLOOKUP($A30,平滑数据导入!$A$1:$AN$61,COLUMN(平滑数据导入!H$1),0)</f>
        <v>4209.9395893093988</v>
      </c>
      <c r="AD30" s="90">
        <f>VLOOKUP($A30,平滑数据导入!$A$1:$AN$61,COLUMN(平滑数据导入!I$1),0)</f>
        <v>4221.415322330894</v>
      </c>
      <c r="AE30" s="133">
        <f>VLOOKUP(A30,情景假设!$B$48:$S$88,15,0)/情景假设!P$47*AE$13</f>
        <v>4223.0217180521358</v>
      </c>
      <c r="AF30" s="90">
        <f>VLOOKUP($A30,平滑数据导入!$A$1:$AN$61,COLUMN(平滑数据导入!K$1),0)</f>
        <v>4212.7099999479096</v>
      </c>
      <c r="AG30" s="90">
        <f>VLOOKUP($A30,平滑数据导入!$A$1:$AN$61,COLUMN(平滑数据导入!L$1),0)</f>
        <v>4191.690391733131</v>
      </c>
      <c r="AH30" s="90">
        <f>VLOOKUP($A30,平滑数据导入!$A$1:$AN$61,COLUMN(平滑数据导入!M$1),0)</f>
        <v>4162.0201276024391</v>
      </c>
      <c r="AI30" s="90">
        <f>VLOOKUP($A30,平滑数据导入!$A$1:$AN$61,COLUMN(平滑数据导入!N$1),0)</f>
        <v>4125.7647532938718</v>
      </c>
      <c r="AJ30" s="141">
        <f>VLOOKUP(A30,情景假设!$B$48:$S$88,16,0)/情景假设!Q$47*AJ$13</f>
        <v>4084.9619296999763</v>
      </c>
      <c r="AK30" s="89">
        <f>VLOOKUP($A30,平滑数据导入!$A$1:$AN$61,COLUMN(平滑数据导入!P$1),0)</f>
        <v>4041.2891286749732</v>
      </c>
      <c r="AL30" s="90">
        <f>VLOOKUP($A30,平滑数据导入!$A$1:$AN$61,COLUMN(平滑数据导入!Q$1),0)</f>
        <v>3995.1565042037191</v>
      </c>
      <c r="AM30" s="90">
        <f>VLOOKUP($A30,平滑数据导入!$A$1:$AN$61,COLUMN(平滑数据导入!R$1),0)</f>
        <v>3946.6659937692129</v>
      </c>
      <c r="AN30" s="90">
        <f>VLOOKUP($A30,平滑数据导入!$A$1:$AN$61,COLUMN(平滑数据导入!S$1),0)</f>
        <v>3895.9232306390968</v>
      </c>
      <c r="AO30" s="101">
        <f>VLOOKUP($A30,平滑数据导入!$A$1:$AN$61,COLUMN(平滑数据导入!T$1),0)</f>
        <v>3843.0371693982752</v>
      </c>
      <c r="AP30" s="90">
        <f>VLOOKUP($A30,平滑数据导入!$A$1:$AN$61,COLUMN(平滑数据导入!U$1),0)</f>
        <v>3788.1197059471542</v>
      </c>
      <c r="AQ30" s="90">
        <f>VLOOKUP($A30,平滑数据导入!$A$1:$AN$61,COLUMN(平滑数据导入!V$1),0)</f>
        <v>3731.2852937633979</v>
      </c>
      <c r="AR30" s="90">
        <f>VLOOKUP($A30,平滑数据导入!$A$1:$AN$61,COLUMN(平滑数据导入!W$1),0)</f>
        <v>3672.6505582073219</v>
      </c>
      <c r="AS30" s="90">
        <f>VLOOKUP($A30,平滑数据导入!$A$1:$AN$61,COLUMN(平滑数据导入!X$1),0)</f>
        <v>3612.3339106221051</v>
      </c>
      <c r="AT30" s="90">
        <f>VLOOKUP($A30,平滑数据导入!$A$1:$AN$61,COLUMN(平滑数据导入!Y$1),0)</f>
        <v>3550.4551639420829</v>
      </c>
      <c r="AU30" s="89">
        <f>VLOOKUP($A30,平滑数据导入!$A$1:$AN$61,COLUMN(平滑数据导入!Z$1),0)</f>
        <v>3487.1351514746721</v>
      </c>
      <c r="AV30" s="90">
        <f>VLOOKUP($A30,平滑数据导入!$A$1:$AN$61,COLUMN(平滑数据导入!AA$1),0)</f>
        <v>3422.4953504655318</v>
      </c>
      <c r="AW30" s="90">
        <f>VLOOKUP($A30,平滑数据导入!$A$1:$AN$61,COLUMN(平滑数据导入!AB$1),0)</f>
        <v>3356.6575119921658</v>
      </c>
      <c r="AX30" s="90">
        <f>VLOOKUP($A30,平滑数据导入!$A$1:$AN$61,COLUMN(平滑数据导入!AC$1),0)</f>
        <v>3289.7432986597951</v>
      </c>
      <c r="AY30" s="133">
        <f>VLOOKUP(A30,情景假设!$B$48:$S$88,17,0)/情景假设!R$47*AY$13</f>
        <v>3221.8739314946838</v>
      </c>
      <c r="AZ30" s="89">
        <f>VLOOKUP($A30,平滑数据导入!$A$1:$AN$61,COLUMN(平滑数据导入!AE$1),0)</f>
        <v>3153.1698473459269</v>
      </c>
      <c r="BA30" s="90">
        <f>VLOOKUP($A30,平滑数据导入!$A$1:$AN$61,COLUMN(平滑数据导入!AF$1),0)</f>
        <v>3083.7503680167251</v>
      </c>
      <c r="BB30" s="90">
        <f>VLOOKUP($A30,平滑数据导入!$A$1:$AN$61,COLUMN(平滑数据导入!AG$1),0)</f>
        <v>3013.7333822520118</v>
      </c>
      <c r="BC30" s="90">
        <f>VLOOKUP($A30,平滑数据导入!$A$1:$AN$61,COLUMN(平滑数据导入!AH$1),0)</f>
        <v>2943.2350416114318</v>
      </c>
      <c r="BD30" s="101">
        <f>VLOOKUP($A30,平滑数据导入!$A$1:$AN$61,COLUMN(平滑数据导入!AI$1),0)</f>
        <v>2872.3694711548701</v>
      </c>
      <c r="BE30" s="90">
        <f>VLOOKUP($A30,平滑数据导入!$A$1:$AN$61,COLUMN(平滑数据导入!AJ$1),0)</f>
        <v>2801.2484957651959</v>
      </c>
      <c r="BF30" s="90">
        <f>VLOOKUP($A30,平滑数据导入!$A$1:$AN$61,COLUMN(平滑数据导入!AK$1),0)</f>
        <v>2729.9813828271949</v>
      </c>
      <c r="BG30" s="90">
        <f>VLOOKUP($A30,平滑数据导入!$A$1:$AN$61,COLUMN(平滑数据导入!AL$1),0)</f>
        <v>2658.6746018764138</v>
      </c>
      <c r="BH30" s="90">
        <f>VLOOKUP($A30,平滑数据导入!$A$1:$AN$61,COLUMN(平滑数据导入!AM$1),0)</f>
        <v>2587.4316017256169</v>
      </c>
      <c r="BI30" s="133">
        <f>VLOOKUP(A30,情景假设!$B$48:$S$88,18,0)/情景假设!S$47*BI$13</f>
        <v>2516.3526054714862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(2001-2022, 当年价) '!I31*I$77</f>
        <v>960.49923103428591</v>
      </c>
      <c r="J31" s="20">
        <f>'增加值 (2001-2022, 当年价) '!J31*J$77</f>
        <v>990.62110956548941</v>
      </c>
      <c r="K31" s="21">
        <f>'增加值 (2001-2022, 当年价) '!K31*K$77</f>
        <v>1105.3457185260063</v>
      </c>
      <c r="L31" s="19">
        <f>'增加值 (2001-2022, 当年价) '!L31*L$77</f>
        <v>1209.7378757621632</v>
      </c>
      <c r="M31" s="20">
        <f>'增加值 (2001-2022, 当年价) '!M31*M$77</f>
        <v>1267.9807982271564</v>
      </c>
      <c r="N31" s="20">
        <f>'增加值 (2001-2022, 当年价) '!N31*N$77</f>
        <v>1347.8717215792374</v>
      </c>
      <c r="O31" s="20">
        <f>'增加值 (2001-2022, 当年价) '!O31*O$77</f>
        <v>1421.466988732664</v>
      </c>
      <c r="P31" s="20">
        <f>'增加值 (2001-2022, 当年价) '!P31*P$77</f>
        <v>1438.9096272736515</v>
      </c>
      <c r="Q31" s="19">
        <f>'增加值 (2001-2022, 当年价) '!Q31*Q$77</f>
        <v>1489.8672732730606</v>
      </c>
      <c r="R31" s="20">
        <f>'增加值 (2001-2022, 当年价) '!R31*R$77</f>
        <v>1658.8647683805762</v>
      </c>
      <c r="S31" s="20">
        <f>'增加值 (2001-2022, 当年价) '!S31*S$77</f>
        <v>1760.7433815949707</v>
      </c>
      <c r="T31" s="20">
        <f>'增加值 (2001-2022, 当年价) '!T31*T$77</f>
        <v>1740.091712310071</v>
      </c>
      <c r="U31" s="21">
        <f>'增加值 (2001-2022, 当年价) '!U31*U$77</f>
        <v>1649.6368760600501</v>
      </c>
      <c r="V31" s="20">
        <f>'增加值 (2001-2022, 当年价) '!V31*V$77</f>
        <v>1909.953713647637</v>
      </c>
      <c r="W31" s="20">
        <f>'增加值 (2001-2022, 当年价) '!W31*W$77</f>
        <v>1947.9528299445335</v>
      </c>
      <c r="X31" s="90">
        <f>VLOOKUP($A31,平滑数据导入!$A$1:$AN$61,COLUMN(平滑数据导入!C$1),0)</f>
        <v>1984.347618336177</v>
      </c>
      <c r="Y31" s="90">
        <f>VLOOKUP($A31,平滑数据导入!$A$1:$AN$61,COLUMN(平滑数据导入!D$1),0)</f>
        <v>2019.897745451452</v>
      </c>
      <c r="Z31" s="141">
        <f>VLOOKUP(A31,情景假设!$B$48:$S$88,14,0)/情景假设!O$47*Z$13</f>
        <v>2053.9350998983955</v>
      </c>
      <c r="AA31" s="89">
        <f>VLOOKUP($A31,平滑数据导入!$A$1:$AN$61,COLUMN(平滑数据导入!F$1),0)</f>
        <v>2085.7542679607691</v>
      </c>
      <c r="AB31" s="90">
        <f>VLOOKUP($A31,平滑数据导入!$A$1:$AN$61,COLUMN(平滑数据导入!G$1),0)</f>
        <v>2114.6185965654581</v>
      </c>
      <c r="AC31" s="90">
        <f>VLOOKUP($A31,平滑数据导入!$A$1:$AN$61,COLUMN(平滑数据导入!H$1),0)</f>
        <v>2139.7686752770492</v>
      </c>
      <c r="AD31" s="90">
        <f>VLOOKUP($A31,平滑数据导入!$A$1:$AN$61,COLUMN(平滑数据导入!I$1),0)</f>
        <v>2160.4333149574359</v>
      </c>
      <c r="AE31" s="133">
        <f>VLOOKUP(A31,情景假设!$B$48:$S$88,15,0)/情景假设!P$47*AE$13</f>
        <v>2175.8430133360353</v>
      </c>
      <c r="AF31" s="90">
        <f>VLOOKUP($A31,平滑数据导入!$A$1:$AN$61,COLUMN(平滑数据导入!K$1),0)</f>
        <v>2185.5050092531269</v>
      </c>
      <c r="AG31" s="90">
        <f>VLOOKUP($A31,平滑数据导入!$A$1:$AN$61,COLUMN(平滑数据导入!L$1),0)</f>
        <v>2190.002304548048</v>
      </c>
      <c r="AH31" s="90">
        <f>VLOOKUP($A31,平滑数据导入!$A$1:$AN$61,COLUMN(平滑数据导入!M$1),0)</f>
        <v>2190.2229735350238</v>
      </c>
      <c r="AI31" s="90">
        <f>VLOOKUP($A31,平滑数据导入!$A$1:$AN$61,COLUMN(平滑数据导入!N$1),0)</f>
        <v>2187.0844664977858</v>
      </c>
      <c r="AJ31" s="141">
        <f>VLOOKUP(A31,情景假设!$B$48:$S$88,16,0)/情景假设!Q$47*AJ$13</f>
        <v>2181.5176210319082</v>
      </c>
      <c r="AK31" s="89">
        <f>VLOOKUP($A31,平滑数据导入!$A$1:$AN$61,COLUMN(平滑数据导入!P$1),0)</f>
        <v>2174.2974929727588</v>
      </c>
      <c r="AL31" s="90">
        <f>VLOOKUP($A31,平滑数据导入!$A$1:$AN$61,COLUMN(平滑数据导入!Q$1),0)</f>
        <v>2165.5689253407459</v>
      </c>
      <c r="AM31" s="90">
        <f>VLOOKUP($A31,平滑数据导入!$A$1:$AN$61,COLUMN(平滑数据导入!R$1),0)</f>
        <v>2155.32243885762</v>
      </c>
      <c r="AN31" s="90">
        <f>VLOOKUP($A31,平滑数据导入!$A$1:$AN$61,COLUMN(平滑数据导入!S$1),0)</f>
        <v>2143.5522340546572</v>
      </c>
      <c r="AO31" s="101">
        <f>VLOOKUP($A31,平滑数据导入!$A$1:$AN$61,COLUMN(平滑数据导入!T$1),0)</f>
        <v>2130.2563081666581</v>
      </c>
      <c r="AP31" s="90">
        <f>VLOOKUP($A31,平滑数据导入!$A$1:$AN$61,COLUMN(平滑数据导入!U$1),0)</f>
        <v>2115.436558055329</v>
      </c>
      <c r="AQ31" s="90">
        <f>VLOOKUP($A31,平滑数据导入!$A$1:$AN$61,COLUMN(平滑数据导入!V$1),0)</f>
        <v>2099.0988680405021</v>
      </c>
      <c r="AR31" s="90">
        <f>VLOOKUP($A31,平滑数据导入!$A$1:$AN$61,COLUMN(平滑数据导入!W$1),0)</f>
        <v>2081.253181576998</v>
      </c>
      <c r="AS31" s="90">
        <f>VLOOKUP($A31,平滑数据导入!$A$1:$AN$61,COLUMN(平滑数据导入!X$1),0)</f>
        <v>2061.913555785949</v>
      </c>
      <c r="AT31" s="90">
        <f>VLOOKUP($A31,平滑数据导入!$A$1:$AN$61,COLUMN(平滑数据导入!Y$1),0)</f>
        <v>2041.098197931879</v>
      </c>
      <c r="AU31" s="89">
        <f>VLOOKUP($A31,平滑数据导入!$A$1:$AN$61,COLUMN(平滑数据导入!Z$1),0)</f>
        <v>2018.82948303068</v>
      </c>
      <c r="AV31" s="90">
        <f>VLOOKUP($A31,平滑数据导入!$A$1:$AN$61,COLUMN(平滑数据导入!AA$1),0)</f>
        <v>1995.1339518783891</v>
      </c>
      <c r="AW31" s="90">
        <f>VLOOKUP($A31,平滑数据导入!$A$1:$AN$61,COLUMN(平滑数据导入!AB$1),0)</f>
        <v>1970.042288906028</v>
      </c>
      <c r="AX31" s="90">
        <f>VLOOKUP($A31,平滑数据导入!$A$1:$AN$61,COLUMN(平滑数据导入!AC$1),0)</f>
        <v>1943.5892793908299</v>
      </c>
      <c r="AY31" s="133">
        <f>VLOOKUP(A31,情景假设!$B$48:$S$88,17,0)/情景假设!R$47*AY$13</f>
        <v>1915.8137456883092</v>
      </c>
      <c r="AZ31" s="89">
        <f>VLOOKUP($A31,平滑数据导入!$A$1:$AN$61,COLUMN(平滑数据导入!AE$1),0)</f>
        <v>1886.7584622920999</v>
      </c>
      <c r="BA31" s="90">
        <f>VLOOKUP($A31,平滑数据导入!$A$1:$AN$61,COLUMN(平滑数据导入!AF$1),0)</f>
        <v>1856.470049677723</v>
      </c>
      <c r="BB31" s="90">
        <f>VLOOKUP($A31,平滑数据导入!$A$1:$AN$61,COLUMN(平滑数据导入!AG$1),0)</f>
        <v>1824.998847041795</v>
      </c>
      <c r="BC31" s="90">
        <f>VLOOKUP($A31,平滑数据导入!$A$1:$AN$61,COLUMN(平滑数据导入!AH$1),0)</f>
        <v>1792.3987642081329</v>
      </c>
      <c r="BD31" s="101">
        <f>VLOOKUP($A31,平滑数据导入!$A$1:$AN$61,COLUMN(平滑数据导入!AI$1),0)</f>
        <v>1758.727113135104</v>
      </c>
      <c r="BE31" s="90">
        <f>VLOOKUP($A31,平滑数据导入!$A$1:$AN$61,COLUMN(平滑数据导入!AJ$1),0)</f>
        <v>1724.044419623355</v>
      </c>
      <c r="BF31" s="90">
        <f>VLOOKUP($A31,平滑数据导入!$A$1:$AN$61,COLUMN(平滑数据导入!AK$1),0)</f>
        <v>1688.4142159876949</v>
      </c>
      <c r="BG31" s="90">
        <f>VLOOKUP($A31,平滑数据导入!$A$1:$AN$61,COLUMN(平滑数据导入!AL$1),0)</f>
        <v>1651.9028156199679</v>
      </c>
      <c r="BH31" s="90">
        <f>VLOOKUP($A31,平滑数据导入!$A$1:$AN$61,COLUMN(平滑数据导入!AM$1),0)</f>
        <v>1614.5790705294289</v>
      </c>
      <c r="BI31" s="133">
        <f>VLOOKUP(A31,情景假设!$B$48:$S$88,18,0)/情景假设!S$47*BI$13</f>
        <v>1576.5141131017122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(2001-2022, 当年价) '!I32*I$77</f>
        <v>1237.2348438757313</v>
      </c>
      <c r="J32" s="20">
        <f>'增加值 (2001-2022, 当年价) '!J32*J$77</f>
        <v>1260.7885849418121</v>
      </c>
      <c r="K32" s="21">
        <f>'增加值 (2001-2022, 当年价) '!K32*K$77</f>
        <v>1389.6603169510863</v>
      </c>
      <c r="L32" s="19">
        <f>'增加值 (2001-2022, 当年价) '!L32*L$77</f>
        <v>1498.203935994324</v>
      </c>
      <c r="M32" s="20">
        <f>'增加值 (2001-2022, 当年价) '!M32*M$77</f>
        <v>1581.7453247763906</v>
      </c>
      <c r="N32" s="20">
        <f>'增加值 (2001-2022, 当年价) '!N32*N$77</f>
        <v>1705.4469690205001</v>
      </c>
      <c r="O32" s="20">
        <f>'增加值 (2001-2022, 当年价) '!O32*O$77</f>
        <v>1857.428402654961</v>
      </c>
      <c r="P32" s="20">
        <f>'增加值 (2001-2022, 当年价) '!P32*P$77</f>
        <v>1864.3612617991985</v>
      </c>
      <c r="Q32" s="19">
        <f>'增加值 (2001-2022, 当年价) '!Q32*Q$77</f>
        <v>1877.6232138558726</v>
      </c>
      <c r="R32" s="20">
        <f>'增加值 (2001-2022, 当年价) '!R32*R$77</f>
        <v>2073.499402210462</v>
      </c>
      <c r="S32" s="20">
        <f>'增加值 (2001-2022, 当年价) '!S32*S$77</f>
        <v>2225.6176241314952</v>
      </c>
      <c r="T32" s="20">
        <f>'增加值 (2001-2022, 当年价) '!T32*T$77</f>
        <v>2169.4713333944724</v>
      </c>
      <c r="U32" s="21">
        <f>'增加值 (2001-2022, 当年价) '!U32*U$77</f>
        <v>1972.7493616245627</v>
      </c>
      <c r="V32" s="20">
        <f>'增加值 (2001-2022, 当年价) '!V32*V$77</f>
        <v>2360.0523650119308</v>
      </c>
      <c r="W32" s="20">
        <f>'增加值 (2001-2022, 当年价) '!W32*W$77</f>
        <v>2335.0838323778685</v>
      </c>
      <c r="X32" s="90">
        <f>VLOOKUP($A32,平滑数据导入!$A$1:$AN$61,COLUMN(平滑数据导入!C$1),0)</f>
        <v>2363.4193744292638</v>
      </c>
      <c r="Y32" s="90">
        <f>VLOOKUP($A32,平滑数据导入!$A$1:$AN$61,COLUMN(平滑数据导入!D$1),0)</f>
        <v>2391.7159523911441</v>
      </c>
      <c r="Z32" s="141">
        <f>VLOOKUP(A32,情景假设!$B$48:$S$88,14,0)/情景假设!O$47*Z$13</f>
        <v>2419.0924503587726</v>
      </c>
      <c r="AA32" s="89">
        <f>VLOOKUP($A32,平滑数据导入!$A$1:$AN$61,COLUMN(平滑数据导入!F$1),0)</f>
        <v>2444.6289570148369</v>
      </c>
      <c r="AB32" s="90">
        <f>VLOOKUP($A32,平滑数据导入!$A$1:$AN$61,COLUMN(平滑数据导入!G$1),0)</f>
        <v>2467.3719311555969</v>
      </c>
      <c r="AC32" s="90">
        <f>VLOOKUP($A32,平滑数据导入!$A$1:$AN$61,COLUMN(平滑数据导入!H$1),0)</f>
        <v>2486.342956067368</v>
      </c>
      <c r="AD32" s="90">
        <f>VLOOKUP($A32,平滑数据导入!$A$1:$AN$61,COLUMN(平滑数据导入!I$1),0)</f>
        <v>2500.5512184799741</v>
      </c>
      <c r="AE32" s="133">
        <f>VLOOKUP(A32,情景假设!$B$48:$S$88,15,0)/情景假设!P$47*AE$13</f>
        <v>2509.0097360210475</v>
      </c>
      <c r="AF32" s="90">
        <f>VLOOKUP($A32,平滑数据导入!$A$1:$AN$61,COLUMN(平滑数据导入!K$1),0)</f>
        <v>2511.079565496369</v>
      </c>
      <c r="AG32" s="90">
        <f>VLOOKUP($A32,平滑数据导入!$A$1:$AN$61,COLUMN(平滑数据导入!L$1),0)</f>
        <v>2507.461127212981</v>
      </c>
      <c r="AH32" s="90">
        <f>VLOOKUP($A32,平滑数据导入!$A$1:$AN$61,COLUMN(平滑数据导入!M$1),0)</f>
        <v>2499.215617356323</v>
      </c>
      <c r="AI32" s="90">
        <f>VLOOKUP($A32,平滑数据导入!$A$1:$AN$61,COLUMN(平滑数据导入!N$1),0)</f>
        <v>2487.4204448462938</v>
      </c>
      <c r="AJ32" s="141">
        <f>VLOOKUP(A32,情景假设!$B$48:$S$88,16,0)/情景假设!Q$47*AJ$13</f>
        <v>2473.1519711962324</v>
      </c>
      <c r="AK32" s="89">
        <f>VLOOKUP($A32,平滑数据导入!$A$1:$AN$61,COLUMN(平滑数据导入!P$1),0)</f>
        <v>2457.296956646921</v>
      </c>
      <c r="AL32" s="90">
        <f>VLOOKUP($A32,平滑数据导入!$A$1:$AN$61,COLUMN(平滑数据导入!Q$1),0)</f>
        <v>2440.0264740249149</v>
      </c>
      <c r="AM32" s="90">
        <f>VLOOKUP($A32,平滑数据导入!$A$1:$AN$61,COLUMN(平滑数据导入!R$1),0)</f>
        <v>2421.3370221337459</v>
      </c>
      <c r="AN32" s="90">
        <f>VLOOKUP($A32,平滑数据导入!$A$1:$AN$61,COLUMN(平滑数据导入!S$1),0)</f>
        <v>2401.228594747618</v>
      </c>
      <c r="AO32" s="101">
        <f>VLOOKUP($A32,平滑数据导入!$A$1:$AN$61,COLUMN(平滑数据导入!T$1),0)</f>
        <v>2379.704775733298</v>
      </c>
      <c r="AP32" s="90">
        <f>VLOOKUP($A32,平滑数据导入!$A$1:$AN$61,COLUMN(平滑数据导入!U$1),0)</f>
        <v>2356.772821532601</v>
      </c>
      <c r="AQ32" s="90">
        <f>VLOOKUP($A32,平滑数据导入!$A$1:$AN$61,COLUMN(平滑数据导入!V$1),0)</f>
        <v>2332.4437300073591</v>
      </c>
      <c r="AR32" s="90">
        <f>VLOOKUP($A32,平滑数据导入!$A$1:$AN$61,COLUMN(平滑数据导入!W$1),0)</f>
        <v>2306.7322946978829</v>
      </c>
      <c r="AS32" s="90">
        <f>VLOOKUP($A32,平滑数据导入!$A$1:$AN$61,COLUMN(平滑数据导入!X$1),0)</f>
        <v>2279.6571436052909</v>
      </c>
      <c r="AT32" s="90">
        <f>VLOOKUP($A32,平滑数据导入!$A$1:$AN$61,COLUMN(平滑数据导入!Y$1),0)</f>
        <v>2251.2407616776859</v>
      </c>
      <c r="AU32" s="89">
        <f>VLOOKUP($A32,平滑数据导入!$A$1:$AN$61,COLUMN(平滑数据导入!Z$1),0)</f>
        <v>2221.5094962600642</v>
      </c>
      <c r="AV32" s="90">
        <f>VLOOKUP($A32,平滑数据导入!$A$1:$AN$61,COLUMN(平滑数据导入!AA$1),0)</f>
        <v>2190.4935448576898</v>
      </c>
      <c r="AW32" s="90">
        <f>VLOOKUP($A32,平滑数据导入!$A$1:$AN$61,COLUMN(平滑数据导入!AB$1),0)</f>
        <v>2158.226924662114</v>
      </c>
      <c r="AX32" s="90">
        <f>VLOOKUP($A32,平滑数据导入!$A$1:$AN$61,COLUMN(平滑数据导入!AC$1),0)</f>
        <v>2124.7474233977869</v>
      </c>
      <c r="AY32" s="133">
        <f>VLOOKUP(A32,情景假设!$B$48:$S$88,17,0)/情景假设!R$47*AY$13</f>
        <v>2090.0965311644181</v>
      </c>
      <c r="AZ32" s="89">
        <f>VLOOKUP($A32,平滑数据导入!$A$1:$AN$61,COLUMN(平滑数据导入!AE$1),0)</f>
        <v>2054.3193530754561</v>
      </c>
      <c r="BA32" s="90">
        <f>VLOOKUP($A32,平滑数据导入!$A$1:$AN$61,COLUMN(平滑数据导入!AF$1),0)</f>
        <v>2017.4645026251869</v>
      </c>
      <c r="BB32" s="90">
        <f>VLOOKUP($A32,平滑数据导入!$A$1:$AN$61,COLUMN(平滑数据导入!AG$1),0)</f>
        <v>1979.583975855264</v>
      </c>
      <c r="BC32" s="90">
        <f>VLOOKUP($A32,平滑数据导入!$A$1:$AN$61,COLUMN(平滑数据导入!AH$1),0)</f>
        <v>1940.733006534497</v>
      </c>
      <c r="BD32" s="101">
        <f>VLOOKUP($A32,平滑数据导入!$A$1:$AN$61,COLUMN(平滑数据导入!AI$1),0)</f>
        <v>1900.9699027128779</v>
      </c>
      <c r="BE32" s="90">
        <f>VLOOKUP($A32,平滑数据导入!$A$1:$AN$61,COLUMN(平滑数据导入!AJ$1),0)</f>
        <v>1860.3558651600069</v>
      </c>
      <c r="BF32" s="90">
        <f>VLOOKUP($A32,平滑数据导入!$A$1:$AN$61,COLUMN(平滑数据导入!AK$1),0)</f>
        <v>1818.9547883485491</v>
      </c>
      <c r="BG32" s="90">
        <f>VLOOKUP($A32,平滑数据导入!$A$1:$AN$61,COLUMN(平滑数据导入!AL$1),0)</f>
        <v>1776.8330447933581</v>
      </c>
      <c r="BH32" s="90">
        <f>VLOOKUP($A32,平滑数据导入!$A$1:$AN$61,COLUMN(平滑数据导入!AM$1),0)</f>
        <v>1734.0592537047651</v>
      </c>
      <c r="BI32" s="133">
        <f>VLOOKUP(A32,情景假设!$B$48:$S$88,18,0)/情景假设!S$47*BI$13</f>
        <v>1690.7040350590557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(2001-2022, 当年价) '!I33*I$77</f>
        <v>4625.6513765876116</v>
      </c>
      <c r="J33" s="20">
        <f>'增加值 (2001-2022, 当年价) '!J33*J$77</f>
        <v>4612.8602684459884</v>
      </c>
      <c r="K33" s="21">
        <f>'增加值 (2001-2022, 当年价) '!K33*K$77</f>
        <v>4909.6595710962438</v>
      </c>
      <c r="L33" s="19">
        <f>'增加值 (2001-2022, 当年价) '!L33*L$77</f>
        <v>5076.1339274281618</v>
      </c>
      <c r="M33" s="20">
        <f>'增加值 (2001-2022, 当年价) '!M33*M$77</f>
        <v>5136.8917752740663</v>
      </c>
      <c r="N33" s="20">
        <f>'增加值 (2001-2022, 当年价) '!N33*N$77</f>
        <v>5177.5177742301576</v>
      </c>
      <c r="O33" s="20">
        <f>'增加值 (2001-2022, 当年价) '!O33*O$77</f>
        <v>5231.8795946876407</v>
      </c>
      <c r="P33" s="20">
        <f>'增加值 (2001-2022, 当年价) '!P33*P$77</f>
        <v>5330.8239788952933</v>
      </c>
      <c r="Q33" s="19">
        <f>'增加值 (2001-2022, 当年价) '!Q33*Q$77</f>
        <v>5550.8237809702714</v>
      </c>
      <c r="R33" s="20">
        <f>'增加值 (2001-2022, 当年价) '!R33*R$77</f>
        <v>5888.2933870137658</v>
      </c>
      <c r="S33" s="20">
        <f>'增加值 (2001-2022, 当年价) '!S33*S$77</f>
        <v>6238.1949839855151</v>
      </c>
      <c r="T33" s="20">
        <f>'增加值 (2001-2022, 当年价) '!T33*T$77</f>
        <v>6315.3940380225322</v>
      </c>
      <c r="U33" s="21">
        <f>'增加值 (2001-2022, 当年价) '!U33*U$77</f>
        <v>6152.0529589530752</v>
      </c>
      <c r="V33" s="20">
        <f>'增加值 (2001-2022, 当年价) '!V33*V$77</f>
        <v>6456.6953675432605</v>
      </c>
      <c r="W33" s="20">
        <f>'增加值 (2001-2022, 当年价) '!W33*W$77</f>
        <v>6224.4128368227912</v>
      </c>
      <c r="X33" s="90">
        <f>VLOOKUP($A33,平滑数据导入!$A$1:$AN$61,COLUMN(平滑数据导入!C$1),0)</f>
        <v>6212.6356384524033</v>
      </c>
      <c r="Y33" s="90">
        <f>VLOOKUP($A33,平滑数据导入!$A$1:$AN$61,COLUMN(平滑数据导入!D$1),0)</f>
        <v>6212.5178315713874</v>
      </c>
      <c r="Z33" s="141">
        <f>VLOOKUP(A33,情景假设!$B$48:$S$88,14,0)/情景假设!O$47*Z$13</f>
        <v>6219.8923618994813</v>
      </c>
      <c r="AA33" s="89">
        <f>VLOOKUP($A33,平滑数据导入!$A$1:$AN$61,COLUMN(平滑数据导入!F$1),0)</f>
        <v>6230.6123497241188</v>
      </c>
      <c r="AB33" s="90">
        <f>VLOOKUP($A33,平滑数据导入!$A$1:$AN$61,COLUMN(平滑数据导入!G$1),0)</f>
        <v>6240.5148538431677</v>
      </c>
      <c r="AC33" s="90">
        <f>VLOOKUP($A33,平滑数据导入!$A$1:$AN$61,COLUMN(平滑数据导入!H$1),0)</f>
        <v>6245.4124346104009</v>
      </c>
      <c r="AD33" s="90">
        <f>VLOOKUP($A33,平滑数据导入!$A$1:$AN$61,COLUMN(平滑数据导入!I$1),0)</f>
        <v>6241.1126876466888</v>
      </c>
      <c r="AE33" s="133">
        <f>VLOOKUP(A33,情景假设!$B$48:$S$88,15,0)/情景假设!P$47*AE$13</f>
        <v>6223.465815366103</v>
      </c>
      <c r="AF33" s="90">
        <f>VLOOKUP($A33,平滑数据导入!$A$1:$AN$61,COLUMN(平滑数据导入!K$1),0)</f>
        <v>6189.5847025714238</v>
      </c>
      <c r="AG33" s="90">
        <f>VLOOKUP($A33,平滑数据导入!$A$1:$AN$61,COLUMN(平滑数据导入!L$1),0)</f>
        <v>6141.3034866110256</v>
      </c>
      <c r="AH33" s="90">
        <f>VLOOKUP($A33,平滑数据导入!$A$1:$AN$61,COLUMN(平滑数据导入!M$1),0)</f>
        <v>6081.6403449566742</v>
      </c>
      <c r="AI33" s="90">
        <f>VLOOKUP($A33,平滑数据导入!$A$1:$AN$61,COLUMN(平滑数据导入!N$1),0)</f>
        <v>6013.5830002074226</v>
      </c>
      <c r="AJ33" s="141">
        <f>VLOOKUP(A33,情景假设!$B$48:$S$88,16,0)/情景假设!Q$47*AJ$13</f>
        <v>5940.042686397408</v>
      </c>
      <c r="AK33" s="89">
        <f>VLOOKUP($A33,平滑数据导入!$A$1:$AN$61,COLUMN(平滑数据导入!P$1),0)</f>
        <v>5863.3878852541266</v>
      </c>
      <c r="AL33" s="90">
        <f>VLOOKUP($A33,平滑数据导入!$A$1:$AN$61,COLUMN(平滑数据导入!Q$1),0)</f>
        <v>5784.169233505957</v>
      </c>
      <c r="AM33" s="90">
        <f>VLOOKUP($A33,平滑数据导入!$A$1:$AN$61,COLUMN(平滑数据导入!R$1),0)</f>
        <v>5702.4962907518657</v>
      </c>
      <c r="AN33" s="90">
        <f>VLOOKUP($A33,平滑数据导入!$A$1:$AN$61,COLUMN(平滑数据导入!S$1),0)</f>
        <v>5618.4825302961808</v>
      </c>
      <c r="AO33" s="101">
        <f>VLOOKUP($A33,平滑数据导入!$A$1:$AN$61,COLUMN(平滑数据导入!T$1),0)</f>
        <v>5532.2450589646778</v>
      </c>
      <c r="AP33" s="90">
        <f>VLOOKUP($A33,平滑数据导入!$A$1:$AN$61,COLUMN(平滑数据导入!U$1),0)</f>
        <v>5443.9043254072712</v>
      </c>
      <c r="AQ33" s="90">
        <f>VLOOKUP($A33,平滑数据导入!$A$1:$AN$61,COLUMN(平滑数据导入!V$1),0)</f>
        <v>5353.5838179423226</v>
      </c>
      <c r="AR33" s="90">
        <f>VLOOKUP($A33,平滑数据导入!$A$1:$AN$61,COLUMN(平滑数据导入!W$1),0)</f>
        <v>5261.4097530506142</v>
      </c>
      <c r="AS33" s="90">
        <f>VLOOKUP($A33,平滑数据导入!$A$1:$AN$61,COLUMN(平滑数据导入!X$1),0)</f>
        <v>5167.5107556748217</v>
      </c>
      <c r="AT33" s="90">
        <f>VLOOKUP($A33,平滑数据导入!$A$1:$AN$61,COLUMN(平滑数据导入!Y$1),0)</f>
        <v>5072.0175325224855</v>
      </c>
      <c r="AU33" s="89">
        <f>VLOOKUP($A33,平滑数据导入!$A$1:$AN$61,COLUMN(平滑数据导入!Z$1),0)</f>
        <v>4975.0625396065343</v>
      </c>
      <c r="AV33" s="90">
        <f>VLOOKUP($A33,平滑数据导入!$A$1:$AN$61,COLUMN(平滑数据导入!AA$1),0)</f>
        <v>4876.7796452877556</v>
      </c>
      <c r="AW33" s="90">
        <f>VLOOKUP($A33,平滑数据导入!$A$1:$AN$61,COLUMN(平滑数据导入!AB$1),0)</f>
        <v>4777.3037901067792</v>
      </c>
      <c r="AX33" s="90">
        <f>VLOOKUP($A33,平滑数据导入!$A$1:$AN$61,COLUMN(平滑数据导入!AC$1),0)</f>
        <v>4676.7706447104774</v>
      </c>
      <c r="AY33" s="133">
        <f>VLOOKUP(A33,情景假设!$B$48:$S$88,17,0)/情景假设!R$47*AY$13</f>
        <v>4575.3162671875571</v>
      </c>
      <c r="AZ33" s="89">
        <f>VLOOKUP($A33,平滑数据导入!$A$1:$AN$61,COLUMN(平滑数据导入!AE$1),0)</f>
        <v>4473.0767611317351</v>
      </c>
      <c r="BA33" s="90">
        <f>VLOOKUP($A33,平滑数据导入!$A$1:$AN$61,COLUMN(平滑数据导入!AF$1),0)</f>
        <v>4370.187935747048</v>
      </c>
      <c r="BB33" s="90">
        <f>VLOOKUP($A33,平滑数据导入!$A$1:$AN$61,COLUMN(平滑数据导入!AG$1),0)</f>
        <v>4266.7849692992977</v>
      </c>
      <c r="BC33" s="90">
        <f>VLOOKUP($A33,平滑数据导入!$A$1:$AN$61,COLUMN(平滑数据导入!AH$1),0)</f>
        <v>4163.0020772003409</v>
      </c>
      <c r="BD33" s="101">
        <f>VLOOKUP($A33,平滑数据导入!$A$1:$AN$61,COLUMN(平滑数据导入!AI$1),0)</f>
        <v>4058.9721859873098</v>
      </c>
      <c r="BE33" s="90">
        <f>VLOOKUP($A33,平滑数据导入!$A$1:$AN$61,COLUMN(平滑数据导入!AJ$1),0)</f>
        <v>3954.8266144281861</v>
      </c>
      <c r="BF33" s="90">
        <f>VLOOKUP($A33,平滑数据导入!$A$1:$AN$61,COLUMN(平滑数据导入!AK$1),0)</f>
        <v>3850.6947629472579</v>
      </c>
      <c r="BG33" s="90">
        <f>VLOOKUP($A33,平滑数据导入!$A$1:$AN$61,COLUMN(平滑数据导入!AL$1),0)</f>
        <v>3746.7038125203658</v>
      </c>
      <c r="BH33" s="90">
        <f>VLOOKUP($A33,平滑数据导入!$A$1:$AN$61,COLUMN(平滑数据导入!AM$1),0)</f>
        <v>3642.978434139759</v>
      </c>
      <c r="BI33" s="133">
        <f>VLOOKUP(A33,情景假设!$B$48:$S$88,18,0)/情景假设!S$47*BI$13</f>
        <v>3539.6405098929217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(2001-2022, 当年价) '!I34*I$77</f>
        <v>10307.621181201201</v>
      </c>
      <c r="J34" s="20">
        <f>'增加值 (2001-2022, 当年价) '!J34*J$77</f>
        <v>11197.59429543964</v>
      </c>
      <c r="K34" s="21">
        <f>'增加值 (2001-2022, 当年价) '!K34*K$77</f>
        <v>12559.64137823792</v>
      </c>
      <c r="L34" s="19">
        <f>'增加值 (2001-2022, 当年价) '!L34*L$77</f>
        <v>13842.358017782368</v>
      </c>
      <c r="M34" s="20">
        <f>'增加值 (2001-2022, 当年价) '!M34*M$77</f>
        <v>14719.644806821092</v>
      </c>
      <c r="N34" s="20">
        <f>'增加值 (2001-2022, 当年价) '!N34*N$77</f>
        <v>15675.043022632364</v>
      </c>
      <c r="O34" s="20">
        <f>'增加值 (2001-2022, 当年价) '!O34*O$77</f>
        <v>16576.00180083466</v>
      </c>
      <c r="P34" s="20">
        <f>'增加值 (2001-2022, 当年价) '!P34*P$77</f>
        <v>17219.725535205271</v>
      </c>
      <c r="Q34" s="19">
        <f>'增加值 (2001-2022, 当年价) '!Q34*Q$77</f>
        <v>18098.41766921154</v>
      </c>
      <c r="R34" s="20">
        <f>'增加值 (2001-2022, 当年价) '!R34*R$77</f>
        <v>19015.540655849214</v>
      </c>
      <c r="S34" s="20">
        <f>'增加值 (2001-2022, 当年价) '!S34*S$77</f>
        <v>19615.361201046722</v>
      </c>
      <c r="T34" s="20">
        <f>'增加值 (2001-2022, 当年价) '!T34*T$77</f>
        <v>19801.368225340564</v>
      </c>
      <c r="U34" s="21">
        <f>'增加值 (2001-2022, 当年价) '!U34*U$77</f>
        <v>19806.415285139785</v>
      </c>
      <c r="V34" s="20">
        <f>'增加值 (2001-2022, 当年价) '!V34*V$77</f>
        <v>22210.139333921907</v>
      </c>
      <c r="W34" s="20">
        <f>'增加值 (2001-2022, 当年价) '!W34*W$77</f>
        <v>24050.846611769</v>
      </c>
      <c r="X34" s="90">
        <f>VLOOKUP($A34,平滑数据导入!$A$1:$AN$61,COLUMN(平滑数据导入!C$1),0)</f>
        <v>24509.03024066459</v>
      </c>
      <c r="Y34" s="90">
        <f>VLOOKUP($A34,平滑数据导入!$A$1:$AN$61,COLUMN(平滑数据导入!D$1),0)</f>
        <v>25001.58966458288</v>
      </c>
      <c r="Z34" s="141">
        <f>VLOOKUP(A34,情景假设!$B$48:$S$88,14,0)/情景假设!O$47*Z$13</f>
        <v>25512.924013843909</v>
      </c>
      <c r="AA34" s="89">
        <f>VLOOKUP($A34,平滑数据导入!$A$1:$AN$61,COLUMN(平滑数据导入!F$1),0)</f>
        <v>26026.115085443751</v>
      </c>
      <c r="AB34" s="90">
        <f>VLOOKUP($A34,平滑数据导入!$A$1:$AN$61,COLUMN(平滑数据导入!G$1),0)</f>
        <v>26522.8588930019</v>
      </c>
      <c r="AC34" s="90">
        <f>VLOOKUP($A34,平滑数据导入!$A$1:$AN$61,COLUMN(平滑数据导入!H$1),0)</f>
        <v>26983.518773909389</v>
      </c>
      <c r="AD34" s="90">
        <f>VLOOKUP($A34,平滑数据导入!$A$1:$AN$61,COLUMN(平滑数据导入!I$1),0)</f>
        <v>27387.315911044348</v>
      </c>
      <c r="AE34" s="133">
        <f>VLOOKUP(A34,情景假设!$B$48:$S$88,15,0)/情景假设!P$47*AE$13</f>
        <v>27712.670663823072</v>
      </c>
      <c r="AF34" s="90">
        <f>VLOOKUP($A34,平滑数据导入!$A$1:$AN$61,COLUMN(平滑数据导入!K$1),0)</f>
        <v>27943.235883573008</v>
      </c>
      <c r="AG34" s="90">
        <f>VLOOKUP($A34,平滑数据导入!$A$1:$AN$61,COLUMN(平滑数据导入!L$1),0)</f>
        <v>28085.349143571479</v>
      </c>
      <c r="AH34" s="90">
        <f>VLOOKUP($A34,平滑数据导入!$A$1:$AN$61,COLUMN(平滑数据导入!M$1),0)</f>
        <v>28151.995475308431</v>
      </c>
      <c r="AI34" s="90">
        <f>VLOOKUP($A34,平滑数据导入!$A$1:$AN$61,COLUMN(平滑数据导入!N$1),0)</f>
        <v>28156.986967644141</v>
      </c>
      <c r="AJ34" s="141">
        <f>VLOOKUP(A34,情景假设!$B$48:$S$88,16,0)/情景假设!Q$47*AJ$13</f>
        <v>28114.620589197049</v>
      </c>
      <c r="AK34" s="89">
        <f>VLOOKUP($A34,平滑数据导入!$A$1:$AN$61,COLUMN(平滑数据导入!P$1),0)</f>
        <v>28037.1179690467</v>
      </c>
      <c r="AL34" s="90">
        <f>VLOOKUP($A34,平滑数据导入!$A$1:$AN$61,COLUMN(平滑数据导入!Q$1),0)</f>
        <v>27927.635836360128</v>
      </c>
      <c r="AM34" s="90">
        <f>VLOOKUP($A34,平滑数据导入!$A$1:$AN$61,COLUMN(平滑数据导入!R$1),0)</f>
        <v>27787.139200358921</v>
      </c>
      <c r="AN34" s="90">
        <f>VLOOKUP($A34,平滑数据导入!$A$1:$AN$61,COLUMN(平滑数据导入!S$1),0)</f>
        <v>27616.685778867712</v>
      </c>
      <c r="AO34" s="101">
        <f>VLOOKUP($A34,平滑数据导入!$A$1:$AN$61,COLUMN(平滑数据导入!T$1),0)</f>
        <v>27417.41695064196</v>
      </c>
      <c r="AP34" s="90">
        <f>VLOOKUP($A34,平滑数据导入!$A$1:$AN$61,COLUMN(平滑数据导入!U$1),0)</f>
        <v>27190.548527257739</v>
      </c>
      <c r="AQ34" s="90">
        <f>VLOOKUP($A34,平滑数据导入!$A$1:$AN$61,COLUMN(平滑数据导入!V$1),0)</f>
        <v>26937.361431257559</v>
      </c>
      <c r="AR34" s="90">
        <f>VLOOKUP($A34,平滑数据导入!$A$1:$AN$61,COLUMN(平滑数据导入!W$1),0)</f>
        <v>26659.192363286878</v>
      </c>
      <c r="AS34" s="90">
        <f>VLOOKUP($A34,平滑数据导入!$A$1:$AN$61,COLUMN(平滑数据导入!X$1),0)</f>
        <v>26357.424536275321</v>
      </c>
      <c r="AT34" s="90">
        <f>VLOOKUP($A34,平滑数据导入!$A$1:$AN$61,COLUMN(平滑数据导入!Y$1),0)</f>
        <v>26033.478549438729</v>
      </c>
      <c r="AU34" s="89">
        <f>VLOOKUP($A34,平滑数据导入!$A$1:$AN$61,COLUMN(平滑数据导入!Z$1),0)</f>
        <v>25688.803469110098</v>
      </c>
      <c r="AV34" s="90">
        <f>VLOOKUP($A34,平滑数据导入!$A$1:$AN$61,COLUMN(平滑数据导入!AA$1),0)</f>
        <v>25324.86817725829</v>
      </c>
      <c r="AW34" s="90">
        <f>VLOOKUP($A34,平滑数据导入!$A$1:$AN$61,COLUMN(平滑数据导入!AB$1),0)</f>
        <v>24943.153042134629</v>
      </c>
      <c r="AX34" s="90">
        <f>VLOOKUP($A34,平滑数据导入!$A$1:$AN$61,COLUMN(平滑数据导入!AC$1),0)</f>
        <v>24545.141958898032</v>
      </c>
      <c r="AY34" s="133">
        <f>VLOOKUP(A34,情景假设!$B$48:$S$88,17,0)/情景假设!R$47*AY$13</f>
        <v>24132.314801411834</v>
      </c>
      <c r="AZ34" s="89">
        <f>VLOOKUP($A34,平滑数据导入!$A$1:$AN$61,COLUMN(平滑数据导入!AE$1),0)</f>
        <v>23706.140319762631</v>
      </c>
      <c r="BA34" s="90">
        <f>VLOOKUP($A34,平滑数据导入!$A$1:$AN$61,COLUMN(平滑数据导入!AF$1),0)</f>
        <v>23268.069511516529</v>
      </c>
      <c r="BB34" s="90">
        <f>VLOOKUP($A34,平滑数据导入!$A$1:$AN$61,COLUMN(平滑数据导入!AG$1),0)</f>
        <v>22819.52948836303</v>
      </c>
      <c r="BC34" s="90">
        <f>VLOOKUP($A34,平滑数据导入!$A$1:$AN$61,COLUMN(平滑数据导入!AH$1),0)</f>
        <v>22361.917853681309</v>
      </c>
      <c r="BD34" s="101">
        <f>VLOOKUP($A34,平滑数据导入!$A$1:$AN$61,COLUMN(平滑数据导入!AI$1),0)</f>
        <v>21896.597600739111</v>
      </c>
      <c r="BE34" s="90">
        <f>VLOOKUP($A34,平滑数据导入!$A$1:$AN$61,COLUMN(平滑数据导入!AJ$1),0)</f>
        <v>21424.8925357634</v>
      </c>
      <c r="BF34" s="90">
        <f>VLOOKUP($A34,平滑数据导入!$A$1:$AN$61,COLUMN(平滑数据导入!AK$1),0)</f>
        <v>20948.083225028891</v>
      </c>
      <c r="BG34" s="90">
        <f>VLOOKUP($A34,平滑数据导入!$A$1:$AN$61,COLUMN(平滑数据导入!AL$1),0)</f>
        <v>20467.403460436431</v>
      </c>
      <c r="BH34" s="90">
        <f>VLOOKUP($A34,平滑数据导入!$A$1:$AN$61,COLUMN(平滑数据导入!AM$1),0)</f>
        <v>19984.037233811909</v>
      </c>
      <c r="BI34" s="133">
        <f>VLOOKUP(A34,情景假设!$B$48:$S$88,18,0)/情景假设!S$47*BI$13</f>
        <v>19499.116206365758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(2001-2022, 当年价) '!I35*I$77</f>
        <v>3511.6514206275415</v>
      </c>
      <c r="J35" s="20">
        <f>'增加值 (2001-2022, 当年价) '!J35*J$77</f>
        <v>3821.5095498952564</v>
      </c>
      <c r="K35" s="21">
        <f>'增加值 (2001-2022, 当年价) '!K35*K$77</f>
        <v>4275.2149454151495</v>
      </c>
      <c r="L35" s="19">
        <f>'增加值 (2001-2022, 当年价) '!L35*L$77</f>
        <v>4843.2978802049302</v>
      </c>
      <c r="M35" s="20">
        <f>'增加值 (2001-2022, 当年价) '!M35*M$77</f>
        <v>5279.3535482292027</v>
      </c>
      <c r="N35" s="20">
        <f>'增加值 (2001-2022, 当年价) '!N35*N$77</f>
        <v>5692.229568301681</v>
      </c>
      <c r="O35" s="20">
        <f>'增加值 (2001-2022, 当年价) '!O35*O$77</f>
        <v>6128.5494472918117</v>
      </c>
      <c r="P35" s="20">
        <f>'增加值 (2001-2022, 当年价) '!P35*P$77</f>
        <v>6389.8065097620865</v>
      </c>
      <c r="Q35" s="19">
        <f>'增加值 (2001-2022, 当年价) '!Q35*Q$77</f>
        <v>6909.1742549297605</v>
      </c>
      <c r="R35" s="20">
        <f>'增加值 (2001-2022, 当年价) '!R35*R$77</f>
        <v>7860.7353543383379</v>
      </c>
      <c r="S35" s="20">
        <f>'增加值 (2001-2022, 当年价) '!S35*S$77</f>
        <v>8586.1343391029313</v>
      </c>
      <c r="T35" s="20">
        <f>'增加值 (2001-2022, 当年价) '!T35*T$77</f>
        <v>8824.8451278281718</v>
      </c>
      <c r="U35" s="21">
        <f>'增加值 (2001-2022, 当年价) '!U35*U$77</f>
        <v>9040.5154886877699</v>
      </c>
      <c r="V35" s="20">
        <f>'增加值 (2001-2022, 当年价) '!V35*V$77</f>
        <v>11747.284288306733</v>
      </c>
      <c r="W35" s="20">
        <f>'增加值 (2001-2022, 当年价) '!W35*W$77</f>
        <v>11527.535972617879</v>
      </c>
      <c r="X35" s="90">
        <f>VLOOKUP($A35,平滑数据导入!$A$1:$AN$61,COLUMN(平滑数据导入!C$1),0)</f>
        <v>12312.13228229486</v>
      </c>
      <c r="Y35" s="90">
        <f>VLOOKUP($A35,平滑数据导入!$A$1:$AN$61,COLUMN(平滑数据导入!D$1),0)</f>
        <v>13115.93318867129</v>
      </c>
      <c r="Z35" s="141">
        <f>VLOOKUP(A35,情景假设!$B$48:$S$88,14,0)/情景假设!O$47*Z$13</f>
        <v>13936.845220084406</v>
      </c>
      <c r="AA35" s="89">
        <f>VLOOKUP($A35,平滑数据导入!$A$1:$AN$61,COLUMN(平滑数据导入!F$1),0)</f>
        <v>14772.681639739631</v>
      </c>
      <c r="AB35" s="90">
        <f>VLOOKUP($A35,平滑数据导入!$A$1:$AN$61,COLUMN(平滑数据导入!G$1),0)</f>
        <v>15621.18599036952</v>
      </c>
      <c r="AC35" s="90">
        <f>VLOOKUP($A35,平滑数据导入!$A$1:$AN$61,COLUMN(平滑数据导入!H$1),0)</f>
        <v>16480.05637898263</v>
      </c>
      <c r="AD35" s="90">
        <f>VLOOKUP($A35,平滑数据导入!$A$1:$AN$61,COLUMN(平滑数据导入!I$1),0)</f>
        <v>17346.97012067429</v>
      </c>
      <c r="AE35" s="133">
        <f>VLOOKUP(A35,情景假设!$B$48:$S$88,15,0)/情景假设!P$47*AE$13</f>
        <v>18219.608368507401</v>
      </c>
      <c r="AF35" s="90">
        <f>VLOOKUP($A35,平滑数据导入!$A$1:$AN$61,COLUMN(平滑数据导入!K$1),0)</f>
        <v>19095.58095017296</v>
      </c>
      <c r="AG35" s="90">
        <f>VLOOKUP($A35,平滑数据导入!$A$1:$AN$61,COLUMN(平滑数据导入!L$1),0)</f>
        <v>19972.115130407339</v>
      </c>
      <c r="AH35" s="90">
        <f>VLOOKUP($A35,平滑数据导入!$A$1:$AN$61,COLUMN(平滑数据导入!M$1),0)</f>
        <v>20846.312737625809</v>
      </c>
      <c r="AI35" s="90">
        <f>VLOOKUP($A35,平滑数据导入!$A$1:$AN$61,COLUMN(平滑数据导入!N$1),0)</f>
        <v>21715.26304324418</v>
      </c>
      <c r="AJ35" s="141">
        <f>VLOOKUP(A35,情景假设!$B$48:$S$88,16,0)/情景假设!Q$47*AJ$13</f>
        <v>22576.065330070585</v>
      </c>
      <c r="AK35" s="89">
        <f>VLOOKUP($A35,平滑数据导入!$A$1:$AN$61,COLUMN(平滑数据导入!P$1),0)</f>
        <v>23425.917497464121</v>
      </c>
      <c r="AL35" s="90">
        <f>VLOOKUP($A35,平滑数据导入!$A$1:$AN$61,COLUMN(平滑数据导入!Q$1),0)</f>
        <v>24262.35567860365</v>
      </c>
      <c r="AM35" s="90">
        <f>VLOOKUP($A35,平滑数据导入!$A$1:$AN$61,COLUMN(平滑数据导入!R$1),0)</f>
        <v>25083.10817617326</v>
      </c>
      <c r="AN35" s="90">
        <f>VLOOKUP($A35,平滑数据导入!$A$1:$AN$61,COLUMN(平滑数据导入!S$1),0)</f>
        <v>25886.050779505709</v>
      </c>
      <c r="AO35" s="101">
        <f>VLOOKUP($A35,平滑数据导入!$A$1:$AN$61,COLUMN(平滑数据导入!T$1),0)</f>
        <v>26669.221539692069</v>
      </c>
      <c r="AP35" s="90">
        <f>VLOOKUP($A35,平滑数据导入!$A$1:$AN$61,COLUMN(平滑数据导入!U$1),0)</f>
        <v>27430.833437058849</v>
      </c>
      <c r="AQ35" s="90">
        <f>VLOOKUP($A35,平滑数据导入!$A$1:$AN$61,COLUMN(平滑数据导入!V$1),0)</f>
        <v>28169.284881571621</v>
      </c>
      <c r="AR35" s="90">
        <f>VLOOKUP($A35,平滑数据导入!$A$1:$AN$61,COLUMN(平滑数据导入!W$1),0)</f>
        <v>28883.16802470545</v>
      </c>
      <c r="AS35" s="90">
        <f>VLOOKUP($A35,平滑数据导入!$A$1:$AN$61,COLUMN(平滑数据导入!X$1),0)</f>
        <v>29571.27489733402</v>
      </c>
      <c r="AT35" s="90">
        <f>VLOOKUP($A35,平滑数据导入!$A$1:$AN$61,COLUMN(平滑数据导入!Y$1),0)</f>
        <v>30232.601421628329</v>
      </c>
      <c r="AU35" s="89">
        <f>VLOOKUP($A35,平滑数据导入!$A$1:$AN$61,COLUMN(平滑数据导入!Z$1),0)</f>
        <v>30866.349375337741</v>
      </c>
      <c r="AV35" s="90">
        <f>VLOOKUP($A35,平滑数据导入!$A$1:$AN$61,COLUMN(平滑数据导入!AA$1),0)</f>
        <v>31471.92641375228</v>
      </c>
      <c r="AW35" s="90">
        <f>VLOOKUP($A35,平滑数据导入!$A$1:$AN$61,COLUMN(平滑数据导入!AB$1),0)</f>
        <v>32048.94427787128</v>
      </c>
      <c r="AX35" s="90">
        <f>VLOOKUP($A35,平滑数据导入!$A$1:$AN$61,COLUMN(平滑数据导入!AC$1),0)</f>
        <v>32597.215336661789</v>
      </c>
      <c r="AY35" s="133">
        <f>VLOOKUP(A35,情景假设!$B$48:$S$88,17,0)/情景假设!R$47*AY$13</f>
        <v>33116.747626740878</v>
      </c>
      <c r="AZ35" s="89">
        <f>VLOOKUP($A35,平滑数据导入!$A$1:$AN$61,COLUMN(平滑数据导入!AE$1),0)</f>
        <v>33607.738564399202</v>
      </c>
      <c r="BA35" s="90">
        <f>VLOOKUP($A35,平滑数据导入!$A$1:$AN$61,COLUMN(平滑数据导入!AF$1),0)</f>
        <v>34070.567512737471</v>
      </c>
      <c r="BB35" s="90">
        <f>VLOOKUP($A35,平滑数据导入!$A$1:$AN$61,COLUMN(平滑数据导入!AG$1),0)</f>
        <v>34505.787391013007</v>
      </c>
      <c r="BC35" s="90">
        <f>VLOOKUP($A35,平滑数据导入!$A$1:$AN$61,COLUMN(平滑数据导入!AH$1),0)</f>
        <v>34914.115514358236</v>
      </c>
      <c r="BD35" s="101">
        <f>VLOOKUP($A35,平滑数据导入!$A$1:$AN$61,COLUMN(平滑数据导入!AI$1),0)</f>
        <v>35296.423850150757</v>
      </c>
      <c r="BE35" s="90">
        <f>VLOOKUP($A35,平滑数据导入!$A$1:$AN$61,COLUMN(平滑数据导入!AJ$1),0)</f>
        <v>35653.728872836233</v>
      </c>
      <c r="BF35" s="90">
        <f>VLOOKUP($A35,平滑数据导入!$A$1:$AN$61,COLUMN(平滑数据导入!AK$1),0)</f>
        <v>35987.181192300093</v>
      </c>
      <c r="BG35" s="90">
        <f>VLOOKUP($A35,平滑数据导入!$A$1:$AN$61,COLUMN(平滑数据导入!AL$1),0)</f>
        <v>36298.055122339611</v>
      </c>
      <c r="BH35" s="90">
        <f>VLOOKUP($A35,平滑数据导入!$A$1:$AN$61,COLUMN(平滑数据导入!AM$1),0)</f>
        <v>36587.738345794118</v>
      </c>
      <c r="BI35" s="133">
        <f>VLOOKUP(A35,情景假设!$B$48:$S$88,18,0)/情景假设!S$47*BI$13</f>
        <v>36857.72182182251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(2001-2022, 当年价) '!I36*I$77</f>
        <v>859.11546311248117</v>
      </c>
      <c r="J36" s="20">
        <f>'增加值 (2001-2022, 当年价) '!J36*J$77</f>
        <v>897.45936104525651</v>
      </c>
      <c r="K36" s="21">
        <f>'增加值 (2001-2022, 当年价) '!K36*K$77</f>
        <v>968.27646768736281</v>
      </c>
      <c r="L36" s="19">
        <f>'增加值 (2001-2022, 当年价) '!L36*L$77</f>
        <v>1032.7418508640769</v>
      </c>
      <c r="M36" s="20">
        <f>'增加值 (2001-2022, 当年价) '!M36*M$77</f>
        <v>1111.9581986161706</v>
      </c>
      <c r="N36" s="20">
        <f>'增加值 (2001-2022, 当年价) '!N36*N$77</f>
        <v>1165.1176258004402</v>
      </c>
      <c r="O36" s="20">
        <f>'增加值 (2001-2022, 当年价) '!O36*O$77</f>
        <v>1211.9788518565749</v>
      </c>
      <c r="P36" s="20">
        <f>'增加值 (2001-2022, 当年价) '!P36*P$77</f>
        <v>1278.5924910259603</v>
      </c>
      <c r="Q36" s="19">
        <f>'增加值 (2001-2022, 当年价) '!Q36*Q$77</f>
        <v>1323.8726547695678</v>
      </c>
      <c r="R36" s="20">
        <f>'增加值 (2001-2022, 当年价) '!R36*R$77</f>
        <v>1417.7596020439064</v>
      </c>
      <c r="S36" s="20">
        <f>'增加值 (2001-2022, 当年价) '!S36*S$77</f>
        <v>1518.9474356656292</v>
      </c>
      <c r="T36" s="20">
        <f>'增加值 (2001-2022, 当年价) '!T36*T$77</f>
        <v>1638.7965466907137</v>
      </c>
      <c r="U36" s="21">
        <f>'增加值 (2001-2022, 当年价) '!U36*U$77</f>
        <v>1620.1904872999933</v>
      </c>
      <c r="V36" s="20">
        <f>'增加值 (2001-2022, 当年价) '!V36*V$77</f>
        <v>1808.38361047637</v>
      </c>
      <c r="W36" s="20">
        <f>'增加值 (2001-2022, 当年价) '!W36*W$77</f>
        <v>1857.221055664822</v>
      </c>
      <c r="X36" s="90">
        <f>VLOOKUP($A36,平滑数据导入!$A$1:$AN$61,COLUMN(平滑数据导入!C$1),0)</f>
        <v>1905.242239858628</v>
      </c>
      <c r="Y36" s="90">
        <f>VLOOKUP($A36,平滑数据导入!$A$1:$AN$61,COLUMN(平滑数据导入!D$1),0)</f>
        <v>1955.9873515630741</v>
      </c>
      <c r="Z36" s="141">
        <f>VLOOKUP(A36,情景假设!$B$48:$S$88,14,0)/情景假设!O$47*Z$13</f>
        <v>2008.2377859063772</v>
      </c>
      <c r="AA36" s="89">
        <f>VLOOKUP($A36,平滑数据导入!$A$1:$AN$61,COLUMN(平滑数据导入!F$1),0)</f>
        <v>2060.6369898954081</v>
      </c>
      <c r="AB36" s="90">
        <f>VLOOKUP($A36,平滑数据导入!$A$1:$AN$61,COLUMN(平滑数据导入!G$1),0)</f>
        <v>2111.6849618916699</v>
      </c>
      <c r="AC36" s="90">
        <f>VLOOKUP($A36,平滑数据导入!$A$1:$AN$61,COLUMN(平滑数据导入!H$1),0)</f>
        <v>2159.7428996230601</v>
      </c>
      <c r="AD36" s="90">
        <f>VLOOKUP($A36,平滑数据导入!$A$1:$AN$61,COLUMN(平滑数据导入!I$1),0)</f>
        <v>2203.0496664001262</v>
      </c>
      <c r="AE36" s="133">
        <f>VLOOKUP(A36,情景假设!$B$48:$S$88,15,0)/情景假设!P$47*AE$13</f>
        <v>2239.7515225233237</v>
      </c>
      <c r="AF36" s="90">
        <f>VLOOKUP($A36,平滑数据导入!$A$1:$AN$61,COLUMN(平滑数据导入!K$1),0)</f>
        <v>2268.4047365982451</v>
      </c>
      <c r="AG36" s="90">
        <f>VLOOKUP($A36,平滑数据导入!$A$1:$AN$61,COLUMN(平滑数据导入!L$1),0)</f>
        <v>2289.4413215138561</v>
      </c>
      <c r="AH36" s="90">
        <f>VLOOKUP($A36,平滑数据导入!$A$1:$AN$61,COLUMN(平滑数据导入!M$1),0)</f>
        <v>2303.86851260717</v>
      </c>
      <c r="AI36" s="90">
        <f>VLOOKUP($A36,平滑数据导入!$A$1:$AN$61,COLUMN(平滑数据导入!N$1),0)</f>
        <v>2312.788909365061</v>
      </c>
      <c r="AJ36" s="141">
        <f>VLOOKUP(A36,情景假设!$B$48:$S$88,16,0)/情景假设!Q$47*AJ$13</f>
        <v>2317.3699531363941</v>
      </c>
      <c r="AK36" s="89">
        <f>VLOOKUP($A36,平滑数据导入!$A$1:$AN$61,COLUMN(平滑数据导入!P$1),0)</f>
        <v>2318.6242420184599</v>
      </c>
      <c r="AL36" s="90">
        <f>VLOOKUP($A36,平滑数据导入!$A$1:$AN$61,COLUMN(平滑数据导入!Q$1),0)</f>
        <v>2316.8079970422918</v>
      </c>
      <c r="AM36" s="90">
        <f>VLOOKUP($A36,平滑数据导入!$A$1:$AN$61,COLUMN(平滑数据导入!R$1),0)</f>
        <v>2311.9958684136668</v>
      </c>
      <c r="AN36" s="90">
        <f>VLOOKUP($A36,平滑数据导入!$A$1:$AN$61,COLUMN(平滑数据导入!S$1),0)</f>
        <v>2304.273739345057</v>
      </c>
      <c r="AO36" s="101">
        <f>VLOOKUP($A36,平滑数据导入!$A$1:$AN$61,COLUMN(平滑数据导入!T$1),0)</f>
        <v>2293.737748352492</v>
      </c>
      <c r="AP36" s="90">
        <f>VLOOKUP($A36,平滑数据导入!$A$1:$AN$61,COLUMN(平滑数据导入!U$1),0)</f>
        <v>2280.493275832067</v>
      </c>
      <c r="AQ36" s="90">
        <f>VLOOKUP($A36,平滑数据导入!$A$1:$AN$61,COLUMN(平滑数据导入!V$1),0)</f>
        <v>2264.6539068732141</v>
      </c>
      <c r="AR36" s="90">
        <f>VLOOKUP($A36,平滑数据导入!$A$1:$AN$61,COLUMN(平滑数据导入!W$1),0)</f>
        <v>2246.340381799354</v>
      </c>
      <c r="AS36" s="90">
        <f>VLOOKUP($A36,平滑数据导入!$A$1:$AN$61,COLUMN(平滑数据导入!X$1),0)</f>
        <v>2225.679545335609</v>
      </c>
      <c r="AT36" s="90">
        <f>VLOOKUP($A36,平滑数据导入!$A$1:$AN$61,COLUMN(平滑数据导入!Y$1),0)</f>
        <v>2202.8033046065389</v>
      </c>
      <c r="AU36" s="89">
        <f>VLOOKUP($A36,平滑数据导入!$A$1:$AN$61,COLUMN(平滑数据导入!Z$1),0)</f>
        <v>2177.8476053831359</v>
      </c>
      <c r="AV36" s="90">
        <f>VLOOKUP($A36,平滑数据导入!$A$1:$AN$61,COLUMN(平滑数据导入!AA$1),0)</f>
        <v>2150.9514351469211</v>
      </c>
      <c r="AW36" s="90">
        <f>VLOOKUP($A36,平滑数据导入!$A$1:$AN$61,COLUMN(平滑数据导入!AB$1),0)</f>
        <v>2122.2558606381149</v>
      </c>
      <c r="AX36" s="90">
        <f>VLOOKUP($A36,平滑数据导入!$A$1:$AN$61,COLUMN(平滑数据导入!AC$1),0)</f>
        <v>2091.9031066222828</v>
      </c>
      <c r="AY36" s="133">
        <f>VLOOKUP(A36,情景假设!$B$48:$S$88,17,0)/情景假设!R$47*AY$13</f>
        <v>2060.0356816625153</v>
      </c>
      <c r="AZ36" s="89">
        <f>VLOOKUP($A36,平滑数据导入!$A$1:$AN$61,COLUMN(平滑数据导入!AE$1),0)</f>
        <v>2026.795555737091</v>
      </c>
      <c r="BA36" s="90">
        <f>VLOOKUP($A36,平滑数据导入!$A$1:$AN$61,COLUMN(平滑数据导入!AF$1),0)</f>
        <v>1992.323393610219</v>
      </c>
      <c r="BB36" s="90">
        <f>VLOOKUP($A36,平滑数据导入!$A$1:$AN$61,COLUMN(平滑数据导入!AG$1),0)</f>
        <v>1956.7578469578939</v>
      </c>
      <c r="BC36" s="90">
        <f>VLOOKUP($A36,平滑数据导入!$A$1:$AN$61,COLUMN(平滑数据导入!AH$1),0)</f>
        <v>1920.2349073832081</v>
      </c>
      <c r="BD36" s="101">
        <f>VLOOKUP($A36,平滑数据导入!$A$1:$AN$61,COLUMN(平滑数据导入!AI$1),0)</f>
        <v>1882.88732163483</v>
      </c>
      <c r="BE36" s="90">
        <f>VLOOKUP($A36,平滑数据导入!$A$1:$AN$61,COLUMN(平滑数据导入!AJ$1),0)</f>
        <v>1844.844069576063</v>
      </c>
      <c r="BF36" s="90">
        <f>VLOOKUP($A36,平滑数据导入!$A$1:$AN$61,COLUMN(平滑数据导入!AK$1),0)</f>
        <v>1806.229904746202</v>
      </c>
      <c r="BG36" s="90">
        <f>VLOOKUP($A36,平滑数据导入!$A$1:$AN$61,COLUMN(平滑数据导入!AL$1),0)</f>
        <v>1767.164956714731</v>
      </c>
      <c r="BH36" s="90">
        <f>VLOOKUP($A36,平滑数据导入!$A$1:$AN$61,COLUMN(平滑数据导入!AM$1),0)</f>
        <v>1727.7643938554311</v>
      </c>
      <c r="BI36" s="133">
        <f>VLOOKUP(A36,情景假设!$B$48:$S$88,18,0)/情景假设!S$47*BI$13</f>
        <v>1688.1381446628977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(2001-2022, 当年价) '!I37*I$77</f>
        <v>3912.843412564428</v>
      </c>
      <c r="J37" s="20">
        <f>'增加值 (2001-2022, 当年价) '!J37*J$77</f>
        <v>4156.1000193668242</v>
      </c>
      <c r="K37" s="21">
        <f>'增加值 (2001-2022, 当年价) '!K37*K$77</f>
        <v>4742.3585227380972</v>
      </c>
      <c r="L37" s="19">
        <f>'增加值 (2001-2022, 当年价) '!L37*L$77</f>
        <v>5142.3942297148078</v>
      </c>
      <c r="M37" s="20">
        <f>'增加值 (2001-2022, 当年价) '!M37*M$77</f>
        <v>5389.9751928362684</v>
      </c>
      <c r="N37" s="20">
        <f>'增加值 (2001-2022, 当年价) '!N37*N$77</f>
        <v>5668.1350044047631</v>
      </c>
      <c r="O37" s="20">
        <f>'增加值 (2001-2022, 当年价) '!O37*O$77</f>
        <v>5901.5425448805636</v>
      </c>
      <c r="P37" s="20">
        <f>'增加值 (2001-2022, 当年价) '!P37*P$77</f>
        <v>6041.1456642093499</v>
      </c>
      <c r="Q37" s="19">
        <f>'增加值 (2001-2022, 当年价) '!Q37*Q$77</f>
        <v>6343.5191773229117</v>
      </c>
      <c r="R37" s="20">
        <f>'增加值 (2001-2022, 当年价) '!R37*R$77</f>
        <v>6825.4963629283529</v>
      </c>
      <c r="S37" s="20">
        <f>'增加值 (2001-2022, 当年价) '!S37*S$77</f>
        <v>7013.6132378289603</v>
      </c>
      <c r="T37" s="20">
        <f>'增加值 (2001-2022, 当年价) '!T37*T$77</f>
        <v>7086.8836785019421</v>
      </c>
      <c r="U37" s="21">
        <f>'增加值 (2001-2022, 当年价) '!U37*U$77</f>
        <v>6979.0004205387331</v>
      </c>
      <c r="V37" s="20">
        <f>'增加值 (2001-2022, 当年价) '!V37*V$77</f>
        <v>7724.2476257787857</v>
      </c>
      <c r="W37" s="20">
        <f>'增加值 (2001-2022, 当年价) '!W37*W$77</f>
        <v>7705.3000762763377</v>
      </c>
      <c r="X37" s="90">
        <f>VLOOKUP($A37,平滑数据导入!$A$1:$AN$61,COLUMN(平滑数据导入!C$1),0)</f>
        <v>7774.7022558818962</v>
      </c>
      <c r="Y37" s="90">
        <f>VLOOKUP($A37,平滑数据导入!$A$1:$AN$61,COLUMN(平滑数据导入!D$1),0)</f>
        <v>7845.7192955027294</v>
      </c>
      <c r="Z37" s="141">
        <f>VLOOKUP(A37,情景假设!$B$48:$S$88,14,0)/情景假设!O$47*Z$13</f>
        <v>7915.2702069792804</v>
      </c>
      <c r="AA37" s="89">
        <f>VLOOKUP($A37,平滑数据导入!$A$1:$AN$61,COLUMN(平滑数据导入!F$1),0)</f>
        <v>7980.1654034098019</v>
      </c>
      <c r="AB37" s="90">
        <f>VLOOKUP($A37,平滑数据导入!$A$1:$AN$61,COLUMN(平滑数据导入!G$1),0)</f>
        <v>8037.11899609383</v>
      </c>
      <c r="AC37" s="90">
        <f>VLOOKUP($A37,平滑数据导入!$A$1:$AN$61,COLUMN(平滑数据导入!H$1),0)</f>
        <v>8082.7742766350902</v>
      </c>
      <c r="AD37" s="90">
        <f>VLOOKUP($A37,平滑数据导入!$A$1:$AN$61,COLUMN(平滑数据导入!I$1),0)</f>
        <v>8113.7428356129558</v>
      </c>
      <c r="AE37" s="133">
        <f>VLOOKUP(A37,情景假设!$B$48:$S$88,15,0)/情景假设!P$47*AE$13</f>
        <v>8126.6574039699954</v>
      </c>
      <c r="AF37" s="90">
        <f>VLOOKUP($A37,平滑数据导入!$A$1:$AN$61,COLUMN(平滑数据导入!K$1),0)</f>
        <v>8119.3281246126371</v>
      </c>
      <c r="AG37" s="90">
        <f>VLOOKUP($A37,平滑数据导入!$A$1:$AN$61,COLUMN(平滑数据导入!L$1),0)</f>
        <v>8094.0600732664407</v>
      </c>
      <c r="AH37" s="90">
        <f>VLOOKUP($A37,平滑数据导入!$A$1:$AN$61,COLUMN(平滑数据导入!M$1),0)</f>
        <v>8054.3411104773559</v>
      </c>
      <c r="AI37" s="90">
        <f>VLOOKUP($A37,平滑数据导入!$A$1:$AN$61,COLUMN(平滑数据导入!N$1),0)</f>
        <v>8003.6843698294842</v>
      </c>
      <c r="AJ37" s="141">
        <f>VLOOKUP(A37,情景假设!$B$48:$S$88,16,0)/情景假设!Q$47*AJ$13</f>
        <v>7945.5744986237414</v>
      </c>
      <c r="AK37" s="89">
        <f>VLOOKUP($A37,平滑数据导入!$A$1:$AN$61,COLUMN(平滑数据导入!P$1),0)</f>
        <v>7882.8671325472214</v>
      </c>
      <c r="AL37" s="90">
        <f>VLOOKUP($A37,平滑数据导入!$A$1:$AN$61,COLUMN(平滑数据导入!Q$1),0)</f>
        <v>7816.1168626251238</v>
      </c>
      <c r="AM37" s="90">
        <f>VLOOKUP($A37,平滑数据导入!$A$1:$AN$61,COLUMN(平滑数据导入!R$1),0)</f>
        <v>7745.3181440158151</v>
      </c>
      <c r="AN37" s="90">
        <f>VLOOKUP($A37,平滑数据导入!$A$1:$AN$61,COLUMN(平滑数据导入!S$1),0)</f>
        <v>7670.4757786075543</v>
      </c>
      <c r="AO37" s="101">
        <f>VLOOKUP($A37,平滑数据导入!$A$1:$AN$61,COLUMN(平滑数据导入!T$1),0)</f>
        <v>7591.605174113558</v>
      </c>
      <c r="AP37" s="90">
        <f>VLOOKUP($A37,平滑数据导入!$A$1:$AN$61,COLUMN(平滑数据导入!U$1),0)</f>
        <v>7508.7325670045302</v>
      </c>
      <c r="AQ37" s="90">
        <f>VLOOKUP($A37,平滑数据导入!$A$1:$AN$61,COLUMN(平滑数据导入!V$1),0)</f>
        <v>7421.8952063946581</v>
      </c>
      <c r="AR37" s="90">
        <f>VLOOKUP($A37,平滑数据导入!$A$1:$AN$61,COLUMN(平滑数据导入!W$1),0)</f>
        <v>7331.1414961318824</v>
      </c>
      <c r="AS37" s="90">
        <f>VLOOKUP($A37,平滑数据导入!$A$1:$AN$61,COLUMN(平滑数据导入!X$1),0)</f>
        <v>7236.5310925077374</v>
      </c>
      <c r="AT37" s="90">
        <f>VLOOKUP($A37,平滑数据导入!$A$1:$AN$61,COLUMN(平滑数据导入!Y$1),0)</f>
        <v>7138.1349551952007</v>
      </c>
      <c r="AU37" s="89">
        <f>VLOOKUP($A37,平滑数据导入!$A$1:$AN$61,COLUMN(平滑数据导入!Z$1),0)</f>
        <v>7036.0353492477052</v>
      </c>
      <c r="AV37" s="90">
        <f>VLOOKUP($A37,平滑数据导入!$A$1:$AN$61,COLUMN(平滑数据导入!AA$1),0)</f>
        <v>6930.3257962436928</v>
      </c>
      <c r="AW37" s="90">
        <f>VLOOKUP($A37,平滑数据导入!$A$1:$AN$61,COLUMN(平滑数据导入!AB$1),0)</f>
        <v>6821.1109729422869</v>
      </c>
      <c r="AX37" s="90">
        <f>VLOOKUP($A37,平滑数据导入!$A$1:$AN$61,COLUMN(平滑数据导入!AC$1),0)</f>
        <v>6708.5065561232941</v>
      </c>
      <c r="AY37" s="133">
        <f>VLOOKUP(A37,情景假设!$B$48:$S$88,17,0)/情景假设!R$47*AY$13</f>
        <v>6592.6390126175629</v>
      </c>
      <c r="AZ37" s="89">
        <f>VLOOKUP($A37,平滑数据导入!$A$1:$AN$61,COLUMN(平滑数据导入!AE$1),0)</f>
        <v>6473.6453338907086</v>
      </c>
      <c r="BA37" s="90">
        <f>VLOOKUP($A37,平滑数据导入!$A$1:$AN$61,COLUMN(平滑数据导入!AF$1),0)</f>
        <v>6351.672714920961</v>
      </c>
      <c r="BB37" s="90">
        <f>VLOOKUP($A37,平滑数据导入!$A$1:$AN$61,COLUMN(平滑数据导入!AG$1),0)</f>
        <v>6226.8781775082716</v>
      </c>
      <c r="BC37" s="90">
        <f>VLOOKUP($A37,平滑数据导入!$A$1:$AN$61,COLUMN(平滑数据导入!AH$1),0)</f>
        <v>6099.4281385642198</v>
      </c>
      <c r="BD37" s="101">
        <f>VLOOKUP($A37,平滑数据导入!$A$1:$AN$61,COLUMN(平滑数据导入!AI$1),0)</f>
        <v>5969.4979243559874</v>
      </c>
      <c r="BE37" s="90">
        <f>VLOOKUP($A37,平滑数据导入!$A$1:$AN$61,COLUMN(平滑数据导入!AJ$1),0)</f>
        <v>5837.2712321106483</v>
      </c>
      <c r="BF37" s="90">
        <f>VLOOKUP($A37,平滑数据导入!$A$1:$AN$61,COLUMN(平滑数据导入!AK$1),0)</f>
        <v>5702.9395408235487</v>
      </c>
      <c r="BG37" s="90">
        <f>VLOOKUP($A37,平滑数据导入!$A$1:$AN$61,COLUMN(平滑数据导入!AL$1),0)</f>
        <v>5566.7014735513631</v>
      </c>
      <c r="BH37" s="90">
        <f>VLOOKUP($A37,平滑数据导入!$A$1:$AN$61,COLUMN(平滑数据导入!AM$1),0)</f>
        <v>5428.7621139045896</v>
      </c>
      <c r="BI37" s="133">
        <f>VLOOKUP(A37,情景假设!$B$48:$S$88,18,0)/情景假设!S$47*BI$13</f>
        <v>5289.3322798785048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(2001-2022, 当年价) '!I38*I$77</f>
        <v>7040.9466027408052</v>
      </c>
      <c r="J38" s="20">
        <f>'增加值 (2001-2022, 当年价) '!J38*J$77</f>
        <v>7655.5452891847908</v>
      </c>
      <c r="K38" s="21">
        <f>'增加值 (2001-2022, 当年价) '!K38*K$77</f>
        <v>8943.5982804812429</v>
      </c>
      <c r="L38" s="19">
        <f>'增加值 (2001-2022, 当年价) '!L38*L$77</f>
        <v>10174.976314224867</v>
      </c>
      <c r="M38" s="20">
        <f>'增加值 (2001-2022, 当年价) '!M38*M$77</f>
        <v>10771.402974474928</v>
      </c>
      <c r="N38" s="20">
        <f>'增加值 (2001-2022, 当年价) '!N38*N$77</f>
        <v>11409.140798552264</v>
      </c>
      <c r="O38" s="20">
        <f>'增加值 (2001-2022, 当年价) '!O38*O$77</f>
        <v>11955.524478496358</v>
      </c>
      <c r="P38" s="20">
        <f>'增加值 (2001-2022, 当年价) '!P38*P$77</f>
        <v>12079.54459046289</v>
      </c>
      <c r="Q38" s="19">
        <f>'增加值 (2001-2022, 当年价) '!Q38*Q$77</f>
        <v>12554.483415290128</v>
      </c>
      <c r="R38" s="20">
        <f>'增加值 (2001-2022, 当年价) '!R38*R$77</f>
        <v>13177.964146395359</v>
      </c>
      <c r="S38" s="20">
        <f>'增加值 (2001-2022, 当年价) '!S38*S$77</f>
        <v>13724.858717022513</v>
      </c>
      <c r="T38" s="20">
        <f>'增加值 (2001-2022, 当年价) '!T38*T$77</f>
        <v>14410.796017860417</v>
      </c>
      <c r="U38" s="21">
        <f>'增加值 (2001-2022, 当年价) '!U38*U$77</f>
        <v>14330.826150726112</v>
      </c>
      <c r="V38" s="20">
        <f>'增加值 (2001-2022, 当年价) '!V38*V$77</f>
        <v>16114.79117583528</v>
      </c>
      <c r="W38" s="20">
        <f>'增加值 (2001-2022, 当年价) '!W38*W$77</f>
        <v>16124.371416167727</v>
      </c>
      <c r="X38" s="90">
        <f>VLOOKUP($A38,平滑数据导入!$A$1:$AN$61,COLUMN(平滑数据导入!C$1),0)</f>
        <v>16360.941639490149</v>
      </c>
      <c r="Y38" s="90">
        <f>VLOOKUP($A38,平滑数据导入!$A$1:$AN$61,COLUMN(平滑数据导入!D$1),0)</f>
        <v>16620.93017308964</v>
      </c>
      <c r="Z38" s="141">
        <f>VLOOKUP(A38,情景假设!$B$48:$S$88,14,0)/情景假设!O$47*Z$13</f>
        <v>16893.907398668689</v>
      </c>
      <c r="AA38" s="89">
        <f>VLOOKUP($A38,平滑数据导入!$A$1:$AN$61,COLUMN(平滑数据导入!F$1),0)</f>
        <v>17168.757882385591</v>
      </c>
      <c r="AB38" s="90">
        <f>VLOOKUP($A38,平滑数据导入!$A$1:$AN$61,COLUMN(平滑数据导入!G$1),0)</f>
        <v>17433.631141008958</v>
      </c>
      <c r="AC38" s="90">
        <f>VLOOKUP($A38,平滑数据导入!$A$1:$AN$61,COLUMN(平滑数据导入!H$1),0)</f>
        <v>17675.97047222051</v>
      </c>
      <c r="AD38" s="90">
        <f>VLOOKUP($A38,平滑数据导入!$A$1:$AN$61,COLUMN(平滑数据导入!I$1),0)</f>
        <v>17882.628191013158</v>
      </c>
      <c r="AE38" s="133">
        <f>VLOOKUP(A38,情景假设!$B$48:$S$88,15,0)/情景假设!P$47*AE$13</f>
        <v>18040.074188310075</v>
      </c>
      <c r="AF38" s="90">
        <f>VLOOKUP($A38,平滑数据导入!$A$1:$AN$61,COLUMN(平滑数据导入!K$1),0)</f>
        <v>18138.24414201641</v>
      </c>
      <c r="AG38" s="90">
        <f>VLOOKUP($A38,平滑数据导入!$A$1:$AN$61,COLUMN(平滑数据导入!L$1),0)</f>
        <v>18181.616961637581</v>
      </c>
      <c r="AH38" s="90">
        <f>VLOOKUP($A38,平滑数据导入!$A$1:$AN$61,COLUMN(平滑数据导入!M$1),0)</f>
        <v>18178.80446710781</v>
      </c>
      <c r="AI38" s="90">
        <f>VLOOKUP($A38,平滑数据导入!$A$1:$AN$61,COLUMN(平滑数据导入!N$1),0)</f>
        <v>18138.81463197734</v>
      </c>
      <c r="AJ38" s="141">
        <f>VLOOKUP(A38,情景假设!$B$48:$S$88,16,0)/情景假设!Q$47*AJ$13</f>
        <v>18070.845521903088</v>
      </c>
      <c r="AK38" s="89">
        <f>VLOOKUP($A38,平滑数据导入!$A$1:$AN$61,COLUMN(平滑数据导入!P$1),0)</f>
        <v>17982.684977220841</v>
      </c>
      <c r="AL38" s="90">
        <f>VLOOKUP($A38,平滑数据导入!$A$1:$AN$61,COLUMN(平滑数据导入!Q$1),0)</f>
        <v>17876.3460633336</v>
      </c>
      <c r="AM38" s="90">
        <f>VLOOKUP($A38,平滑数据导入!$A$1:$AN$61,COLUMN(平滑数据导入!R$1),0)</f>
        <v>17752.440913176692</v>
      </c>
      <c r="AN38" s="90">
        <f>VLOOKUP($A38,平滑数据导入!$A$1:$AN$61,COLUMN(平滑数据导入!S$1),0)</f>
        <v>17611.626011180371</v>
      </c>
      <c r="AO38" s="101">
        <f>VLOOKUP($A38,平滑数据导入!$A$1:$AN$61,COLUMN(平滑数据导入!T$1),0)</f>
        <v>17454.597581109501</v>
      </c>
      <c r="AP38" s="90">
        <f>VLOOKUP($A38,平滑数据导入!$A$1:$AN$61,COLUMN(平滑数据导入!U$1),0)</f>
        <v>17282.086916295269</v>
      </c>
      <c r="AQ38" s="90">
        <f>VLOOKUP($A38,平滑数据导入!$A$1:$AN$61,COLUMN(平滑数据导入!V$1),0)</f>
        <v>17094.855689534761</v>
      </c>
      <c r="AR38" s="90">
        <f>VLOOKUP($A38,平滑数据导入!$A$1:$AN$61,COLUMN(平滑数据导入!W$1),0)</f>
        <v>16893.691278200091</v>
      </c>
      <c r="AS38" s="90">
        <f>VLOOKUP($A38,平滑数据导入!$A$1:$AN$61,COLUMN(平滑数据导入!X$1),0)</f>
        <v>16679.402138099202</v>
      </c>
      <c r="AT38" s="90">
        <f>VLOOKUP($A38,平滑数据导入!$A$1:$AN$61,COLUMN(平滑数据导入!Y$1),0)</f>
        <v>16452.813257407641</v>
      </c>
      <c r="AU38" s="89">
        <f>VLOOKUP($A38,平滑数据导入!$A$1:$AN$61,COLUMN(平滑数据导入!Z$1),0)</f>
        <v>16214.761719581589</v>
      </c>
      <c r="AV38" s="90">
        <f>VLOOKUP($A38,平滑数据导入!$A$1:$AN$61,COLUMN(平滑数据导入!AA$1),0)</f>
        <v>15966.092401610549</v>
      </c>
      <c r="AW38" s="90">
        <f>VLOOKUP($A38,平滑数据导入!$A$1:$AN$61,COLUMN(平滑数据导入!AB$1),0)</f>
        <v>15707.653831308309</v>
      </c>
      <c r="AX38" s="90">
        <f>VLOOKUP($A38,平滑数据导入!$A$1:$AN$61,COLUMN(平滑数据导入!AC$1),0)</f>
        <v>15440.29422461335</v>
      </c>
      <c r="AY38" s="133">
        <f>VLOOKUP(A38,情景假设!$B$48:$S$88,17,0)/情景假设!R$47*AY$13</f>
        <v>15164.857721108638</v>
      </c>
      <c r="AZ38" s="89">
        <f>VLOOKUP($A38,平滑数据导入!$A$1:$AN$61,COLUMN(平滑数据导入!AE$1),0)</f>
        <v>14882.18083321003</v>
      </c>
      <c r="BA38" s="90">
        <f>VLOOKUP($A38,平滑数据导入!$A$1:$AN$61,COLUMN(平滑数据导入!AF$1),0)</f>
        <v>14593.089121741859</v>
      </c>
      <c r="BB38" s="90">
        <f>VLOOKUP($A38,平滑数据导入!$A$1:$AN$61,COLUMN(平滑数据导入!AG$1),0)</f>
        <v>14298.394107948279</v>
      </c>
      <c r="BC38" s="90">
        <f>VLOOKUP($A38,平滑数据导入!$A$1:$AN$61,COLUMN(平滑数据导入!AH$1),0)</f>
        <v>13998.890429401919</v>
      </c>
      <c r="BD38" s="101">
        <f>VLOOKUP($A38,平滑数据导入!$A$1:$AN$61,COLUMN(平滑数据导入!AI$1),0)</f>
        <v>13695.35324479169</v>
      </c>
      <c r="BE38" s="90">
        <f>VLOOKUP($A38,平滑数据导入!$A$1:$AN$61,COLUMN(平滑数据导入!AJ$1),0)</f>
        <v>13388.535890217951</v>
      </c>
      <c r="BF38" s="90">
        <f>VLOOKUP($A38,平滑数据导入!$A$1:$AN$61,COLUMN(平滑数据导入!AK$1),0)</f>
        <v>13079.167787411639</v>
      </c>
      <c r="BG38" s="90">
        <f>VLOOKUP($A38,平滑数据导入!$A$1:$AN$61,COLUMN(平滑数据导入!AL$1),0)</f>
        <v>12767.952602236661</v>
      </c>
      <c r="BH38" s="90">
        <f>VLOOKUP($A38,平滑数据导入!$A$1:$AN$61,COLUMN(平滑数据导入!AM$1),0)</f>
        <v>12455.566649943559</v>
      </c>
      <c r="BI38" s="133">
        <f>VLOOKUP(A38,情景假设!$B$48:$S$88,18,0)/情景假设!S$47*BI$13</f>
        <v>12142.657541923541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(2001-2022, 当年价) '!I39*I$77</f>
        <v>13264.987048692667</v>
      </c>
      <c r="J39" s="20">
        <f>'增加值 (2001-2022, 当年价) '!J39*J$77</f>
        <v>13819.304430255745</v>
      </c>
      <c r="K39" s="21">
        <f>'增加值 (2001-2022, 当年价) '!K39*K$77</f>
        <v>14976.864655730458</v>
      </c>
      <c r="L39" s="19">
        <f>'增加值 (2001-2022, 当年价) '!L39*L$77</f>
        <v>15786.903470652162</v>
      </c>
      <c r="M39" s="20">
        <f>'增加值 (2001-2022, 当年价) '!M39*M$77</f>
        <v>16456.790947555692</v>
      </c>
      <c r="N39" s="20">
        <f>'增加值 (2001-2022, 当年价) '!N39*N$77</f>
        <v>17181.008126219454</v>
      </c>
      <c r="O39" s="20">
        <f>'增加值 (2001-2022, 当年价) '!O39*O$77</f>
        <v>17493.177034157219</v>
      </c>
      <c r="P39" s="20">
        <f>'增加值 (2001-2022, 当年价) '!P39*P$77</f>
        <v>17492.086758347235</v>
      </c>
      <c r="Q39" s="19">
        <f>'增加值 (2001-2022, 当年价) '!Q39*Q$77</f>
        <v>16780.071954247866</v>
      </c>
      <c r="R39" s="20">
        <f>'增加值 (2001-2022, 当年价) '!R39*R$77</f>
        <v>17035.915204217312</v>
      </c>
      <c r="S39" s="20">
        <f>'增加值 (2001-2022, 当年价) '!S39*S$77</f>
        <v>18150.020662910723</v>
      </c>
      <c r="T39" s="20">
        <f>'增加值 (2001-2022, 当年价) '!T39*T$77</f>
        <v>19232.114006129876</v>
      </c>
      <c r="U39" s="21">
        <f>'增加值 (2001-2022, 当年价) '!U39*U$77</f>
        <v>19850.963290163178</v>
      </c>
      <c r="V39" s="20">
        <f>'增加值 (2001-2022, 当年价) '!V39*V$77</f>
        <v>20916.634028655993</v>
      </c>
      <c r="W39" s="20">
        <f>'增加值 (2001-2022, 当年价) '!W39*W$77</f>
        <v>21502.759178911721</v>
      </c>
      <c r="X39" s="90">
        <f>VLOOKUP($A39,平滑数据导入!$A$1:$AN$61,COLUMN(平滑数据导入!C$1),0)</f>
        <v>21812.147137662982</v>
      </c>
      <c r="Y39" s="90">
        <f>VLOOKUP($A39,平滑数据导入!$A$1:$AN$61,COLUMN(平滑数据导入!D$1),0)</f>
        <v>22152.82412593564</v>
      </c>
      <c r="Z39" s="141">
        <f>VLOOKUP(A39,情景假设!$B$48:$S$88,14,0)/情景假设!O$47*Z$13</f>
        <v>22510.882203076446</v>
      </c>
      <c r="AA39" s="89">
        <f>VLOOKUP($A39,平滑数据导入!$A$1:$AN$61,COLUMN(平滑数据导入!F$1),0)</f>
        <v>22871.515755041572</v>
      </c>
      <c r="AB39" s="90">
        <f>VLOOKUP($A39,平滑数据导入!$A$1:$AN$61,COLUMN(平滑数据导入!G$1),0)</f>
        <v>23218.95538839736</v>
      </c>
      <c r="AC39" s="90">
        <f>VLOOKUP($A39,平滑数据导入!$A$1:$AN$61,COLUMN(平滑数据导入!H$1),0)</f>
        <v>23536.50566306544</v>
      </c>
      <c r="AD39" s="90">
        <f>VLOOKUP($A39,平滑数据导入!$A$1:$AN$61,COLUMN(平滑数据导入!I$1),0)</f>
        <v>23806.697596556369</v>
      </c>
      <c r="AE39" s="133">
        <f>VLOOKUP(A39,情景假设!$B$48:$S$88,15,0)/情景假设!P$47*AE$13</f>
        <v>24011.564991957363</v>
      </c>
      <c r="AF39" s="90">
        <f>VLOOKUP($A39,平滑数据导入!$A$1:$AN$61,COLUMN(平滑数据导入!K$1),0)</f>
        <v>24137.75957123292</v>
      </c>
      <c r="AG39" s="90">
        <f>VLOOKUP($A39,平滑数据导入!$A$1:$AN$61,COLUMN(平滑数据导入!L$1),0)</f>
        <v>24191.27089177477</v>
      </c>
      <c r="AH39" s="90">
        <f>VLOOKUP($A39,平滑数据导入!$A$1:$AN$61,COLUMN(平滑数据导入!M$1),0)</f>
        <v>24183.572850596989</v>
      </c>
      <c r="AI39" s="90">
        <f>VLOOKUP($A39,平滑数据导入!$A$1:$AN$61,COLUMN(平滑数据导入!N$1),0)</f>
        <v>24126.65461112971</v>
      </c>
      <c r="AJ39" s="141">
        <f>VLOOKUP(A39,情景假设!$B$48:$S$88,16,0)/情景假设!Q$47*AJ$13</f>
        <v>24032.74782832963</v>
      </c>
      <c r="AK39" s="89">
        <f>VLOOKUP($A39,平滑数据导入!$A$1:$AN$61,COLUMN(平滑数据导入!P$1),0)</f>
        <v>23912.202314542948</v>
      </c>
      <c r="AL39" s="90">
        <f>VLOOKUP($A39,平滑数据导入!$A$1:$AN$61,COLUMN(平滑数据导入!Q$1),0)</f>
        <v>23767.69257492193</v>
      </c>
      <c r="AM39" s="90">
        <f>VLOOKUP($A39,平滑数据导入!$A$1:$AN$61,COLUMN(平滑数据导入!R$1),0)</f>
        <v>23600.03078978345</v>
      </c>
      <c r="AN39" s="90">
        <f>VLOOKUP($A39,平滑数据导入!$A$1:$AN$61,COLUMN(平滑数据导入!S$1),0)</f>
        <v>23410.08692331125</v>
      </c>
      <c r="AO39" s="101">
        <f>VLOOKUP($A39,平滑数据导入!$A$1:$AN$61,COLUMN(平滑数据导入!T$1),0)</f>
        <v>23198.782692588069</v>
      </c>
      <c r="AP39" s="90">
        <f>VLOOKUP($A39,平滑数据导入!$A$1:$AN$61,COLUMN(平滑数据导入!U$1),0)</f>
        <v>22967.085463608521</v>
      </c>
      <c r="AQ39" s="90">
        <f>VLOOKUP($A39,平滑数据导入!$A$1:$AN$61,COLUMN(平滑数据导入!V$1),0)</f>
        <v>22716.00212246463</v>
      </c>
      <c r="AR39" s="90">
        <f>VLOOKUP($A39,平滑数据导入!$A$1:$AN$61,COLUMN(平滑数据导入!W$1),0)</f>
        <v>22446.572967654251</v>
      </c>
      <c r="AS39" s="90">
        <f>VLOOKUP($A39,平滑数据导入!$A$1:$AN$61,COLUMN(平滑数据导入!X$1),0)</f>
        <v>22159.86566688749</v>
      </c>
      <c r="AT39" s="90">
        <f>VLOOKUP($A39,平滑数据导入!$A$1:$AN$61,COLUMN(平滑数据导入!Y$1),0)</f>
        <v>21856.96931890009</v>
      </c>
      <c r="AU39" s="89">
        <f>VLOOKUP($A39,平滑数据导入!$A$1:$AN$61,COLUMN(平滑数据导入!Z$1),0)</f>
        <v>21538.988657681512</v>
      </c>
      <c r="AV39" s="90">
        <f>VLOOKUP($A39,平滑数据导入!$A$1:$AN$61,COLUMN(平滑数据导入!AA$1),0)</f>
        <v>21207.038433237489</v>
      </c>
      <c r="AW39" s="90">
        <f>VLOOKUP($A39,平滑数据导入!$A$1:$AN$61,COLUMN(平滑数据导入!AB$1),0)</f>
        <v>20862.237999580851</v>
      </c>
      <c r="AX39" s="90">
        <f>VLOOKUP($A39,平滑数据导入!$A$1:$AN$61,COLUMN(平滑数据导入!AC$1),0)</f>
        <v>20505.706137130939</v>
      </c>
      <c r="AY39" s="133">
        <f>VLOOKUP(A39,情景假设!$B$48:$S$88,17,0)/情景假设!R$47*AY$13</f>
        <v>20138.556133144215</v>
      </c>
      <c r="AZ39" s="89">
        <f>VLOOKUP($A39,平滑数据导入!$A$1:$AN$61,COLUMN(平滑数据导入!AE$1),0)</f>
        <v>19761.891140237611</v>
      </c>
      <c r="BA39" s="90">
        <f>VLOOKUP($A39,平滑数据导入!$A$1:$AN$61,COLUMN(平滑数据导入!AF$1),0)</f>
        <v>19376.799829547621</v>
      </c>
      <c r="BB39" s="90">
        <f>VLOOKUP($A39,平滑数据导入!$A$1:$AN$61,COLUMN(平滑数据导入!AG$1),0)</f>
        <v>18984.352351620139</v>
      </c>
      <c r="BC39" s="90">
        <f>VLOOKUP($A39,平滑数据导入!$A$1:$AN$61,COLUMN(平滑数据导入!AH$1),0)</f>
        <v>18585.596614787271</v>
      </c>
      <c r="BD39" s="101">
        <f>VLOOKUP($A39,平滑数据导入!$A$1:$AN$61,COLUMN(平滑数据导入!AI$1),0)</f>
        <v>18181.554887583261</v>
      </c>
      <c r="BE39" s="90">
        <f>VLOOKUP($A39,平滑数据导入!$A$1:$AN$61,COLUMN(平滑数据导入!AJ$1),0)</f>
        <v>17773.220728708449</v>
      </c>
      <c r="BF39" s="90">
        <f>VLOOKUP($A39,平滑数据导入!$A$1:$AN$61,COLUMN(平滑数据导入!AK$1),0)</f>
        <v>17361.556245188211</v>
      </c>
      <c r="BG39" s="90">
        <f>VLOOKUP($A39,平滑数据导入!$A$1:$AN$61,COLUMN(平滑数据导入!AL$1),0)</f>
        <v>16947.489676707901</v>
      </c>
      <c r="BH39" s="90">
        <f>VLOOKUP($A39,平滑数据导入!$A$1:$AN$61,COLUMN(平滑数据导入!AM$1),0)</f>
        <v>16531.913301654931</v>
      </c>
      <c r="BI39" s="133">
        <f>VLOOKUP(A39,情景假设!$B$48:$S$88,18,0)/情景假设!S$47*BI$13</f>
        <v>16115.681658163769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(2001-2022, 当年价) '!I40*I$77</f>
        <v>5588.8650324658547</v>
      </c>
      <c r="J40" s="20">
        <f>'增加值 (2001-2022, 当年价) '!J40*J$77</f>
        <v>5976.0522078381691</v>
      </c>
      <c r="K40" s="21">
        <f>'增加值 (2001-2022, 当年价) '!K40*K$77</f>
        <v>6569.4851629081804</v>
      </c>
      <c r="L40" s="19">
        <f>'增加值 (2001-2022, 当年价) '!L40*L$77</f>
        <v>7170.989527532277</v>
      </c>
      <c r="M40" s="20">
        <f>'增加值 (2001-2022, 当年价) '!M40*M$77</f>
        <v>7727.8662112813054</v>
      </c>
      <c r="N40" s="20">
        <f>'增加值 (2001-2022, 当年价) '!N40*N$77</f>
        <v>8412.9829917239895</v>
      </c>
      <c r="O40" s="20">
        <f>'增加值 (2001-2022, 当年价) '!O40*O$77</f>
        <v>9065.9193956357976</v>
      </c>
      <c r="P40" s="20">
        <f>'增加值 (2001-2022, 当年价) '!P40*P$77</f>
        <v>9572.8077773458172</v>
      </c>
      <c r="Q40" s="19">
        <f>'增加值 (2001-2022, 当年价) '!Q40*Q$77</f>
        <v>9921.1618205924387</v>
      </c>
      <c r="R40" s="20">
        <f>'增加值 (2001-2022, 当年价) '!R40*R$77</f>
        <v>10192.935909207006</v>
      </c>
      <c r="S40" s="20">
        <f>'增加值 (2001-2022, 当年价) '!S40*S$77</f>
        <v>10940.720685518332</v>
      </c>
      <c r="T40" s="20">
        <f>'增加值 (2001-2022, 当年价) '!T40*T$77</f>
        <v>11519.159125520338</v>
      </c>
      <c r="U40" s="21">
        <f>'增加值 (2001-2022, 当年价) '!U40*U$77</f>
        <v>11421.806149839256</v>
      </c>
      <c r="V40" s="20">
        <f>'增加值 (2001-2022, 当年价) '!V40*V$77</f>
        <v>12356.060657958777</v>
      </c>
      <c r="W40" s="20">
        <f>'增加值 (2001-2022, 当年价) '!W40*W$77</f>
        <v>13204.368998026079</v>
      </c>
      <c r="X40" s="90">
        <f>VLOOKUP($A40,平滑数据导入!$A$1:$AN$61,COLUMN(平滑数据导入!C$1),0)</f>
        <v>13456.975655392651</v>
      </c>
      <c r="Y40" s="90">
        <f>VLOOKUP($A40,平滑数据导入!$A$1:$AN$61,COLUMN(平滑数据导入!D$1),0)</f>
        <v>13728.454242096061</v>
      </c>
      <c r="Z40" s="141">
        <f>VLOOKUP(A40,情景假设!$B$48:$S$88,14,0)/情景假设!O$47*Z$13</f>
        <v>14010.238829113156</v>
      </c>
      <c r="AA40" s="89">
        <f>VLOOKUP($A40,平滑数据导入!$A$1:$AN$61,COLUMN(平滑数据导入!F$1),0)</f>
        <v>14293.037272400241</v>
      </c>
      <c r="AB40" s="90">
        <f>VLOOKUP($A40,平滑数据导入!$A$1:$AN$61,COLUMN(平滑数据导入!G$1),0)</f>
        <v>14566.79365564092</v>
      </c>
      <c r="AC40" s="90">
        <f>VLOOKUP($A40,平滑数据导入!$A$1:$AN$61,COLUMN(平滑数据导入!H$1),0)</f>
        <v>14820.71752659117</v>
      </c>
      <c r="AD40" s="90">
        <f>VLOOKUP($A40,平滑数据导入!$A$1:$AN$61,COLUMN(平滑数据导入!I$1),0)</f>
        <v>15043.388668277321</v>
      </c>
      <c r="AE40" s="133">
        <f>VLOOKUP(A40,情景假设!$B$48:$S$88,15,0)/情景假设!P$47*AE$13</f>
        <v>15222.944791175669</v>
      </c>
      <c r="AF40" s="90">
        <f>VLOOKUP($A40,平滑数据导入!$A$1:$AN$61,COLUMN(平滑数据导入!K$1),0)</f>
        <v>15350.396926266811</v>
      </c>
      <c r="AG40" s="90">
        <f>VLOOKUP($A40,平滑数据导入!$A$1:$AN$61,COLUMN(平滑数据导入!L$1),0)</f>
        <v>15429.220552864979</v>
      </c>
      <c r="AH40" s="90">
        <f>VLOOKUP($A40,平滑数据导入!$A$1:$AN$61,COLUMN(平滑数据导入!M$1),0)</f>
        <v>15466.545700477771</v>
      </c>
      <c r="AI40" s="90">
        <f>VLOOKUP($A40,平滑数据导入!$A$1:$AN$61,COLUMN(平滑数据导入!N$1),0)</f>
        <v>15469.958939782289</v>
      </c>
      <c r="AJ40" s="141">
        <f>VLOOKUP(A40,情景假设!$B$48:$S$88,16,0)/情景假设!Q$47*AJ$13</f>
        <v>15447.315173439043</v>
      </c>
      <c r="AK40" s="89">
        <f>VLOOKUP($A40,平滑数据导入!$A$1:$AN$61,COLUMN(平滑数据导入!P$1),0)</f>
        <v>15405.330252231521</v>
      </c>
      <c r="AL40" s="90">
        <f>VLOOKUP($A40,平滑数据导入!$A$1:$AN$61,COLUMN(平滑数据导入!Q$1),0)</f>
        <v>15345.73863203522</v>
      </c>
      <c r="AM40" s="90">
        <f>VLOOKUP($A40,平滑数据导入!$A$1:$AN$61,COLUMN(平滑数据导入!R$1),0)</f>
        <v>15269.070448256331</v>
      </c>
      <c r="AN40" s="90">
        <f>VLOOKUP($A40,平滑数据导入!$A$1:$AN$61,COLUMN(平滑数据导入!S$1),0)</f>
        <v>15175.90703031167</v>
      </c>
      <c r="AO40" s="101">
        <f>VLOOKUP($A40,平滑数据导入!$A$1:$AN$61,COLUMN(平滑数据导入!T$1),0)</f>
        <v>15066.875911733699</v>
      </c>
      <c r="AP40" s="90">
        <f>VLOOKUP($A40,平滑数据导入!$A$1:$AN$61,COLUMN(平滑数据导入!U$1),0)</f>
        <v>14942.645739958671</v>
      </c>
      <c r="AQ40" s="90">
        <f>VLOOKUP($A40,平滑数据导入!$A$1:$AN$61,COLUMN(平滑数据导入!V$1),0)</f>
        <v>14803.921133756879</v>
      </c>
      <c r="AR40" s="90">
        <f>VLOOKUP($A40,平滑数据导入!$A$1:$AN$61,COLUMN(平滑数据导入!W$1),0)</f>
        <v>14651.4375340719</v>
      </c>
      <c r="AS40" s="90">
        <f>VLOOKUP($A40,平滑数据导入!$A$1:$AN$61,COLUMN(平滑数据导入!X$1),0)</f>
        <v>14485.956091449711</v>
      </c>
      <c r="AT40" s="90">
        <f>VLOOKUP($A40,平滑数据导入!$A$1:$AN$61,COLUMN(平滑数据导入!Y$1),0)</f>
        <v>14308.258630319269</v>
      </c>
      <c r="AU40" s="89">
        <f>VLOOKUP($A40,平滑数据导入!$A$1:$AN$61,COLUMN(平滑数据导入!Z$1),0)</f>
        <v>14119.142727193321</v>
      </c>
      <c r="AV40" s="90">
        <f>VLOOKUP($A40,平滑数据导入!$A$1:$AN$61,COLUMN(平滑数据导入!AA$1),0)</f>
        <v>13919.416936457499</v>
      </c>
      <c r="AW40" s="90">
        <f>VLOOKUP($A40,平滑数据导入!$A$1:$AN$61,COLUMN(平滑数据导入!AB$1),0)</f>
        <v>13709.896193861779</v>
      </c>
      <c r="AX40" s="90">
        <f>VLOOKUP($A40,平滑数据导入!$A$1:$AN$61,COLUMN(平滑数据导入!AC$1),0)</f>
        <v>13491.39742418342</v>
      </c>
      <c r="AY40" s="133">
        <f>VLOOKUP(A40,情景假设!$B$48:$S$88,17,0)/情景假设!R$47*AY$13</f>
        <v>13264.735375843686</v>
      </c>
      <c r="AZ40" s="89">
        <f>VLOOKUP($A40,平滑数据导入!$A$1:$AN$61,COLUMN(平滑数据导入!AE$1),0)</f>
        <v>13030.718701586609</v>
      </c>
      <c r="BA40" s="90">
        <f>VLOOKUP($A40,平滑数据导入!$A$1:$AN$61,COLUMN(平滑数据导入!AF$1),0)</f>
        <v>12790.14630070937</v>
      </c>
      <c r="BB40" s="90">
        <f>VLOOKUP($A40,平滑数据导入!$A$1:$AN$61,COLUMN(平滑数据导入!AG$1),0)</f>
        <v>12543.80393481361</v>
      </c>
      <c r="BC40" s="90">
        <f>VLOOKUP($A40,平滑数据导入!$A$1:$AN$61,COLUMN(平滑数据导入!AH$1),0)</f>
        <v>12292.461125661161</v>
      </c>
      <c r="BD40" s="101">
        <f>VLOOKUP($A40,平滑数据导入!$A$1:$AN$61,COLUMN(平滑数据导入!AI$1),0)</f>
        <v>12036.86834049648</v>
      </c>
      <c r="BE40" s="90">
        <f>VLOOKUP($A40,平滑数据导入!$A$1:$AN$61,COLUMN(平滑数据导入!AJ$1),0)</f>
        <v>11777.7544671708</v>
      </c>
      <c r="BF40" s="90">
        <f>VLOOKUP($A40,平滑数据导入!$A$1:$AN$61,COLUMN(平滑数据导入!AK$1),0)</f>
        <v>11515.824578586031</v>
      </c>
      <c r="BG40" s="90">
        <f>VLOOKUP($A40,平滑数据导入!$A$1:$AN$61,COLUMN(平滑数据导入!AL$1),0)</f>
        <v>11251.75798339193</v>
      </c>
      <c r="BH40" s="90">
        <f>VLOOKUP($A40,平滑数据导入!$A$1:$AN$61,COLUMN(平滑数据导入!AM$1),0)</f>
        <v>10986.206557524711</v>
      </c>
      <c r="BI40" s="133">
        <f>VLOOKUP(A40,情景假设!$B$48:$S$88,18,0)/情景假设!S$47*BI$13</f>
        <v>10719.793349079322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(2001-2022, 当年价) '!I41*I$77</f>
        <v>5991.8214005513137</v>
      </c>
      <c r="J41" s="20">
        <f>'增加值 (2001-2022, 当年价) '!J41*J$77</f>
        <v>6247.8875774577018</v>
      </c>
      <c r="K41" s="21">
        <f>'增加值 (2001-2022, 当年价) '!K41*K$77</f>
        <v>7220.2243795774129</v>
      </c>
      <c r="L41" s="19">
        <f>'增加值 (2001-2022, 当年价) '!L41*L$77</f>
        <v>8172.6971404983933</v>
      </c>
      <c r="M41" s="20">
        <f>'增加值 (2001-2022, 当年价) '!M41*M$77</f>
        <v>8729.5597507721814</v>
      </c>
      <c r="N41" s="20">
        <f>'增加值 (2001-2022, 当年价) '!N41*N$77</f>
        <v>9321.04171678905</v>
      </c>
      <c r="O41" s="20">
        <f>'增加值 (2001-2022, 当年价) '!O41*O$77</f>
        <v>9972.9623065646138</v>
      </c>
      <c r="P41" s="20">
        <f>'增加值 (2001-2022, 当年价) '!P41*P$77</f>
        <v>10161.569210888461</v>
      </c>
      <c r="Q41" s="19">
        <f>'增加值 (2001-2022, 当年价) '!Q41*Q$77</f>
        <v>10729.678731779901</v>
      </c>
      <c r="R41" s="20">
        <f>'增加值 (2001-2022, 当年价) '!R41*R$77</f>
        <v>11577.496039816844</v>
      </c>
      <c r="S41" s="20">
        <f>'增加值 (2001-2022, 当年价) '!S41*S$77</f>
        <v>11965.7485153379</v>
      </c>
      <c r="T41" s="20">
        <f>'增加值 (2001-2022, 当年价) '!T41*T$77</f>
        <v>12206.123148775057</v>
      </c>
      <c r="U41" s="21">
        <f>'增加值 (2001-2022, 当年价) '!U41*U$77</f>
        <v>12421.774161186662</v>
      </c>
      <c r="V41" s="20">
        <f>'增加值 (2001-2022, 当年价) '!V41*V$77</f>
        <v>15002.765371424184</v>
      </c>
      <c r="W41" s="20">
        <f>'增加值 (2001-2022, 当年价) '!W41*W$77</f>
        <v>15179.327689922766</v>
      </c>
      <c r="X41" s="90">
        <f>VLOOKUP($A41,平滑数据导入!$A$1:$AN$61,COLUMN(平滑数据导入!C$1),0)</f>
        <v>15720.471276674039</v>
      </c>
      <c r="Y41" s="90">
        <f>VLOOKUP($A41,平滑数据导入!$A$1:$AN$61,COLUMN(平滑数据导入!D$1),0)</f>
        <v>16293.374940433219</v>
      </c>
      <c r="Z41" s="141">
        <f>VLOOKUP(A41,情景假设!$B$48:$S$88,14,0)/情景假设!O$47*Z$13</f>
        <v>16890.614091985677</v>
      </c>
      <c r="AA41" s="89">
        <f>VLOOKUP($A41,平滑数据导入!$A$1:$AN$61,COLUMN(平滑数据导入!F$1),0)</f>
        <v>17503.510435740081</v>
      </c>
      <c r="AB41" s="90">
        <f>VLOOKUP($A41,平滑数据导入!$A$1:$AN$61,COLUMN(平滑数据导入!G$1),0)</f>
        <v>18122.021405670432</v>
      </c>
      <c r="AC41" s="90">
        <f>VLOOKUP($A41,平滑数据导入!$A$1:$AN$61,COLUMN(平滑数据导入!H$1),0)</f>
        <v>18734.681563636601</v>
      </c>
      <c r="AD41" s="90">
        <f>VLOOKUP($A41,平滑数据导入!$A$1:$AN$61,COLUMN(平滑数据导入!I$1),0)</f>
        <v>19328.60987131844</v>
      </c>
      <c r="AE41" s="133">
        <f>VLOOKUP(A41,情景假设!$B$48:$S$88,15,0)/情景假设!P$47*AE$13</f>
        <v>19889.59708648983</v>
      </c>
      <c r="AF41" s="90">
        <f>VLOOKUP($A41,平滑数据导入!$A$1:$AN$61,COLUMN(平滑数据导入!K$1),0)</f>
        <v>20405.180335772329</v>
      </c>
      <c r="AG41" s="90">
        <f>VLOOKUP($A41,平滑数据导入!$A$1:$AN$61,COLUMN(平滑数据导入!L$1),0)</f>
        <v>20874.129648666811</v>
      </c>
      <c r="AH41" s="90">
        <f>VLOOKUP($A41,平滑数据导入!$A$1:$AN$61,COLUMN(平滑数据导入!M$1),0)</f>
        <v>21298.83246930148</v>
      </c>
      <c r="AI41" s="90">
        <f>VLOOKUP($A41,平滑数据导入!$A$1:$AN$61,COLUMN(平滑数据导入!N$1),0)</f>
        <v>21682.467028203511</v>
      </c>
      <c r="AJ41" s="141">
        <f>VLOOKUP(A41,情景假设!$B$48:$S$88,16,0)/情景假设!Q$47*AJ$13</f>
        <v>22028.912722105055</v>
      </c>
      <c r="AK41" s="89">
        <f>VLOOKUP($A41,平滑数据导入!$A$1:$AN$61,COLUMN(平滑数据导入!P$1),0)</f>
        <v>22341.786924092339</v>
      </c>
      <c r="AL41" s="90">
        <f>VLOOKUP($A41,平滑数据导入!$A$1:$AN$61,COLUMN(平滑数据导入!Q$1),0)</f>
        <v>22621.64970649239</v>
      </c>
      <c r="AM41" s="90">
        <f>VLOOKUP($A41,平滑数据导入!$A$1:$AN$61,COLUMN(平滑数据导入!R$1),0)</f>
        <v>22868.423387241499</v>
      </c>
      <c r="AN41" s="90">
        <f>VLOOKUP($A41,平滑数据导入!$A$1:$AN$61,COLUMN(平滑数据导入!S$1),0)</f>
        <v>23082.232866340561</v>
      </c>
      <c r="AO41" s="101">
        <f>VLOOKUP($A41,平滑数据导入!$A$1:$AN$61,COLUMN(平滑数据导入!T$1),0)</f>
        <v>23263.396041852709</v>
      </c>
      <c r="AP41" s="90">
        <f>VLOOKUP($A41,平滑数据导入!$A$1:$AN$61,COLUMN(平滑数据导入!U$1),0)</f>
        <v>23412.41275544251</v>
      </c>
      <c r="AQ41" s="90">
        <f>VLOOKUP($A41,平滑数据导入!$A$1:$AN$61,COLUMN(平滑数据导入!V$1),0)</f>
        <v>23529.952510547118</v>
      </c>
      <c r="AR41" s="90">
        <f>VLOOKUP($A41,平滑数据导入!$A$1:$AN$61,COLUMN(平滑数据导入!W$1),0)</f>
        <v>23616.841207634359</v>
      </c>
      <c r="AS41" s="90">
        <f>VLOOKUP($A41,平滑数据导入!$A$1:$AN$61,COLUMN(平滑数据导入!X$1),0)</f>
        <v>23674.047137799251</v>
      </c>
      <c r="AT41" s="90">
        <f>VLOOKUP($A41,平滑数据导入!$A$1:$AN$61,COLUMN(平滑数据导入!Y$1),0)</f>
        <v>23702.66646866866</v>
      </c>
      <c r="AU41" s="89">
        <f>VLOOKUP($A41,平滑数据导入!$A$1:$AN$61,COLUMN(平滑数据导入!Z$1),0)</f>
        <v>23703.908445765821</v>
      </c>
      <c r="AV41" s="90">
        <f>VLOOKUP($A41,平滑数据导入!$A$1:$AN$61,COLUMN(平滑数据导入!AA$1),0)</f>
        <v>23679.080518700121</v>
      </c>
      <c r="AW41" s="90">
        <f>VLOOKUP($A41,平滑数据导入!$A$1:$AN$61,COLUMN(平滑数据导入!AB$1),0)</f>
        <v>23629.573585367121</v>
      </c>
      <c r="AX41" s="90">
        <f>VLOOKUP($A41,平滑数据导入!$A$1:$AN$61,COLUMN(平滑数据导入!AC$1),0)</f>
        <v>23556.84752934577</v>
      </c>
      <c r="AY41" s="133">
        <f>VLOOKUP(A41,情景假设!$B$48:$S$88,17,0)/情景假设!R$47*AY$13</f>
        <v>23462.417206415332</v>
      </c>
      <c r="AZ41" s="89">
        <f>VLOOKUP($A41,平滑数据导入!$A$1:$AN$61,COLUMN(平滑数据导入!AE$1),0)</f>
        <v>23347.839016098951</v>
      </c>
      <c r="BA41" s="90">
        <f>VLOOKUP($A41,平滑数据导入!$A$1:$AN$61,COLUMN(平滑数据导入!AF$1),0)</f>
        <v>23214.698173860801</v>
      </c>
      <c r="BB41" s="90">
        <f>VLOOKUP($A41,平滑数据导入!$A$1:$AN$61,COLUMN(平滑数据导入!AG$1),0)</f>
        <v>23064.5967794637</v>
      </c>
      <c r="BC41" s="90">
        <f>VLOOKUP($A41,平滑数据导入!$A$1:$AN$61,COLUMN(平滑数据导入!AH$1),0)</f>
        <v>22899.142757415451</v>
      </c>
      <c r="BD41" s="101">
        <f>VLOOKUP($A41,平滑数据导入!$A$1:$AN$61,COLUMN(平滑数据导入!AI$1),0)</f>
        <v>22719.939726716409</v>
      </c>
      <c r="BE41" s="90">
        <f>VLOOKUP($A41,平滑数据导入!$A$1:$AN$61,COLUMN(平滑数据导入!AJ$1),0)</f>
        <v>22528.577839533951</v>
      </c>
      <c r="BF41" s="90">
        <f>VLOOKUP($A41,平滑数据导入!$A$1:$AN$61,COLUMN(平滑数据导入!AK$1),0)</f>
        <v>22326.62561218371</v>
      </c>
      <c r="BG41" s="90">
        <f>VLOOKUP($A41,平滑数据导入!$A$1:$AN$61,COLUMN(平滑数据导入!AL$1),0)</f>
        <v>22115.622757047411</v>
      </c>
      <c r="BH41" s="90">
        <f>VLOOKUP($A41,平滑数据导入!$A$1:$AN$61,COLUMN(平滑数据导入!AM$1),0)</f>
        <v>21897.074010915479</v>
      </c>
      <c r="BI41" s="133">
        <f>VLOOKUP(A41,情景假设!$B$48:$S$88,18,0)/情景假设!S$47*BI$13</f>
        <v>21672.443943767201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(2001-2022, 当年价) '!I42*I$77</f>
        <v>6951.0991404058195</v>
      </c>
      <c r="J42" s="20">
        <f>'增加值 (2001-2022, 当年价) '!J42*J$77</f>
        <v>7314.0533347634755</v>
      </c>
      <c r="K42" s="21">
        <f>'增加值 (2001-2022, 当年价) '!K42*K$77</f>
        <v>8644.0889558594426</v>
      </c>
      <c r="L42" s="19">
        <f>'增加值 (2001-2022, 当年价) '!L42*L$77</f>
        <v>9751.1703884161016</v>
      </c>
      <c r="M42" s="20">
        <f>'增加值 (2001-2022, 当年价) '!M42*M$77</f>
        <v>10062.829332726689</v>
      </c>
      <c r="N42" s="20">
        <f>'增加值 (2001-2022, 当年价) '!N42*N$77</f>
        <v>10438.751135915945</v>
      </c>
      <c r="O42" s="20">
        <f>'增加值 (2001-2022, 当年价) '!O42*O$77</f>
        <v>10918.647009586733</v>
      </c>
      <c r="P42" s="20">
        <f>'增加值 (2001-2022, 当年价) '!P42*P$77</f>
        <v>10659.001446727452</v>
      </c>
      <c r="Q42" s="19">
        <f>'增加值 (2001-2022, 当年价) '!Q42*Q$77</f>
        <v>11015.676147174541</v>
      </c>
      <c r="R42" s="20">
        <f>'增加值 (2001-2022, 当年价) '!R42*R$77</f>
        <v>12320.948873046076</v>
      </c>
      <c r="S42" s="20">
        <f>'增加值 (2001-2022, 当年价) '!S42*S$77</f>
        <v>13151.243446087199</v>
      </c>
      <c r="T42" s="20">
        <f>'增加值 (2001-2022, 当年价) '!T42*T$77</f>
        <v>13225.233063001493</v>
      </c>
      <c r="U42" s="21">
        <f>'增加值 (2001-2022, 当年价) '!U42*U$77</f>
        <v>13446.095523164235</v>
      </c>
      <c r="V42" s="20">
        <f>'增加值 (2001-2022, 当年价) '!V42*V$77</f>
        <v>15735.922300230004</v>
      </c>
      <c r="W42" s="20">
        <f>'增加值 (2001-2022, 当年价) '!W42*W$77</f>
        <v>15793.232462385689</v>
      </c>
      <c r="X42" s="90">
        <f>VLOOKUP($A42,平滑数据导入!$A$1:$AN$61,COLUMN(平滑数据导入!C$1),0)</f>
        <v>16386.90642016225</v>
      </c>
      <c r="Y42" s="90">
        <f>VLOOKUP($A42,平滑数据导入!$A$1:$AN$61,COLUMN(平滑数据导入!D$1),0)</f>
        <v>17014.883833574298</v>
      </c>
      <c r="Z42" s="141">
        <f>VLOOKUP(A42,情景假设!$B$48:$S$88,14,0)/情景假设!O$47*Z$13</f>
        <v>17669.534197481749</v>
      </c>
      <c r="AA42" s="89">
        <f>VLOOKUP($A42,平滑数据导入!$A$1:$AN$61,COLUMN(平滑数据导入!F$1),0)</f>
        <v>18341.85854320107</v>
      </c>
      <c r="AB42" s="90">
        <f>VLOOKUP($A42,平滑数据导入!$A$1:$AN$61,COLUMN(平滑数据导入!G$1),0)</f>
        <v>19021.367388024581</v>
      </c>
      <c r="AC42" s="90">
        <f>VLOOKUP($A42,平滑数据导入!$A$1:$AN$61,COLUMN(平滑数据导入!H$1),0)</f>
        <v>19696.012527877589</v>
      </c>
      <c r="AD42" s="90">
        <f>VLOOKUP($A42,平滑数据导入!$A$1:$AN$61,COLUMN(平滑数据导入!I$1),0)</f>
        <v>20352.18784782946</v>
      </c>
      <c r="AE42" s="133">
        <f>VLOOKUP(A42,情景假设!$B$48:$S$88,15,0)/情景假设!P$47*AE$13</f>
        <v>20974.814781627105</v>
      </c>
      <c r="AF42" s="90">
        <f>VLOOKUP($A42,平滑数据导入!$A$1:$AN$61,COLUMN(平滑数据导入!K$1),0)</f>
        <v>21550.55657984404</v>
      </c>
      <c r="AG42" s="90">
        <f>VLOOKUP($A42,平滑数据导入!$A$1:$AN$61,COLUMN(平滑数据导入!L$1),0)</f>
        <v>22077.78364657563</v>
      </c>
      <c r="AH42" s="90">
        <f>VLOOKUP($A42,平滑数据导入!$A$1:$AN$61,COLUMN(平滑数据导入!M$1),0)</f>
        <v>22558.667139199879</v>
      </c>
      <c r="AI42" s="90">
        <f>VLOOKUP($A42,平滑数据导入!$A$1:$AN$61,COLUMN(平滑数据导入!N$1),0)</f>
        <v>22996.234862519112</v>
      </c>
      <c r="AJ42" s="141">
        <f>VLOOKUP(A42,情景假设!$B$48:$S$88,16,0)/情景假设!Q$47*AJ$13</f>
        <v>23394.282318377907</v>
      </c>
      <c r="AK42" s="89">
        <f>VLOOKUP($A42,平滑数据导入!$A$1:$AN$61,COLUMN(平滑数据导入!P$1),0)</f>
        <v>23756.379194594949</v>
      </c>
      <c r="AL42" s="90">
        <f>VLOOKUP($A42,平滑数据导入!$A$1:$AN$61,COLUMN(平滑数据导入!Q$1),0)</f>
        <v>24082.971789029769</v>
      </c>
      <c r="AM42" s="90">
        <f>VLOOKUP($A42,平滑数据导入!$A$1:$AN$61,COLUMN(平滑数据导入!R$1),0)</f>
        <v>24373.86884371729</v>
      </c>
      <c r="AN42" s="90">
        <f>VLOOKUP($A42,平滑数据导入!$A$1:$AN$61,COLUMN(平滑数据导入!S$1),0)</f>
        <v>24629.10818084158</v>
      </c>
      <c r="AO42" s="101">
        <f>VLOOKUP($A42,平滑数据导入!$A$1:$AN$61,COLUMN(平滑数据导入!T$1),0)</f>
        <v>24848.946736644499</v>
      </c>
      <c r="AP42" s="90">
        <f>VLOOKUP($A42,平滑数据导入!$A$1:$AN$61,COLUMN(平滑数据导入!U$1),0)</f>
        <v>25033.848818983381</v>
      </c>
      <c r="AQ42" s="90">
        <f>VLOOKUP($A42,平滑数据导入!$A$1:$AN$61,COLUMN(平滑数据导入!V$1),0)</f>
        <v>25184.472866598899</v>
      </c>
      <c r="AR42" s="90">
        <f>VLOOKUP($A42,平滑数据导入!$A$1:$AN$61,COLUMN(平滑数据导入!W$1),0)</f>
        <v>25301.65699173442</v>
      </c>
      <c r="AS42" s="90">
        <f>VLOOKUP($A42,平滑数据导入!$A$1:$AN$61,COLUMN(平滑数据导入!X$1),0)</f>
        <v>25386.40358574842</v>
      </c>
      <c r="AT42" s="90">
        <f>VLOOKUP($A42,平滑数据导入!$A$1:$AN$61,COLUMN(平滑数据导入!Y$1),0)</f>
        <v>25439.86326035703</v>
      </c>
      <c r="AU42" s="89">
        <f>VLOOKUP($A42,平滑数据导入!$A$1:$AN$61,COLUMN(平滑数据导入!Z$1),0)</f>
        <v>25463.31838576062</v>
      </c>
      <c r="AV42" s="90">
        <f>VLOOKUP($A42,平滑数据导入!$A$1:$AN$61,COLUMN(平滑数据导入!AA$1),0)</f>
        <v>25458.166471821081</v>
      </c>
      <c r="AW42" s="90">
        <f>VLOOKUP($A42,平滑数据导入!$A$1:$AN$61,COLUMN(平滑数据导入!AB$1),0)</f>
        <v>25425.903620360099</v>
      </c>
      <c r="AX42" s="90">
        <f>VLOOKUP($A42,平滑数据导入!$A$1:$AN$61,COLUMN(平滑数据导入!AC$1),0)</f>
        <v>25368.108256226318</v>
      </c>
      <c r="AY42" s="133">
        <f>VLOOKUP(A42,情景假设!$B$48:$S$88,17,0)/情景假设!R$47*AY$13</f>
        <v>25286.425322701944</v>
      </c>
      <c r="AZ42" s="89">
        <f>VLOOKUP($A42,平滑数据导入!$A$1:$AN$61,COLUMN(平滑数据导入!AE$1),0)</f>
        <v>25182.551103722311</v>
      </c>
      <c r="BA42" s="90">
        <f>VLOOKUP($A42,平滑数据导入!$A$1:$AN$61,COLUMN(平滑数据导入!AF$1),0)</f>
        <v>25058.218811841831</v>
      </c>
      <c r="BB42" s="90">
        <f>VLOOKUP($A42,平滑数据导入!$A$1:$AN$61,COLUMN(平滑数据导入!AG$1),0)</f>
        <v>24915.185057438379</v>
      </c>
      <c r="BC42" s="90">
        <f>VLOOKUP($A42,平滑数据导入!$A$1:$AN$61,COLUMN(平滑数据导入!AH$1),0)</f>
        <v>24755.21729175678</v>
      </c>
      <c r="BD42" s="101">
        <f>VLOOKUP($A42,平滑数据导入!$A$1:$AN$61,COLUMN(平滑数据导入!AI$1),0)</f>
        <v>24580.082294456632</v>
      </c>
      <c r="BE42" s="90">
        <f>VLOOKUP($A42,平滑数据导入!$A$1:$AN$61,COLUMN(平滑数据导入!AJ$1),0)</f>
        <v>24391.535755683759</v>
      </c>
      <c r="BF42" s="90">
        <f>VLOOKUP($A42,平滑数据导入!$A$1:$AN$61,COLUMN(平滑数据导入!AK$1),0)</f>
        <v>24191.312983580199</v>
      </c>
      <c r="BG42" s="90">
        <f>VLOOKUP($A42,平滑数据导入!$A$1:$AN$61,COLUMN(平滑数据导入!AL$1),0)</f>
        <v>23981.120750795071</v>
      </c>
      <c r="BH42" s="90">
        <f>VLOOKUP($A42,平滑数据导入!$A$1:$AN$61,COLUMN(平滑数据导入!AM$1),0)</f>
        <v>23762.630278086839</v>
      </c>
      <c r="BI42" s="133">
        <f>VLOOKUP(A42,情景假设!$B$48:$S$88,18,0)/情景假设!S$47*BI$13</f>
        <v>23537.471339606291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(2001-2022, 当年价) '!I43*I$77</f>
        <v>4623.3441154702477</v>
      </c>
      <c r="J43" s="20">
        <f>'增加值 (2001-2022, 当年价) '!J43*J$77</f>
        <v>4952.4069466441206</v>
      </c>
      <c r="K43" s="21">
        <f>'增加值 (2001-2022, 当年价) '!K43*K$77</f>
        <v>5800.0823303648003</v>
      </c>
      <c r="L43" s="19">
        <f>'增加值 (2001-2022, 当年价) '!L43*L$77</f>
        <v>6676.677466975384</v>
      </c>
      <c r="M43" s="20">
        <f>'增加值 (2001-2022, 当年价) '!M43*M$77</f>
        <v>6921.8527542389438</v>
      </c>
      <c r="N43" s="20">
        <f>'增加值 (2001-2022, 当年价) '!N43*N$77</f>
        <v>7134.4071986105519</v>
      </c>
      <c r="O43" s="20">
        <f>'增加值 (2001-2022, 当年价) '!O43*O$77</f>
        <v>7311.9149257243444</v>
      </c>
      <c r="P43" s="20">
        <f>'增加值 (2001-2022, 当年价) '!P43*P$77</f>
        <v>7172.7218386442528</v>
      </c>
      <c r="Q43" s="19">
        <f>'增加值 (2001-2022, 当年价) '!Q43*Q$77</f>
        <v>7468.7356239592245</v>
      </c>
      <c r="R43" s="20">
        <f>'增加值 (2001-2022, 当年价) '!R43*R$77</f>
        <v>8452.0023308915206</v>
      </c>
      <c r="S43" s="20">
        <f>'增加值 (2001-2022, 当年价) '!S43*S$77</f>
        <v>9332.9519669544279</v>
      </c>
      <c r="T43" s="20">
        <f>'增加值 (2001-2022, 当年价) '!T43*T$77</f>
        <v>9619.4212690179938</v>
      </c>
      <c r="U43" s="21">
        <f>'增加值 (2001-2022, 当年价) '!U43*U$77</f>
        <v>9891.7322198258898</v>
      </c>
      <c r="V43" s="20">
        <f>'增加值 (2001-2022, 当年价) '!V43*V$77</f>
        <v>11596.860701442663</v>
      </c>
      <c r="W43" s="20">
        <f>'增加值 (2001-2022, 当年价) '!W43*W$77</f>
        <v>12204.55859303716</v>
      </c>
      <c r="X43" s="90">
        <f>VLOOKUP($A43,平滑数据导入!$A$1:$AN$61,COLUMN(平滑数据导入!C$1),0)</f>
        <v>12910.589516383459</v>
      </c>
      <c r="Y43" s="90">
        <f>VLOOKUP($A43,平滑数据导入!$A$1:$AN$61,COLUMN(平滑数据导入!D$1),0)</f>
        <v>13658.59490190981</v>
      </c>
      <c r="Z43" s="141">
        <f>VLOOKUP(A43,情景假设!$B$48:$S$88,14,0)/情景假设!O$47*Z$13</f>
        <v>14443.625983957178</v>
      </c>
      <c r="AA43" s="89">
        <f>VLOOKUP($A43,平滑数据导入!$A$1:$AN$61,COLUMN(平滑数据导入!F$1),0)</f>
        <v>15259.17326945383</v>
      </c>
      <c r="AB43" s="90">
        <f>VLOOKUP($A43,平滑数据导入!$A$1:$AN$61,COLUMN(平滑数据导入!G$1),0)</f>
        <v>16096.98871607567</v>
      </c>
      <c r="AC43" s="90">
        <f>VLOOKUP($A43,平滑数据导入!$A$1:$AN$61,COLUMN(平滑数据导入!H$1),0)</f>
        <v>16946.94587630442</v>
      </c>
      <c r="AD43" s="90">
        <f>VLOOKUP($A43,平滑数据导入!$A$1:$AN$61,COLUMN(平滑数据导入!I$1),0)</f>
        <v>17796.955569977381</v>
      </c>
      <c r="AE43" s="133">
        <f>VLOOKUP(A43,情景假设!$B$48:$S$88,15,0)/情景假设!P$47*AE$13</f>
        <v>18632.956247517781</v>
      </c>
      <c r="AF43" s="90">
        <f>VLOOKUP($A43,平滑数据导入!$A$1:$AN$61,COLUMN(平滑数据导入!K$1),0)</f>
        <v>19441.48341546793</v>
      </c>
      <c r="AG43" s="90">
        <f>VLOOKUP($A43,平滑数据导入!$A$1:$AN$61,COLUMN(平滑数据导入!L$1),0)</f>
        <v>20218.106165317171</v>
      </c>
      <c r="AH43" s="90">
        <f>VLOOKUP($A43,平滑数据导入!$A$1:$AN$61,COLUMN(平滑数据导入!M$1),0)</f>
        <v>20961.49943619085</v>
      </c>
      <c r="AI43" s="90">
        <f>VLOOKUP($A43,平滑数据导入!$A$1:$AN$61,COLUMN(平滑数据导入!N$1),0)</f>
        <v>21671.171021371028</v>
      </c>
      <c r="AJ43" s="141">
        <f>VLOOKUP(A43,情景假设!$B$48:$S$88,16,0)/情景假设!Q$47*AJ$13</f>
        <v>22347.447972555154</v>
      </c>
      <c r="AK43" s="89">
        <f>VLOOKUP($A43,平滑数据导入!$A$1:$AN$61,COLUMN(平滑数据导入!P$1),0)</f>
        <v>22990.834993760851</v>
      </c>
      <c r="AL43" s="90">
        <f>VLOOKUP($A43,平滑数据导入!$A$1:$AN$61,COLUMN(平滑数据导入!Q$1),0)</f>
        <v>23600.001283904869</v>
      </c>
      <c r="AM43" s="90">
        <f>VLOOKUP($A43,平滑数据导入!$A$1:$AN$61,COLUMN(平滑数据导入!R$1),0)</f>
        <v>24173.379538339552</v>
      </c>
      <c r="AN43" s="90">
        <f>VLOOKUP($A43,平滑数据导入!$A$1:$AN$61,COLUMN(平滑数据导入!S$1),0)</f>
        <v>24709.750873627741</v>
      </c>
      <c r="AO43" s="101">
        <f>VLOOKUP($A43,平滑数据导入!$A$1:$AN$61,COLUMN(平滑数据导入!T$1),0)</f>
        <v>25208.244603201529</v>
      </c>
      <c r="AP43" s="90">
        <f>VLOOKUP($A43,平滑数据导入!$A$1:$AN$61,COLUMN(平滑数据导入!U$1),0)</f>
        <v>25668.33347347927</v>
      </c>
      <c r="AQ43" s="90">
        <f>VLOOKUP($A43,平滑数据导入!$A$1:$AN$61,COLUMN(平滑数据导入!V$1),0)</f>
        <v>26089.824769486131</v>
      </c>
      <c r="AR43" s="90">
        <f>VLOOKUP($A43,平滑数据导入!$A$1:$AN$61,COLUMN(平滑数据导入!W$1),0)</f>
        <v>26472.847752866561</v>
      </c>
      <c r="AS43" s="90">
        <f>VLOOKUP($A43,平滑数据导入!$A$1:$AN$61,COLUMN(平滑数据导入!X$1),0)</f>
        <v>26817.837933408118</v>
      </c>
      <c r="AT43" s="90">
        <f>VLOOKUP($A43,平滑数据导入!$A$1:$AN$61,COLUMN(平滑数据导入!Y$1),0)</f>
        <v>27125.518698374752</v>
      </c>
      <c r="AU43" s="89">
        <f>VLOOKUP($A43,平滑数据导入!$A$1:$AN$61,COLUMN(平滑数据导入!Z$1),0)</f>
        <v>27396.880833019179</v>
      </c>
      <c r="AV43" s="90">
        <f>VLOOKUP($A43,平滑数据导入!$A$1:$AN$61,COLUMN(平滑数据导入!AA$1),0)</f>
        <v>27633.160461906671</v>
      </c>
      <c r="AW43" s="90">
        <f>VLOOKUP($A43,平滑数据导入!$A$1:$AN$61,COLUMN(平滑数据导入!AB$1),0)</f>
        <v>27835.815925663479</v>
      </c>
      <c r="AX43" s="90">
        <f>VLOOKUP($A43,平滑数据导入!$A$1:$AN$61,COLUMN(平滑数据导入!AC$1),0)</f>
        <v>28006.504083159729</v>
      </c>
      <c r="AY43" s="133">
        <f>VLOOKUP(A43,情景假设!$B$48:$S$88,17,0)/情景假设!R$47*AY$13</f>
        <v>28147.056496734553</v>
      </c>
      <c r="AZ43" s="89">
        <f>VLOOKUP($A43,平滑数据导入!$A$1:$AN$61,COLUMN(平滑数据导入!AE$1),0)</f>
        <v>28259.455919673052</v>
      </c>
      <c r="BA43" s="90">
        <f>VLOOKUP($A43,平滑数据导入!$A$1:$AN$61,COLUMN(平滑数据导入!AF$1),0)</f>
        <v>28345.813462507202</v>
      </c>
      <c r="BB43" s="90">
        <f>VLOOKUP($A43,平滑数据导入!$A$1:$AN$61,COLUMN(平滑数据导入!AG$1),0)</f>
        <v>28408.346769513901</v>
      </c>
      <c r="BC43" s="90">
        <f>VLOOKUP($A43,平滑数据导入!$A$1:$AN$61,COLUMN(平滑数据导入!AH$1),0)</f>
        <v>28449.359490551731</v>
      </c>
      <c r="BD43" s="101">
        <f>VLOOKUP($A43,平滑数据导入!$A$1:$AN$61,COLUMN(平滑数据导入!AI$1),0)</f>
        <v>28471.222287507189</v>
      </c>
      <c r="BE43" s="90">
        <f>VLOOKUP($A43,平滑数据导入!$A$1:$AN$61,COLUMN(平滑数据导入!AJ$1),0)</f>
        <v>28476.355570302479</v>
      </c>
      <c r="BF43" s="90">
        <f>VLOOKUP($A43,平滑数据导入!$A$1:$AN$61,COLUMN(平滑数据导入!AK$1),0)</f>
        <v>28467.214115686282</v>
      </c>
      <c r="BG43" s="90">
        <f>VLOOKUP($A43,平滑数据导入!$A$1:$AN$61,COLUMN(平滑数据导入!AL$1),0)</f>
        <v>28446.27368370313</v>
      </c>
      <c r="BH43" s="90">
        <f>VLOOKUP($A43,平滑数据导入!$A$1:$AN$61,COLUMN(平滑数据导入!AM$1),0)</f>
        <v>28416.019712489709</v>
      </c>
      <c r="BI43" s="133">
        <f>VLOOKUP(A43,情景假设!$B$48:$S$88,18,0)/情景假设!S$47*BI$13</f>
        <v>28378.93814235547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(2001-2022, 当年价) '!I44*I$77</f>
        <v>8600.1122331098704</v>
      </c>
      <c r="J44" s="20">
        <f>'增加值 (2001-2022, 当年价) '!J44*J$77</f>
        <v>9652.4482684707364</v>
      </c>
      <c r="K44" s="21">
        <f>'增加值 (2001-2022, 当年价) '!K44*K$77</f>
        <v>11473.328463091299</v>
      </c>
      <c r="L44" s="19">
        <f>'增加值 (2001-2022, 当年价) '!L44*L$77</f>
        <v>12347.438461432741</v>
      </c>
      <c r="M44" s="20">
        <f>'增加值 (2001-2022, 当年价) '!M44*M$77</f>
        <v>12742.077205557398</v>
      </c>
      <c r="N44" s="20">
        <f>'增加值 (2001-2022, 当年价) '!N44*N$77</f>
        <v>13908.044110531482</v>
      </c>
      <c r="O44" s="20">
        <f>'增加值 (2001-2022, 当年价) '!O44*O$77</f>
        <v>14907.451129099412</v>
      </c>
      <c r="P44" s="20">
        <f>'增加值 (2001-2022, 当年价) '!P44*P$77</f>
        <v>15090.378543997835</v>
      </c>
      <c r="Q44" s="19">
        <f>'增加值 (2001-2022, 当年价) '!Q44*Q$77</f>
        <v>17009.078938849983</v>
      </c>
      <c r="R44" s="20">
        <f>'增加值 (2001-2022, 当年价) '!R44*R$77</f>
        <v>19317.208684583806</v>
      </c>
      <c r="S44" s="20">
        <f>'增加值 (2001-2022, 当年价) '!S44*S$77</f>
        <v>20176.588473930504</v>
      </c>
      <c r="T44" s="20">
        <f>'增加值 (2001-2022, 当年价) '!T44*T$77</f>
        <v>19803.763108812167</v>
      </c>
      <c r="U44" s="21">
        <f>'增加值 (2001-2022, 当年价) '!U44*U$77</f>
        <v>20421.849410489154</v>
      </c>
      <c r="V44" s="20">
        <f>'增加值 (2001-2022, 当年价) '!V44*V$77</f>
        <v>22432.47684124767</v>
      </c>
      <c r="W44" s="20">
        <f>'增加值 (2001-2022, 当年价) '!W44*W$77</f>
        <v>24223.247878201622</v>
      </c>
      <c r="X44" s="90">
        <f>VLOOKUP($A44,平滑数据导入!$A$1:$AN$61,COLUMN(平滑数据导入!C$1),0)</f>
        <v>25109.721528919588</v>
      </c>
      <c r="Y44" s="90">
        <f>VLOOKUP($A44,平滑数据导入!$A$1:$AN$61,COLUMN(平滑数据导入!D$1),0)</f>
        <v>26047.797347849599</v>
      </c>
      <c r="Z44" s="141">
        <f>VLOOKUP(A44,情景假设!$B$48:$S$88,14,0)/情景假设!O$47*Z$13</f>
        <v>27025.697358390313</v>
      </c>
      <c r="AA44" s="89">
        <f>VLOOKUP($A44,平滑数据导入!$A$1:$AN$61,COLUMN(平滑数据导入!F$1),0)</f>
        <v>28029.594953493001</v>
      </c>
      <c r="AB44" s="90">
        <f>VLOOKUP($A44,平滑数据导入!$A$1:$AN$61,COLUMN(平滑数据导入!G$1),0)</f>
        <v>29043.433324642359</v>
      </c>
      <c r="AC44" s="90">
        <f>VLOOKUP($A44,平滑数据导入!$A$1:$AN$61,COLUMN(平滑数据导入!H$1),0)</f>
        <v>30048.826651117161</v>
      </c>
      <c r="AD44" s="90">
        <f>VLOOKUP($A44,平滑数据导入!$A$1:$AN$61,COLUMN(平滑数据导入!I$1),0)</f>
        <v>31025.06677260884</v>
      </c>
      <c r="AE44" s="133">
        <f>VLOOKUP(A44,情景假设!$B$48:$S$88,15,0)/情景假设!P$47*AE$13</f>
        <v>31949.258685553494</v>
      </c>
      <c r="AF44" s="90">
        <f>VLOOKUP($A44,平滑数据导入!$A$1:$AN$61,COLUMN(平滑数据导入!K$1),0)</f>
        <v>32801.238579049947</v>
      </c>
      <c r="AG44" s="90">
        <f>VLOOKUP($A44,平滑数据导入!$A$1:$AN$61,COLUMN(平滑数据导入!L$1),0)</f>
        <v>33578.783726480193</v>
      </c>
      <c r="AH44" s="90">
        <f>VLOOKUP($A44,平滑数据导入!$A$1:$AN$61,COLUMN(平滑数据导入!M$1),0)</f>
        <v>34285.472232371802</v>
      </c>
      <c r="AI44" s="90">
        <f>VLOOKUP($A44,平滑数据导入!$A$1:$AN$61,COLUMN(平滑数据导入!N$1),0)</f>
        <v>34926.169802935998</v>
      </c>
      <c r="AJ44" s="141">
        <f>VLOOKUP(A44,情景假设!$B$48:$S$88,16,0)/情景假设!Q$47*AJ$13</f>
        <v>35506.889852041822</v>
      </c>
      <c r="AK44" s="89">
        <f>VLOOKUP($A44,平滑数据导入!$A$1:$AN$61,COLUMN(平滑数据导入!P$1),0)</f>
        <v>36033.262677246748</v>
      </c>
      <c r="AL44" s="90">
        <f>VLOOKUP($A44,平滑数据导入!$A$1:$AN$61,COLUMN(平滑数据导入!Q$1),0)</f>
        <v>36506.082278409893</v>
      </c>
      <c r="AM44" s="90">
        <f>VLOOKUP($A44,平滑数据导入!$A$1:$AN$61,COLUMN(平滑数据导入!R$1),0)</f>
        <v>36925.144143324767</v>
      </c>
      <c r="AN44" s="90">
        <f>VLOOKUP($A44,平滑数据导入!$A$1:$AN$61,COLUMN(平滑数据导入!S$1),0)</f>
        <v>37290.58060370342</v>
      </c>
      <c r="AO44" s="101">
        <f>VLOOKUP($A44,平滑数据导入!$A$1:$AN$61,COLUMN(平滑数据导入!T$1),0)</f>
        <v>37602.845523096526</v>
      </c>
      <c r="AP44" s="90">
        <f>VLOOKUP($A44,平滑数据导入!$A$1:$AN$61,COLUMN(平滑数据导入!U$1),0)</f>
        <v>37862.696458464859</v>
      </c>
      <c r="AQ44" s="90">
        <f>VLOOKUP($A44,平滑数据导入!$A$1:$AN$61,COLUMN(平滑数据导入!V$1),0)</f>
        <v>38071.17470199323</v>
      </c>
      <c r="AR44" s="90">
        <f>VLOOKUP($A44,平滑数据导入!$A$1:$AN$61,COLUMN(平滑数据导入!W$1),0)</f>
        <v>38229.583613432427</v>
      </c>
      <c r="AS44" s="90">
        <f>VLOOKUP($A44,平滑数据导入!$A$1:$AN$61,COLUMN(平滑数据导入!X$1),0)</f>
        <v>38339.465649066413</v>
      </c>
      <c r="AT44" s="90">
        <f>VLOOKUP($A44,平滑数据导入!$A$1:$AN$61,COLUMN(平滑数据导入!Y$1),0)</f>
        <v>38402.578482147801</v>
      </c>
      <c r="AU44" s="89">
        <f>VLOOKUP($A44,平滑数据导入!$A$1:$AN$61,COLUMN(平滑数据导入!Z$1),0)</f>
        <v>38420.87059224437</v>
      </c>
      <c r="AV44" s="90">
        <f>VLOOKUP($A44,平滑数据导入!$A$1:$AN$61,COLUMN(平滑数据导入!AA$1),0)</f>
        <v>38396.456678353272</v>
      </c>
      <c r="AW44" s="90">
        <f>VLOOKUP($A44,平滑数据导入!$A$1:$AN$61,COLUMN(平滑数据导入!AB$1),0)</f>
        <v>38331.593223868003</v>
      </c>
      <c r="AX44" s="90">
        <f>VLOOKUP($A44,平滑数据导入!$A$1:$AN$61,COLUMN(平滑数据导入!AC$1),0)</f>
        <v>38228.654511490327</v>
      </c>
      <c r="AY44" s="133">
        <f>VLOOKUP(A44,情景假设!$B$48:$S$88,17,0)/情景假设!R$47*AY$13</f>
        <v>38090.10935392783</v>
      </c>
      <c r="AZ44" s="89">
        <f>VLOOKUP($A44,平滑数据导入!$A$1:$AN$61,COLUMN(平滑数据导入!AE$1),0)</f>
        <v>37918.498772599938</v>
      </c>
      <c r="BA44" s="90">
        <f>VLOOKUP($A44,平滑数据导入!$A$1:$AN$61,COLUMN(平滑数据导入!AF$1),0)</f>
        <v>37716.41482241328</v>
      </c>
      <c r="BB44" s="90">
        <f>VLOOKUP($A44,平滑数据导入!$A$1:$AN$61,COLUMN(平滑数据导入!AG$1),0)</f>
        <v>37486.480726716931</v>
      </c>
      <c r="BC44" s="90">
        <f>VLOOKUP($A44,平滑数据导入!$A$1:$AN$61,COLUMN(平滑数据导入!AH$1),0)</f>
        <v>37231.332453454757</v>
      </c>
      <c r="BD44" s="101">
        <f>VLOOKUP($A44,平滑数据导入!$A$1:$AN$61,COLUMN(平滑数据导入!AI$1),0)</f>
        <v>36953.601831860688</v>
      </c>
      <c r="BE44" s="90">
        <f>VLOOKUP($A44,平滑数据导入!$A$1:$AN$61,COLUMN(平滑数据导入!AJ$1),0)</f>
        <v>36655.901279256963</v>
      </c>
      <c r="BF44" s="90">
        <f>VLOOKUP($A44,平滑数据导入!$A$1:$AN$61,COLUMN(平滑数据导入!AK$1),0)</f>
        <v>36340.810179981971</v>
      </c>
      <c r="BG44" s="90">
        <f>VLOOKUP($A44,平滑数据导入!$A$1:$AN$61,COLUMN(平滑数据导入!AL$1),0)</f>
        <v>36010.862933465811</v>
      </c>
      <c r="BH44" s="90">
        <f>VLOOKUP($A44,平滑数据导入!$A$1:$AN$61,COLUMN(平滑数据导入!AM$1),0)</f>
        <v>35668.538666190238</v>
      </c>
      <c r="BI44" s="133">
        <f>VLOOKUP(A44,情景假设!$B$48:$S$88,18,0)/情景假设!S$47*BI$13</f>
        <v>35316.252582807043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(2001-2022, 当年价) '!I45*I$77</f>
        <v>3188.2277004700304</v>
      </c>
      <c r="J45" s="20">
        <f>'增加值 (2001-2022, 当年价) '!J45*J$77</f>
        <v>3578.3489927507817</v>
      </c>
      <c r="K45" s="21">
        <f>'增加值 (2001-2022, 当年价) '!K45*K$77</f>
        <v>4253.3844479133541</v>
      </c>
      <c r="L45" s="19">
        <f>'增加值 (2001-2022, 当年价) '!L45*L$77</f>
        <v>4577.4339061565579</v>
      </c>
      <c r="M45" s="20">
        <f>'增加值 (2001-2022, 当年价) '!M45*M$77</f>
        <v>4558.1419551796325</v>
      </c>
      <c r="N45" s="20">
        <f>'增加值 (2001-2022, 当年价) '!N45*N$77</f>
        <v>4537.9000657809465</v>
      </c>
      <c r="O45" s="20">
        <f>'增加值 (2001-2022, 当年价) '!O45*O$77</f>
        <v>4903.1409148629937</v>
      </c>
      <c r="P45" s="20">
        <f>'增加值 (2001-2022, 当年价) '!P45*P$77</f>
        <v>4967.9583726357478</v>
      </c>
      <c r="Q45" s="19">
        <f>'增加值 (2001-2022, 当年价) '!Q45*Q$77</f>
        <v>5003.297460133128</v>
      </c>
      <c r="R45" s="20">
        <f>'增加值 (2001-2022, 当年价) '!R45*R$77</f>
        <v>5378.3809294904404</v>
      </c>
      <c r="S45" s="20">
        <f>'增加值 (2001-2022, 当年价) '!S45*S$77</f>
        <v>5639.0741579686864</v>
      </c>
      <c r="T45" s="20">
        <f>'增加值 (2001-2022, 当年价) '!T45*T$77</f>
        <v>5839.3471629389132</v>
      </c>
      <c r="U45" s="21">
        <f>'增加值 (2001-2022, 当年价) '!U45*U$77</f>
        <v>5631.8307687185261</v>
      </c>
      <c r="V45" s="20">
        <f>'增加值 (2001-2022, 当年价) '!V45*V$77</f>
        <v>6356.3613377239653</v>
      </c>
      <c r="W45" s="20">
        <f>'增加值 (2001-2022, 当年价) '!W45*W$77</f>
        <v>6611.9630030332355</v>
      </c>
      <c r="X45" s="90">
        <f>VLOOKUP($A45,平滑数据导入!$A$1:$AN$61,COLUMN(平滑数据导入!C$1),0)</f>
        <v>6778.6311627858704</v>
      </c>
      <c r="Y45" s="90">
        <f>VLOOKUP($A45,平滑数据导入!$A$1:$AN$61,COLUMN(平滑数据导入!D$1),0)</f>
        <v>6957.1240702119067</v>
      </c>
      <c r="Z45" s="141">
        <f>VLOOKUP(A45,情景假设!$B$48:$S$88,14,0)/情景假设!O$47*Z$13</f>
        <v>7143.9988183346586</v>
      </c>
      <c r="AA45" s="89">
        <f>VLOOKUP($A45,平滑数据导入!$A$1:$AN$61,COLUMN(平滑数据导入!F$1),0)</f>
        <v>7335.4135982903426</v>
      </c>
      <c r="AB45" s="90">
        <f>VLOOKUP($A45,平滑数据导入!$A$1:$AN$61,COLUMN(平滑数据导入!G$1),0)</f>
        <v>7527.0910561226401</v>
      </c>
      <c r="AC45" s="90">
        <f>VLOOKUP($A45,平滑数据导入!$A$1:$AN$61,COLUMN(平滑数据导入!H$1),0)</f>
        <v>7714.3047358237764</v>
      </c>
      <c r="AD45" s="90">
        <f>VLOOKUP($A45,平滑数据导入!$A$1:$AN$61,COLUMN(平滑数据导入!I$1),0)</f>
        <v>7891.8931041417618</v>
      </c>
      <c r="AE45" s="133">
        <f>VLOOKUP(A45,情景假设!$B$48:$S$88,15,0)/情景假设!P$47*AE$13</f>
        <v>8054.3056305708897</v>
      </c>
      <c r="AF45" s="90">
        <f>VLOOKUP($A45,平滑数据导入!$A$1:$AN$61,COLUMN(平滑数据导入!K$1),0)</f>
        <v>8196.9025254182216</v>
      </c>
      <c r="AG45" s="90">
        <f>VLOOKUP($A45,平滑数据导入!$A$1:$AN$61,COLUMN(平滑数据导入!L$1),0)</f>
        <v>8319.869573236032</v>
      </c>
      <c r="AH45" s="90">
        <f>VLOOKUP($A45,平滑数据导入!$A$1:$AN$61,COLUMN(平滑数据导入!M$1),0)</f>
        <v>8424.8697779481881</v>
      </c>
      <c r="AI45" s="90">
        <f>VLOOKUP($A45,平滑数据导入!$A$1:$AN$61,COLUMN(平滑数据导入!N$1),0)</f>
        <v>8513.8237544958793</v>
      </c>
      <c r="AJ45" s="141">
        <f>VLOOKUP(A45,情景假设!$B$48:$S$88,16,0)/情景假设!Q$47*AJ$13</f>
        <v>8588.8643454573103</v>
      </c>
      <c r="AK45" s="89">
        <f>VLOOKUP($A45,平滑数据导入!$A$1:$AN$61,COLUMN(平滑数据导入!P$1),0)</f>
        <v>8651.9053377892596</v>
      </c>
      <c r="AL45" s="90">
        <f>VLOOKUP($A45,平滑数据导入!$A$1:$AN$61,COLUMN(平滑数据导入!Q$1),0)</f>
        <v>8703.4171608003853</v>
      </c>
      <c r="AM45" s="90">
        <f>VLOOKUP($A45,平滑数据导入!$A$1:$AN$61,COLUMN(平滑数据导入!R$1),0)</f>
        <v>8743.5422635386185</v>
      </c>
      <c r="AN45" s="90">
        <f>VLOOKUP($A45,平滑数据导入!$A$1:$AN$61,COLUMN(平滑数据导入!S$1),0)</f>
        <v>8772.4751585494923</v>
      </c>
      <c r="AO45" s="101">
        <f>VLOOKUP($A45,平滑数据导入!$A$1:$AN$61,COLUMN(平滑数据导入!T$1),0)</f>
        <v>8790.4588995823415</v>
      </c>
      <c r="AP45" s="90">
        <f>VLOOKUP($A45,平滑数据导入!$A$1:$AN$61,COLUMN(平滑数据导入!U$1),0)</f>
        <v>8797.7813186198709</v>
      </c>
      <c r="AQ45" s="90">
        <f>VLOOKUP($A45,平滑数据导入!$A$1:$AN$61,COLUMN(平滑数据导入!V$1),0)</f>
        <v>8794.7710785045219</v>
      </c>
      <c r="AR45" s="90">
        <f>VLOOKUP($A45,平滑数据导入!$A$1:$AN$61,COLUMN(平滑数据导入!W$1),0)</f>
        <v>8781.7935959471597</v>
      </c>
      <c r="AS45" s="90">
        <f>VLOOKUP($A45,平滑数据导入!$A$1:$AN$61,COLUMN(平滑数据导入!X$1),0)</f>
        <v>8759.2468874920651</v>
      </c>
      <c r="AT45" s="90">
        <f>VLOOKUP($A45,平滑数据导入!$A$1:$AN$61,COLUMN(平滑数据导入!Y$1),0)</f>
        <v>8727.5573881817218</v>
      </c>
      <c r="AU45" s="89">
        <f>VLOOKUP($A45,平滑数据导入!$A$1:$AN$61,COLUMN(平滑数据导入!Z$1),0)</f>
        <v>8687.1757893155082</v>
      </c>
      <c r="AV45" s="90">
        <f>VLOOKUP($A45,平滑数据导入!$A$1:$AN$61,COLUMN(平滑数据导入!AA$1),0)</f>
        <v>8638.5729379337954</v>
      </c>
      <c r="AW45" s="90">
        <f>VLOOKUP($A45,平滑数据导入!$A$1:$AN$61,COLUMN(平滑数据导入!AB$1),0)</f>
        <v>8582.2358365860455</v>
      </c>
      <c r="AX45" s="90">
        <f>VLOOKUP($A45,平滑数据导入!$A$1:$AN$61,COLUMN(平滑数据导入!AC$1),0)</f>
        <v>8518.6637776560365</v>
      </c>
      <c r="AY45" s="133">
        <f>VLOOKUP(A45,情景假设!$B$48:$S$88,17,0)/情景假设!R$47*AY$13</f>
        <v>8448.3646421102258</v>
      </c>
      <c r="AZ45" s="89">
        <f>VLOOKUP($A45,平滑数据导入!$A$1:$AN$61,COLUMN(平滑数据导入!AE$1),0)</f>
        <v>8371.8513880952978</v>
      </c>
      <c r="BA45" s="90">
        <f>VLOOKUP($A45,平滑数据导入!$A$1:$AN$61,COLUMN(平滑数据导入!AF$1),0)</f>
        <v>8289.6387504122467</v>
      </c>
      <c r="BB45" s="90">
        <f>VLOOKUP($A45,平滑数据导入!$A$1:$AN$61,COLUMN(平滑数据导入!AG$1),0)</f>
        <v>8202.2401676074751</v>
      </c>
      <c r="BC45" s="90">
        <f>VLOOKUP($A45,平滑数据导入!$A$1:$AN$61,COLUMN(平滑数据导入!AH$1),0)</f>
        <v>8110.1649493042287</v>
      </c>
      <c r="BD45" s="101">
        <f>VLOOKUP($A45,平滑数据导入!$A$1:$AN$61,COLUMN(平滑数据导入!AI$1),0)</f>
        <v>8013.9156925011775</v>
      </c>
      <c r="BE45" s="90">
        <f>VLOOKUP($A45,平滑数据导入!$A$1:$AN$61,COLUMN(平滑数据导入!AJ$1),0)</f>
        <v>7913.9859519279262</v>
      </c>
      <c r="BF45" s="90">
        <f>VLOOKUP($A45,平滑数据导入!$A$1:$AN$61,COLUMN(平滑数据导入!AK$1),0)</f>
        <v>7810.8581662023362</v>
      </c>
      <c r="BG45" s="90">
        <f>VLOOKUP($A45,平滑数据导入!$A$1:$AN$61,COLUMN(平滑数据导入!AL$1),0)</f>
        <v>7705.0018385034018</v>
      </c>
      <c r="BH45" s="90">
        <f>VLOOKUP($A45,平滑数据导入!$A$1:$AN$61,COLUMN(平滑数据导入!AM$1),0)</f>
        <v>7596.8719677704466</v>
      </c>
      <c r="BI45" s="133">
        <f>VLOOKUP(A45,情景假设!$B$48:$S$88,18,0)/情景假设!S$47*BI$13</f>
        <v>7486.9077240716542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(2001-2022, 当年价) '!I46*I$77</f>
        <v>8838.8458981359108</v>
      </c>
      <c r="J46" s="20">
        <f>'增加值 (2001-2022, 当年价) '!J46*J$77</f>
        <v>9384.156595166769</v>
      </c>
      <c r="K46" s="21">
        <f>'增加值 (2001-2022, 当年价) '!K46*K$77</f>
        <v>10817.240653312754</v>
      </c>
      <c r="L46" s="19">
        <f>'增加值 (2001-2022, 当年价) '!L46*L$77</f>
        <v>11901.217689061259</v>
      </c>
      <c r="M46" s="20">
        <f>'增加值 (2001-2022, 当年价) '!M46*M$77</f>
        <v>12428.8831864778</v>
      </c>
      <c r="N46" s="20">
        <f>'增加值 (2001-2022, 当年价) '!N46*N$77</f>
        <v>13093.912999248869</v>
      </c>
      <c r="O46" s="20">
        <f>'增加值 (2001-2022, 当年价) '!O46*O$77</f>
        <v>13733.533913610911</v>
      </c>
      <c r="P46" s="20">
        <f>'增加值 (2001-2022, 当年价) '!P46*P$77</f>
        <v>13980.230978733629</v>
      </c>
      <c r="Q46" s="19">
        <f>'增加值 (2001-2022, 当年价) '!Q46*Q$77</f>
        <v>14802.762226490715</v>
      </c>
      <c r="R46" s="20">
        <f>'增加值 (2001-2022, 当年价) '!R46*R$77</f>
        <v>16571.758972982709</v>
      </c>
      <c r="S46" s="20">
        <f>'增加值 (2001-2022, 当年价) '!S46*S$77</f>
        <v>17705.011225836581</v>
      </c>
      <c r="T46" s="20">
        <f>'增加值 (2001-2022, 当年价) '!T46*T$77</f>
        <v>18897.138056727734</v>
      </c>
      <c r="U46" s="21">
        <f>'增加值 (2001-2022, 当年价) '!U46*U$77</f>
        <v>19907.377761640477</v>
      </c>
      <c r="V46" s="20">
        <f>'增加值 (2001-2022, 当年价) '!V46*V$77</f>
        <v>24209.543450590434</v>
      </c>
      <c r="W46" s="20">
        <f>'增加值 (2001-2022, 当年价) '!W46*W$77</f>
        <v>27519.375031440293</v>
      </c>
      <c r="X46" s="90">
        <f>VLOOKUP($A46,平滑数据导入!$A$1:$AN$61,COLUMN(平滑数据导入!C$1),0)</f>
        <v>29679.362258587451</v>
      </c>
      <c r="Y46" s="90">
        <f>VLOOKUP($A46,平滑数据导入!$A$1:$AN$61,COLUMN(平滑数据导入!D$1),0)</f>
        <v>31991.989126133831</v>
      </c>
      <c r="Z46" s="141">
        <f>VLOOKUP(A46,情景假设!$B$48:$S$88,14,0)/情景假设!O$47*Z$13</f>
        <v>34449.964911793322</v>
      </c>
      <c r="AA46" s="89">
        <f>VLOOKUP($A46,平滑数据导入!$A$1:$AN$61,COLUMN(平滑数据导入!F$1),0)</f>
        <v>37041.397773413017</v>
      </c>
      <c r="AB46" s="90">
        <f>VLOOKUP($A46,平滑数据导入!$A$1:$AN$61,COLUMN(平滑数据导入!G$1),0)</f>
        <v>39749.088336083158</v>
      </c>
      <c r="AC46" s="90">
        <f>VLOOKUP($A46,平滑数据导入!$A$1:$AN$61,COLUMN(平滑数据导入!H$1),0)</f>
        <v>42549.884139605252</v>
      </c>
      <c r="AD46" s="90">
        <f>VLOOKUP($A46,平滑数据导入!$A$1:$AN$61,COLUMN(平滑数据导入!I$1),0)</f>
        <v>45414.148514039967</v>
      </c>
      <c r="AE46" s="133">
        <f>VLOOKUP(A46,情景假设!$B$48:$S$88,15,0)/情景假设!P$47*AE$13</f>
        <v>48305.405823362693</v>
      </c>
      <c r="AF46" s="90">
        <f>VLOOKUP($A46,平滑数据导入!$A$1:$AN$61,COLUMN(平滑数据导入!K$1),0)</f>
        <v>51186.125244258787</v>
      </c>
      <c r="AG46" s="90">
        <f>VLOOKUP($A46,平滑数据导入!$A$1:$AN$61,COLUMN(平滑数据导入!L$1),0)</f>
        <v>54038.214446594247</v>
      </c>
      <c r="AH46" s="90">
        <f>VLOOKUP($A46,平滑数据导入!$A$1:$AN$61,COLUMN(平滑数据导入!M$1),0)</f>
        <v>56850.22803095197</v>
      </c>
      <c r="AI46" s="90">
        <f>VLOOKUP($A46,平滑数据导入!$A$1:$AN$61,COLUMN(平滑数据导入!N$1),0)</f>
        <v>59612.342265863488</v>
      </c>
      <c r="AJ46" s="141">
        <f>VLOOKUP(A46,情景假设!$B$48:$S$88,16,0)/情景假设!Q$47*AJ$13</f>
        <v>62316.519033306409</v>
      </c>
      <c r="AK46" s="89">
        <f>VLOOKUP($A46,平滑数据导入!$A$1:$AN$61,COLUMN(平滑数据导入!P$1),0)</f>
        <v>64955.620314447609</v>
      </c>
      <c r="AL46" s="90">
        <f>VLOOKUP($A46,平滑数据导入!$A$1:$AN$61,COLUMN(平滑数据导入!Q$1),0)</f>
        <v>67520.146796731511</v>
      </c>
      <c r="AM46" s="90">
        <f>VLOOKUP($A46,平滑数据导入!$A$1:$AN$61,COLUMN(平滑数据导入!R$1),0)</f>
        <v>70000.785980902539</v>
      </c>
      <c r="AN46" s="90">
        <f>VLOOKUP($A46,平滑数据导入!$A$1:$AN$61,COLUMN(平滑数据导入!S$1),0)</f>
        <v>72389.428987856983</v>
      </c>
      <c r="AO46" s="101">
        <f>VLOOKUP($A46,平滑数据导入!$A$1:$AN$61,COLUMN(平滑数据导入!T$1),0)</f>
        <v>74679.238718936394</v>
      </c>
      <c r="AP46" s="90">
        <f>VLOOKUP($A46,平滑数据导入!$A$1:$AN$61,COLUMN(平滑数据导入!U$1),0)</f>
        <v>76864.695427868501</v>
      </c>
      <c r="AQ46" s="90">
        <f>VLOOKUP($A46,平滑数据导入!$A$1:$AN$61,COLUMN(平滑数据导入!V$1),0)</f>
        <v>78941.620498146585</v>
      </c>
      <c r="AR46" s="90">
        <f>VLOOKUP($A46,平滑数据导入!$A$1:$AN$61,COLUMN(平滑数据导入!W$1),0)</f>
        <v>80907.179703947011</v>
      </c>
      <c r="AS46" s="90">
        <f>VLOOKUP($A46,平滑数据导入!$A$1:$AN$61,COLUMN(平滑数据导入!X$1),0)</f>
        <v>82759.867639443255</v>
      </c>
      <c r="AT46" s="90">
        <f>VLOOKUP($A46,平滑数据导入!$A$1:$AN$61,COLUMN(平滑数据导入!Y$1),0)</f>
        <v>84499.475325876891</v>
      </c>
      <c r="AU46" s="89">
        <f>VLOOKUP($A46,平滑数据导入!$A$1:$AN$61,COLUMN(平滑数据导入!Z$1),0)</f>
        <v>86127.043246826899</v>
      </c>
      <c r="AV46" s="90">
        <f>VLOOKUP($A46,平滑数据导入!$A$1:$AN$61,COLUMN(平滑数据导入!AA$1),0)</f>
        <v>87644.802221903679</v>
      </c>
      <c r="AW46" s="90">
        <f>VLOOKUP($A46,平滑数据导入!$A$1:$AN$61,COLUMN(平滑数据导入!AB$1),0)</f>
        <v>89056.104612440584</v>
      </c>
      <c r="AX46" s="90">
        <f>VLOOKUP($A46,平滑数据导入!$A$1:$AN$61,COLUMN(平滑数据导入!AC$1),0)</f>
        <v>90365.348366734528</v>
      </c>
      <c r="AY46" s="133">
        <f>VLOOKUP(A46,情景假设!$B$48:$S$88,17,0)/情景假设!R$47*AY$13</f>
        <v>91577.896365716544</v>
      </c>
      <c r="AZ46" s="89">
        <f>VLOOKUP($A46,平滑数据导入!$A$1:$AN$61,COLUMN(平滑数据导入!AE$1),0)</f>
        <v>92699.993432456002</v>
      </c>
      <c r="BA46" s="90">
        <f>VLOOKUP($A46,平滑数据导入!$A$1:$AN$61,COLUMN(平滑数据导入!AF$1),0)</f>
        <v>93738.683231058516</v>
      </c>
      <c r="BB46" s="90">
        <f>VLOOKUP($A46,平滑数据导入!$A$1:$AN$61,COLUMN(平滑数据导入!AG$1),0)</f>
        <v>94701.727112906068</v>
      </c>
      <c r="BC46" s="90">
        <f>VLOOKUP($A46,平滑数据导入!$A$1:$AN$61,COLUMN(平滑数据导入!AH$1),0)</f>
        <v>95597.526781153196</v>
      </c>
      <c r="BD46" s="101">
        <f>VLOOKUP($A46,平滑数据导入!$A$1:$AN$61,COLUMN(平滑数据导入!AI$1),0)</f>
        <v>96435.052447799317</v>
      </c>
      <c r="BE46" s="90">
        <f>VLOOKUP($A46,平滑数据导入!$A$1:$AN$61,COLUMN(平滑数据导入!AJ$1),0)</f>
        <v>97223.777960540086</v>
      </c>
      <c r="BF46" s="90">
        <f>VLOOKUP($A46,平滑数据导入!$A$1:$AN$61,COLUMN(平滑数据导入!AK$1),0)</f>
        <v>97973.624187168607</v>
      </c>
      <c r="BG46" s="90">
        <f>VLOOKUP($A46,平滑数据导入!$A$1:$AN$61,COLUMN(平滑数据导入!AL$1),0)</f>
        <v>98694.911770708248</v>
      </c>
      <c r="BH46" s="90">
        <f>VLOOKUP($A46,平滑数据导入!$A$1:$AN$61,COLUMN(平滑数据导入!AM$1),0)</f>
        <v>99398.324214952401</v>
      </c>
      <c r="BI46" s="133">
        <f>VLOOKUP(A46,情景假设!$B$48:$S$88,18,0)/情景假设!S$47*BI$13</f>
        <v>100094.88213295194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(2001-2022, 当年价) '!I47*I$77</f>
        <v>12389.44931527424</v>
      </c>
      <c r="J47" s="20">
        <f>'增加值 (2001-2022, 当年价) '!J47*J$77</f>
        <v>12366.933798334967</v>
      </c>
      <c r="K47" s="21">
        <f>'增加值 (2001-2022, 当年价) '!K47*K$77</f>
        <v>14039.352340459805</v>
      </c>
      <c r="L47" s="19">
        <f>'增加值 (2001-2022, 当年价) '!L47*L$77</f>
        <v>15635.073609400111</v>
      </c>
      <c r="M47" s="20">
        <f>'增加值 (2001-2022, 当年价) '!M47*M$77</f>
        <v>16685.515258118838</v>
      </c>
      <c r="N47" s="20">
        <f>'增加值 (2001-2022, 当年价) '!N47*N$77</f>
        <v>17641.706205868722</v>
      </c>
      <c r="O47" s="20">
        <f>'增加值 (2001-2022, 当年价) '!O47*O$77</f>
        <v>18977.06187241953</v>
      </c>
      <c r="P47" s="20">
        <f>'增加值 (2001-2022, 当年价) '!P47*P$77</f>
        <v>19894.066811321558</v>
      </c>
      <c r="Q47" s="19">
        <f>'增加值 (2001-2022, 当年价) '!Q47*Q$77</f>
        <v>21355.755278544293</v>
      </c>
      <c r="R47" s="20">
        <f>'增加值 (2001-2022, 当年价) '!R47*R$77</f>
        <v>24599.592644385197</v>
      </c>
      <c r="S47" s="20">
        <f>'增加值 (2001-2022, 当年价) '!S47*S$77</f>
        <v>27702.463848883261</v>
      </c>
      <c r="T47" s="20">
        <f>'增加值 (2001-2022, 当年价) '!T47*T$77</f>
        <v>29193.809335406564</v>
      </c>
      <c r="U47" s="21">
        <f>'增加值 (2001-2022, 当年价) '!U47*U$77</f>
        <v>30415.615726595752</v>
      </c>
      <c r="V47" s="20">
        <f>'增加值 (2001-2022, 当年价) '!V47*V$77</f>
        <v>36640.354816724648</v>
      </c>
      <c r="W47" s="20">
        <f>'增加值 (2001-2022, 当年价) '!W47*W$77</f>
        <v>40049.197919647981</v>
      </c>
      <c r="X47" s="90">
        <f>VLOOKUP($A47,平滑数据导入!$A$1:$AN$61,COLUMN(平滑数据导入!C$1),0)</f>
        <v>43584.733033449971</v>
      </c>
      <c r="Y47" s="90">
        <f>VLOOKUP($A47,平滑数据导入!$A$1:$AN$61,COLUMN(平滑数据导入!D$1),0)</f>
        <v>47256.243701708619</v>
      </c>
      <c r="Z47" s="141">
        <f>VLOOKUP(A47,情景假设!$B$48:$S$88,14,0)/情景假设!O$47*Z$13</f>
        <v>51058.566822290319</v>
      </c>
      <c r="AA47" s="89">
        <f>VLOOKUP($A47,平滑数据导入!$A$1:$AN$61,COLUMN(平滑数据导入!F$1),0)</f>
        <v>54987.380863815742</v>
      </c>
      <c r="AB47" s="90">
        <f>VLOOKUP($A47,平滑数据导入!$A$1:$AN$61,COLUMN(平滑数据导入!G$1),0)</f>
        <v>59039.5194991108</v>
      </c>
      <c r="AC47" s="90">
        <f>VLOOKUP($A47,平滑数据导入!$A$1:$AN$61,COLUMN(平滑数据导入!H$1),0)</f>
        <v>63213.28160138971</v>
      </c>
      <c r="AD47" s="90">
        <f>VLOOKUP($A47,平滑数据导入!$A$1:$AN$61,COLUMN(平滑数据导入!I$1),0)</f>
        <v>67508.735962341554</v>
      </c>
      <c r="AE47" s="133">
        <f>VLOOKUP(A47,情景假设!$B$48:$S$88,15,0)/情景假设!P$47*AE$13</f>
        <v>71928.02062401791</v>
      </c>
      <c r="AF47" s="90">
        <f>VLOOKUP($A47,平滑数据导入!$A$1:$AN$61,COLUMN(平滑数据导入!K$1),0)</f>
        <v>76472.173576888206</v>
      </c>
      <c r="AG47" s="90">
        <f>VLOOKUP($A47,平滑数据导入!$A$1:$AN$61,COLUMN(平滑数据导入!L$1),0)</f>
        <v>81129.340547345564</v>
      </c>
      <c r="AH47" s="90">
        <f>VLOOKUP($A47,平滑数据导入!$A$1:$AN$61,COLUMN(平滑数据导入!M$1),0)</f>
        <v>85882.35828161164</v>
      </c>
      <c r="AI47" s="90">
        <f>VLOOKUP($A47,平滑数据导入!$A$1:$AN$61,COLUMN(平滑数据导入!N$1),0)</f>
        <v>90711.802913557709</v>
      </c>
      <c r="AJ47" s="141">
        <f>VLOOKUP(A47,情景假设!$B$48:$S$88,16,0)/情景假设!Q$47*AJ$13</f>
        <v>95596.01208488144</v>
      </c>
      <c r="AK47" s="89">
        <f>VLOOKUP($A47,平滑数据导入!$A$1:$AN$61,COLUMN(平滑数据导入!P$1),0)</f>
        <v>100513.0349671017</v>
      </c>
      <c r="AL47" s="90">
        <f>VLOOKUP($A47,平滑数据导入!$A$1:$AN$61,COLUMN(平滑数据导入!Q$1),0)</f>
        <v>105447.147428599</v>
      </c>
      <c r="AM47" s="90">
        <f>VLOOKUP($A47,平滑数据导入!$A$1:$AN$61,COLUMN(平滑数据导入!R$1),0)</f>
        <v>110384.6038303473</v>
      </c>
      <c r="AN47" s="90">
        <f>VLOOKUP($A47,平滑数据导入!$A$1:$AN$61,COLUMN(平滑数据导入!S$1),0)</f>
        <v>115312.0705243562</v>
      </c>
      <c r="AO47" s="101">
        <f>VLOOKUP($A47,平滑数据导入!$A$1:$AN$61,COLUMN(平滑数据导入!T$1),0)</f>
        <v>120216.75957101359</v>
      </c>
      <c r="AP47" s="90">
        <f>VLOOKUP($A47,平滑数据导入!$A$1:$AN$61,COLUMN(平滑数据导入!U$1),0)</f>
        <v>125086.5531364936</v>
      </c>
      <c r="AQ47" s="90">
        <f>VLOOKUP($A47,平滑数据导入!$A$1:$AN$61,COLUMN(平滑数据导入!V$1),0)</f>
        <v>129910.1172602005</v>
      </c>
      <c r="AR47" s="90">
        <f>VLOOKUP($A47,平滑数据导入!$A$1:$AN$61,COLUMN(平滑数据导入!W$1),0)</f>
        <v>134677.00396192231</v>
      </c>
      <c r="AS47" s="90">
        <f>VLOOKUP($A47,平滑数据导入!$A$1:$AN$61,COLUMN(平滑数据导入!X$1),0)</f>
        <v>139377.74094378811</v>
      </c>
      <c r="AT47" s="90">
        <f>VLOOKUP($A47,平滑数据导入!$A$1:$AN$61,COLUMN(平滑数据导入!Y$1),0)</f>
        <v>144003.9084260074</v>
      </c>
      <c r="AU47" s="89">
        <f>VLOOKUP($A47,平滑数据导入!$A$1:$AN$61,COLUMN(平滑数据导入!Z$1),0)</f>
        <v>148548.2029312379</v>
      </c>
      <c r="AV47" s="90">
        <f>VLOOKUP($A47,平滑数据导入!$A$1:$AN$61,COLUMN(平滑数据导入!AA$1),0)</f>
        <v>153004.48809454939</v>
      </c>
      <c r="AW47" s="90">
        <f>VLOOKUP($A47,平滑数据导入!$A$1:$AN$61,COLUMN(平滑数据导入!AB$1),0)</f>
        <v>157367.83281956159</v>
      </c>
      <c r="AX47" s="90">
        <f>VLOOKUP($A47,平滑数据导入!$A$1:$AN$61,COLUMN(平滑数据导入!AC$1),0)</f>
        <v>161634.53732260599</v>
      </c>
      <c r="AY47" s="133">
        <f>VLOOKUP(A47,情景假设!$B$48:$S$88,17,0)/情景假设!R$47*AY$13</f>
        <v>165802.1478029328</v>
      </c>
      <c r="AZ47" s="89">
        <f>VLOOKUP($A47,平滑数据导入!$A$1:$AN$61,COLUMN(平滑数据导入!AE$1),0)</f>
        <v>169869.46064620739</v>
      </c>
      <c r="BA47" s="90">
        <f>VLOOKUP($A47,平滑数据导入!$A$1:$AN$61,COLUMN(平滑数据导入!AF$1),0)</f>
        <v>173836.5172100153</v>
      </c>
      <c r="BB47" s="90">
        <f>VLOOKUP($A47,平滑数据导入!$A$1:$AN$61,COLUMN(平滑数据导入!AG$1),0)</f>
        <v>177704.59035377379</v>
      </c>
      <c r="BC47" s="90">
        <f>VLOOKUP($A47,平滑数据导入!$A$1:$AN$61,COLUMN(平滑数据导入!AH$1),0)</f>
        <v>181476.16396222729</v>
      </c>
      <c r="BD47" s="101">
        <f>VLOOKUP($A47,平滑数据导入!$A$1:$AN$61,COLUMN(平滑数据导入!AI$1),0)</f>
        <v>185154.9067730259</v>
      </c>
      <c r="BE47" s="90">
        <f>VLOOKUP($A47,平滑数据导入!$A$1:$AN$61,COLUMN(平滑数据导入!AJ$1),0)</f>
        <v>188745.6418569102</v>
      </c>
      <c r="BF47" s="90">
        <f>VLOOKUP($A47,平滑数据导入!$A$1:$AN$61,COLUMN(平滑数据导入!AK$1),0)</f>
        <v>192254.31311627419</v>
      </c>
      <c r="BG47" s="90">
        <f>VLOOKUP($A47,平滑数据导入!$A$1:$AN$61,COLUMN(平滑数据导入!AL$1),0)</f>
        <v>195687.95016733321</v>
      </c>
      <c r="BH47" s="90">
        <f>VLOOKUP($A47,平滑数据导入!$A$1:$AN$61,COLUMN(平滑数据导入!AM$1),0)</f>
        <v>199054.63295598101</v>
      </c>
      <c r="BI47" s="133">
        <f>VLOOKUP(A47,情景假设!$B$48:$S$88,18,0)/情景假设!S$47*BI$13</f>
        <v>202363.45743106428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(2001-2022, 当年价) '!I48*I$77</f>
        <v>1270.0793844876139</v>
      </c>
      <c r="J48" s="20">
        <f>'增加值 (2001-2022, 当年价) '!J48*J$77</f>
        <v>1228.0405287348781</v>
      </c>
      <c r="K48" s="21">
        <f>'增加值 (2001-2022, 当年价) '!K48*K$77</f>
        <v>1426.3115727722129</v>
      </c>
      <c r="L48" s="19">
        <f>'增加值 (2001-2022, 当年价) '!L48*L$77</f>
        <v>1593.909068268578</v>
      </c>
      <c r="M48" s="20">
        <f>'增加值 (2001-2022, 当年价) '!M48*M$77</f>
        <v>1708.5827273955535</v>
      </c>
      <c r="N48" s="20">
        <f>'增加值 (2001-2022, 当年价) '!N48*N$77</f>
        <v>1811.3651372659692</v>
      </c>
      <c r="O48" s="20">
        <f>'增加值 (2001-2022, 当年价) '!O48*O$77</f>
        <v>1899.8480090712155</v>
      </c>
      <c r="P48" s="20">
        <f>'增加值 (2001-2022, 当年价) '!P48*P$77</f>
        <v>1899.7295995723066</v>
      </c>
      <c r="Q48" s="19">
        <f>'增加值 (2001-2022, 当年价) '!Q48*Q$77</f>
        <v>2028.186042724089</v>
      </c>
      <c r="R48" s="20">
        <f>'增加值 (2001-2022, 当年价) '!R48*R$77</f>
        <v>2309.5694704099037</v>
      </c>
      <c r="S48" s="20">
        <f>'增加值 (2001-2022, 当年价) '!S48*S$77</f>
        <v>2442.2123507432102</v>
      </c>
      <c r="T48" s="20">
        <f>'增加值 (2001-2022, 当年价) '!T48*T$77</f>
        <v>2601.9437875043291</v>
      </c>
      <c r="U48" s="21">
        <f>'增加值 (2001-2022, 当年价) '!U48*U$77</f>
        <v>2602.606982377547</v>
      </c>
      <c r="V48" s="20">
        <f>'增加值 (2001-2022, 当年价) '!V48*V$77</f>
        <v>3034.983345987991</v>
      </c>
      <c r="W48" s="20">
        <f>'增加值 (2001-2022, 当年价) '!W48*W$77</f>
        <v>3224.8526645654251</v>
      </c>
      <c r="X48" s="90">
        <f>VLOOKUP($A48,平滑数据导入!$A$1:$AN$61,COLUMN(平滑数据导入!C$1),0)</f>
        <v>3417.8876966780549</v>
      </c>
      <c r="Y48" s="90">
        <f>VLOOKUP($A48,平滑数据导入!$A$1:$AN$61,COLUMN(平滑数据导入!D$1),0)</f>
        <v>3614.733268225119</v>
      </c>
      <c r="Z48" s="141">
        <f>VLOOKUP(A48,情景假设!$B$48:$S$88,14,0)/情景假设!O$47*Z$13</f>
        <v>3814.7523859894404</v>
      </c>
      <c r="AA48" s="89">
        <f>VLOOKUP($A48,平滑数据导入!$A$1:$AN$61,COLUMN(平滑数据导入!F$1),0)</f>
        <v>4017.252724213512</v>
      </c>
      <c r="AB48" s="90">
        <f>VLOOKUP($A48,平滑数据导入!$A$1:$AN$61,COLUMN(平滑数据导入!G$1),0)</f>
        <v>4221.4896766476677</v>
      </c>
      <c r="AC48" s="90">
        <f>VLOOKUP($A48,平滑数据导入!$A$1:$AN$61,COLUMN(平滑数据导入!H$1),0)</f>
        <v>4426.6701277249249</v>
      </c>
      <c r="AD48" s="90">
        <f>VLOOKUP($A48,平滑数据导入!$A$1:$AN$61,COLUMN(平滑数据导入!I$1),0)</f>
        <v>4631.9569296472673</v>
      </c>
      <c r="AE48" s="133">
        <f>VLOOKUP(A48,情景假设!$B$48:$S$88,15,0)/情景假设!P$47*AE$13</f>
        <v>4836.4740609200499</v>
      </c>
      <c r="AF48" s="90">
        <f>VLOOKUP($A48,平滑数据导入!$A$1:$AN$61,COLUMN(平滑数据导入!K$1),0)</f>
        <v>5039.370044998941</v>
      </c>
      <c r="AG48" s="90">
        <f>VLOOKUP($A48,平滑数据导入!$A$1:$AN$61,COLUMN(平滑数据导入!L$1),0)</f>
        <v>5240.0155289431177</v>
      </c>
      <c r="AH48" s="90">
        <f>VLOOKUP($A48,平滑数据导入!$A$1:$AN$61,COLUMN(平滑数据导入!M$1),0)</f>
        <v>5437.8684832406116</v>
      </c>
      <c r="AI48" s="90">
        <f>VLOOKUP($A48,平滑数据导入!$A$1:$AN$61,COLUMN(平滑数据导入!N$1),0)</f>
        <v>5632.4259750308902</v>
      </c>
      <c r="AJ48" s="141">
        <f>VLOOKUP(A48,情景假设!$B$48:$S$88,16,0)/情景假设!Q$47*AJ$13</f>
        <v>5823.2283101708726</v>
      </c>
      <c r="AK48" s="89">
        <f>VLOOKUP($A48,平滑数据导入!$A$1:$AN$61,COLUMN(平滑数据导入!P$1),0)</f>
        <v>6009.8397706906371</v>
      </c>
      <c r="AL48" s="90">
        <f>VLOOKUP($A48,平滑数据导入!$A$1:$AN$61,COLUMN(平滑数据导入!Q$1),0)</f>
        <v>6191.7776219961452</v>
      </c>
      <c r="AM48" s="90">
        <f>VLOOKUP($A48,平滑数据导入!$A$1:$AN$61,COLUMN(平滑数据导入!R$1),0)</f>
        <v>6368.573600360829</v>
      </c>
      <c r="AN48" s="90">
        <f>VLOOKUP($A48,平滑数据导入!$A$1:$AN$61,COLUMN(平滑数据导入!S$1),0)</f>
        <v>6539.7981358791139</v>
      </c>
      <c r="AO48" s="101">
        <f>VLOOKUP($A48,平滑数据导入!$A$1:$AN$61,COLUMN(平滑数据导入!T$1),0)</f>
        <v>6705.0627538409117</v>
      </c>
      <c r="AP48" s="90">
        <f>VLOOKUP($A48,平滑数据导入!$A$1:$AN$61,COLUMN(平滑数据导入!U$1),0)</f>
        <v>6864.0220052926979</v>
      </c>
      <c r="AQ48" s="90">
        <f>VLOOKUP($A48,平滑数据导入!$A$1:$AN$61,COLUMN(平滑数据导入!V$1),0)</f>
        <v>7016.3749261542216</v>
      </c>
      <c r="AR48" s="90">
        <f>VLOOKUP($A48,平滑数据导入!$A$1:$AN$61,COLUMN(平滑数据导入!W$1),0)</f>
        <v>7161.8660312370403</v>
      </c>
      <c r="AS48" s="90">
        <f>VLOOKUP($A48,平滑数据导入!$A$1:$AN$61,COLUMN(平滑数据导入!X$1),0)</f>
        <v>7300.2858559452015</v>
      </c>
      <c r="AT48" s="90">
        <f>VLOOKUP($A48,平滑数据导入!$A$1:$AN$61,COLUMN(平滑数据导入!Y$1),0)</f>
        <v>7431.4710642462715</v>
      </c>
      <c r="AU48" s="89">
        <f>VLOOKUP($A48,平滑数据导入!$A$1:$AN$61,COLUMN(平滑数据导入!Z$1),0)</f>
        <v>7555.3041466161831</v>
      </c>
      <c r="AV48" s="90">
        <f>VLOOKUP($A48,平滑数据导入!$A$1:$AN$61,COLUMN(平滑数据导入!AA$1),0)</f>
        <v>7671.7127360391096</v>
      </c>
      <c r="AW48" s="90">
        <f>VLOOKUP($A48,平滑数据导入!$A$1:$AN$61,COLUMN(平滑数据导入!AB$1),0)</f>
        <v>7780.6685737616463</v>
      </c>
      <c r="AX48" s="90">
        <f>VLOOKUP($A48,平滑数据导入!$A$1:$AN$61,COLUMN(平滑数据导入!AC$1),0)</f>
        <v>7882.1861593493159</v>
      </c>
      <c r="AY48" s="133">
        <f>VLOOKUP(A48,情景假设!$B$48:$S$88,17,0)/情景假设!R$47*AY$13</f>
        <v>7976.3211216886748</v>
      </c>
      <c r="AZ48" s="89">
        <f>VLOOKUP($A48,平滑数据导入!$A$1:$AN$61,COLUMN(平滑数据导入!AE$1),0)</f>
        <v>8063.168348942223</v>
      </c>
      <c r="BA48" s="90">
        <f>VLOOKUP($A48,平滑数据导入!$A$1:$AN$61,COLUMN(平滑数据导入!AF$1),0)</f>
        <v>8142.8599161389584</v>
      </c>
      <c r="BB48" s="90">
        <f>VLOOKUP($A48,平滑数据导入!$A$1:$AN$61,COLUMN(平滑数据导入!AG$1),0)</f>
        <v>8215.5628491183106</v>
      </c>
      <c r="BC48" s="90">
        <f>VLOOKUP($A48,平滑数据导入!$A$1:$AN$61,COLUMN(平滑数据导入!AH$1),0)</f>
        <v>8281.4767630010647</v>
      </c>
      <c r="BD48" s="101">
        <f>VLOOKUP($A48,平滑数据导入!$A$1:$AN$61,COLUMN(平滑数据导入!AI$1),0)</f>
        <v>8340.8314123007058</v>
      </c>
      <c r="BE48" s="90">
        <f>VLOOKUP($A48,平滑数据导入!$A$1:$AN$61,COLUMN(平滑数据导入!AJ$1),0)</f>
        <v>8393.8841882844536</v>
      </c>
      <c r="BF48" s="90">
        <f>VLOOKUP($A48,平滑数据导入!$A$1:$AN$61,COLUMN(平滑数据导入!AK$1),0)</f>
        <v>8440.9175973142865</v>
      </c>
      <c r="BG48" s="90">
        <f>VLOOKUP($A48,平滑数据导入!$A$1:$AN$61,COLUMN(平滑数据导入!AL$1),0)</f>
        <v>8482.2367517207749</v>
      </c>
      <c r="BH48" s="90">
        <f>VLOOKUP($A48,平滑数据导入!$A$1:$AN$61,COLUMN(平滑数据导入!AM$1),0)</f>
        <v>8518.1669023527411</v>
      </c>
      <c r="BI48" s="133">
        <f>VLOOKUP(A48,情景假设!$B$48:$S$88,18,0)/情景假设!S$47*BI$13</f>
        <v>8549.0510393777149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(2001-2022, 当年价) '!I49*I$77</f>
        <v>531.34866320463868</v>
      </c>
      <c r="J49" s="20">
        <f>'增加值 (2001-2022, 当年价) '!J49*J$77</f>
        <v>533.40516151922805</v>
      </c>
      <c r="K49" s="21">
        <f>'增加值 (2001-2022, 当年价) '!K49*K$77</f>
        <v>607.09317693241007</v>
      </c>
      <c r="L49" s="19">
        <f>'增加值 (2001-2022, 当年价) '!L49*L$77</f>
        <v>691.26269950561482</v>
      </c>
      <c r="M49" s="20">
        <f>'增加值 (2001-2022, 当年价) '!M49*M$77</f>
        <v>704.14318496130761</v>
      </c>
      <c r="N49" s="20">
        <f>'增加值 (2001-2022, 当年价) '!N49*N$77</f>
        <v>684.29349662864342</v>
      </c>
      <c r="O49" s="20">
        <f>'增加值 (2001-2022, 当年价) '!O49*O$77</f>
        <v>690.16619562307301</v>
      </c>
      <c r="P49" s="20">
        <f>'增加值 (2001-2022, 当年价) '!P49*P$77</f>
        <v>694.70654126146223</v>
      </c>
      <c r="Q49" s="19">
        <f>'增加值 (2001-2022, 当年价) '!Q49*Q$77</f>
        <v>714.56325097556112</v>
      </c>
      <c r="R49" s="20">
        <f>'增加值 (2001-2022, 当年价) '!R49*R$77</f>
        <v>765.96223072374698</v>
      </c>
      <c r="S49" s="20">
        <f>'增加值 (2001-2022, 当年价) '!S49*S$77</f>
        <v>787.83551251096753</v>
      </c>
      <c r="T49" s="20">
        <f>'增加值 (2001-2022, 当年价) '!T49*T$77</f>
        <v>780.11423979679637</v>
      </c>
      <c r="U49" s="21">
        <f>'增加值 (2001-2022, 当年价) '!U49*U$77</f>
        <v>726.7325868770115</v>
      </c>
      <c r="V49" s="20">
        <f>'增加值 (2001-2022, 当年价) '!V49*V$77</f>
        <v>826.27948832290463</v>
      </c>
      <c r="W49" s="20">
        <f>'增加值 (2001-2022, 当年价) '!W49*W$77</f>
        <v>907.3493796355416</v>
      </c>
      <c r="X49" s="90">
        <f>VLOOKUP($A49,平滑数据导入!$A$1:$AN$61,COLUMN(平滑数据导入!C$1),0)</f>
        <v>935.35586454621773</v>
      </c>
      <c r="Y49" s="90">
        <f>VLOOKUP($A49,平滑数据导入!$A$1:$AN$61,COLUMN(平滑数据导入!D$1),0)</f>
        <v>962.45089747879183</v>
      </c>
      <c r="Z49" s="141">
        <f>VLOOKUP(A49,情景假设!$B$48:$S$88,14,0)/情景假设!O$47*Z$13</f>
        <v>988.34278432375777</v>
      </c>
      <c r="AA49" s="89">
        <f>VLOOKUP($A49,平滑数据导入!$A$1:$AN$61,COLUMN(平滑数据导入!F$1),0)</f>
        <v>1012.725721279416</v>
      </c>
      <c r="AB49" s="90">
        <f>VLOOKUP($A49,平滑数据导入!$A$1:$AN$61,COLUMN(平滑数据导入!G$1),0)</f>
        <v>1035.2833741170109</v>
      </c>
      <c r="AC49" s="90">
        <f>VLOOKUP($A49,平滑数据导入!$A$1:$AN$61,COLUMN(平滑数据导入!H$1),0)</f>
        <v>1055.693185498764</v>
      </c>
      <c r="AD49" s="90">
        <f>VLOOKUP($A49,平滑数据导入!$A$1:$AN$61,COLUMN(平滑数据导入!I$1),0)</f>
        <v>1073.6313899882091</v>
      </c>
      <c r="AE49" s="133">
        <f>VLOOKUP(A49,情景假设!$B$48:$S$88,15,0)/情景假设!P$47*AE$13</f>
        <v>1088.7786878627521</v>
      </c>
      <c r="AF49" s="90">
        <f>VLOOKUP($A49,平滑数据导入!$A$1:$AN$61,COLUMN(平滑数据导入!K$1),0)</f>
        <v>1100.9358473960151</v>
      </c>
      <c r="AG49" s="90">
        <f>VLOOKUP($A49,平滑数据导入!$A$1:$AN$61,COLUMN(平滑数据导入!L$1),0)</f>
        <v>1110.365658334772</v>
      </c>
      <c r="AH49" s="90">
        <f>VLOOKUP($A49,平滑数据导入!$A$1:$AN$61,COLUMN(平滑数据导入!M$1),0)</f>
        <v>1117.4764780729181</v>
      </c>
      <c r="AI49" s="90">
        <f>VLOOKUP($A49,平滑数据导入!$A$1:$AN$61,COLUMN(平滑数据导入!N$1),0)</f>
        <v>1122.705561307406</v>
      </c>
      <c r="AJ49" s="141">
        <f>VLOOKUP(A49,情景假设!$B$48:$S$88,16,0)/情景假设!Q$47*AJ$13</f>
        <v>1126.5104529483483</v>
      </c>
      <c r="AK49" s="89">
        <f>VLOOKUP($A49,平滑数据导入!$A$1:$AN$61,COLUMN(平滑数据导入!P$1),0)</f>
        <v>1129.279208093584</v>
      </c>
      <c r="AL49" s="90">
        <f>VLOOKUP($A49,平滑数据导入!$A$1:$AN$61,COLUMN(平滑数据导入!Q$1),0)</f>
        <v>1131.075527180582</v>
      </c>
      <c r="AM49" s="90">
        <f>VLOOKUP($A49,平滑数据导入!$A$1:$AN$61,COLUMN(平滑数据导入!R$1),0)</f>
        <v>1131.8831424434891</v>
      </c>
      <c r="AN49" s="90">
        <f>VLOOKUP($A49,平滑数据导入!$A$1:$AN$61,COLUMN(平滑数据导入!S$1),0)</f>
        <v>1131.6883248828281</v>
      </c>
      <c r="AO49" s="101">
        <f>VLOOKUP($A49,平滑数据导入!$A$1:$AN$61,COLUMN(平滑数据导入!T$1),0)</f>
        <v>1130.4799956386539</v>
      </c>
      <c r="AP49" s="90">
        <f>VLOOKUP($A49,平滑数据导入!$A$1:$AN$61,COLUMN(平滑数据导入!U$1),0)</f>
        <v>1128.249826931657</v>
      </c>
      <c r="AQ49" s="90">
        <f>VLOOKUP($A49,平滑数据导入!$A$1:$AN$61,COLUMN(平滑数据导入!V$1),0)</f>
        <v>1124.9923316203201</v>
      </c>
      <c r="AR49" s="90">
        <f>VLOOKUP($A49,平滑数据导入!$A$1:$AN$61,COLUMN(平滑数据导入!W$1),0)</f>
        <v>1120.7049404735569</v>
      </c>
      <c r="AS49" s="90">
        <f>VLOOKUP($A49,平滑数据导入!$A$1:$AN$61,COLUMN(平滑数据导入!X$1),0)</f>
        <v>1115.3880663196251</v>
      </c>
      <c r="AT49" s="90">
        <f>VLOOKUP($A49,平滑数据导入!$A$1:$AN$61,COLUMN(平滑数据导入!Y$1),0)</f>
        <v>1109.0451543029469</v>
      </c>
      <c r="AU49" s="89">
        <f>VLOOKUP($A49,平滑数据导入!$A$1:$AN$61,COLUMN(平滑数据导入!Z$1),0)</f>
        <v>1101.68271756074</v>
      </c>
      <c r="AV49" s="90">
        <f>VLOOKUP($A49,平滑数据导入!$A$1:$AN$61,COLUMN(平滑数据导入!AA$1),0)</f>
        <v>1093.3103577203369</v>
      </c>
      <c r="AW49" s="90">
        <f>VLOOKUP($A49,平滑数据导入!$A$1:$AN$61,COLUMN(平滑数据导入!AB$1),0)</f>
        <v>1083.940769715636</v>
      </c>
      <c r="AX49" s="90">
        <f>VLOOKUP($A49,平滑数据导入!$A$1:$AN$61,COLUMN(平滑数据导入!AC$1),0)</f>
        <v>1073.5897305260589</v>
      </c>
      <c r="AY49" s="133">
        <f>VLOOKUP(A49,情景假设!$B$48:$S$88,17,0)/情景假设!R$47*AY$13</f>
        <v>1062.2760715534166</v>
      </c>
      <c r="AZ49" s="89">
        <f>VLOOKUP($A49,平滑数据导入!$A$1:$AN$61,COLUMN(平滑数据导入!AE$1),0)</f>
        <v>1050.021634470022</v>
      </c>
      <c r="BA49" s="90">
        <f>VLOOKUP($A49,平滑数据导入!$A$1:$AN$61,COLUMN(平滑数据导入!AF$1),0)</f>
        <v>1036.8512104942381</v>
      </c>
      <c r="BB49" s="90">
        <f>VLOOKUP($A49,平滑数据导入!$A$1:$AN$61,COLUMN(平滑数据导入!AG$1),0)</f>
        <v>1022.792463176538</v>
      </c>
      <c r="BC49" s="90">
        <f>VLOOKUP($A49,平滑数据导入!$A$1:$AN$61,COLUMN(平滑数据导入!AH$1),0)</f>
        <v>1007.87583490859</v>
      </c>
      <c r="BD49" s="101">
        <f>VLOOKUP($A49,平滑数据导入!$A$1:$AN$61,COLUMN(平滑数据导入!AI$1),0)</f>
        <v>992.13443749889893</v>
      </c>
      <c r="BE49" s="90">
        <f>VLOOKUP($A49,平滑数据导入!$A$1:$AN$61,COLUMN(平滑数据导入!AJ$1),0)</f>
        <v>975.60392728963495</v>
      </c>
      <c r="BF49" s="90">
        <f>VLOOKUP($A49,平滑数据导入!$A$1:$AN$61,COLUMN(平滑数据导入!AK$1),0)</f>
        <v>958.3223654192002</v>
      </c>
      <c r="BG49" s="90">
        <f>VLOOKUP($A49,平滑数据导入!$A$1:$AN$61,COLUMN(平滑数据导入!AL$1),0)</f>
        <v>940.33006396237113</v>
      </c>
      <c r="BH49" s="90">
        <f>VLOOKUP($A49,平滑数据导入!$A$1:$AN$61,COLUMN(平滑数据导入!AM$1),0)</f>
        <v>921.66941880320235</v>
      </c>
      <c r="BI49" s="133">
        <f>VLOOKUP(A49,情景假设!$B$48:$S$88,18,0)/情景假设!S$47*BI$13</f>
        <v>902.38473021378638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(2001-2022, 当年价) '!I50*I$77</f>
        <v>277.82138277902817</v>
      </c>
      <c r="J50" s="20">
        <f>'增加值 (2001-2022, 当年价) '!J50*J$77</f>
        <v>339.99581571765185</v>
      </c>
      <c r="K50" s="21">
        <f>'增加值 (2001-2022, 当年价) '!K50*K$77</f>
        <v>419.65234009725702</v>
      </c>
      <c r="L50" s="19">
        <f>'增加值 (2001-2022, 当年价) '!L50*L$77</f>
        <v>470.17292912503825</v>
      </c>
      <c r="M50" s="20">
        <f>'增加值 (2001-2022, 当年价) '!M50*M$77</f>
        <v>515.18952431708408</v>
      </c>
      <c r="N50" s="20">
        <f>'增加值 (2001-2022, 当年价) '!N50*N$77</f>
        <v>564.77911820922452</v>
      </c>
      <c r="O50" s="20">
        <f>'增加值 (2001-2022, 当年价) '!O50*O$77</f>
        <v>630.81220526617665</v>
      </c>
      <c r="P50" s="20">
        <f>'增加值 (2001-2022, 当年价) '!P50*P$77</f>
        <v>720.54132717818436</v>
      </c>
      <c r="Q50" s="19">
        <f>'增加值 (2001-2022, 当年价) '!Q50*Q$77</f>
        <v>760.82510418843708</v>
      </c>
      <c r="R50" s="20">
        <f>'增加值 (2001-2022, 当年价) '!R50*R$77</f>
        <v>780.89655528325477</v>
      </c>
      <c r="S50" s="20">
        <f>'增加值 (2001-2022, 当年价) '!S50*S$77</f>
        <v>810.97168640436632</v>
      </c>
      <c r="T50" s="20">
        <f>'增加值 (2001-2022, 当年价) '!T50*T$77</f>
        <v>884.34251709928117</v>
      </c>
      <c r="U50" s="21">
        <f>'增加值 (2001-2022, 当年价) '!U50*U$77</f>
        <v>878.57955136179089</v>
      </c>
      <c r="V50" s="20">
        <f>'增加值 (2001-2022, 当年价) '!V50*V$77</f>
        <v>1191.0274591227624</v>
      </c>
      <c r="W50" s="20">
        <f>'增加值 (2001-2022, 当年价) '!W50*W$77</f>
        <v>1483.3175160522719</v>
      </c>
      <c r="X50" s="90">
        <f>VLOOKUP($A50,平滑数据导入!$A$1:$AN$61,COLUMN(平滑数据导入!C$1),0)</f>
        <v>1576.127355619547</v>
      </c>
      <c r="Y50" s="90">
        <f>VLOOKUP($A50,平滑数据导入!$A$1:$AN$61,COLUMN(平滑数据导入!D$1),0)</f>
        <v>1688.9697446702739</v>
      </c>
      <c r="Z50" s="141">
        <f>VLOOKUP(A50,情景假设!$B$48:$S$88,14,0)/情景假设!O$47*Z$13</f>
        <v>1821.6352387433571</v>
      </c>
      <c r="AA50" s="89">
        <f>VLOOKUP($A50,平滑数据导入!$A$1:$AN$61,COLUMN(平滑数据导入!F$1),0)</f>
        <v>1973.5382963716841</v>
      </c>
      <c r="AB50" s="90">
        <f>VLOOKUP($A50,平滑数据导入!$A$1:$AN$61,COLUMN(平滑数据导入!G$1),0)</f>
        <v>2143.4328992452251</v>
      </c>
      <c r="AC50" s="90">
        <f>VLOOKUP($A50,平滑数据导入!$A$1:$AN$61,COLUMN(平滑数据导入!H$1),0)</f>
        <v>2329.1101371277659</v>
      </c>
      <c r="AD50" s="90">
        <f>VLOOKUP($A50,平滑数据导入!$A$1:$AN$61,COLUMN(平滑数据导入!I$1),0)</f>
        <v>2527.0949647568541</v>
      </c>
      <c r="AE50" s="133">
        <f>VLOOKUP(A50,情景假设!$B$48:$S$88,15,0)/情景假设!P$47*AE$13</f>
        <v>2732.3737677857644</v>
      </c>
      <c r="AF50" s="90">
        <f>VLOOKUP($A50,平滑数据导入!$A$1:$AN$61,COLUMN(平滑数据导入!K$1),0)</f>
        <v>2939.493600656569</v>
      </c>
      <c r="AG50" s="90">
        <f>VLOOKUP($A50,平滑数据导入!$A$1:$AN$61,COLUMN(平滑数据导入!L$1),0)</f>
        <v>3147.1009593706522</v>
      </c>
      <c r="AH50" s="90">
        <f>VLOOKUP($A50,平滑数据导入!$A$1:$AN$61,COLUMN(平滑数据导入!M$1),0)</f>
        <v>3355.349069890719</v>
      </c>
      <c r="AI50" s="90">
        <f>VLOOKUP($A50,平滑数据导入!$A$1:$AN$61,COLUMN(平滑数据导入!N$1),0)</f>
        <v>3564.8129727326582</v>
      </c>
      <c r="AJ50" s="141">
        <f>VLOOKUP(A50,情景假设!$B$48:$S$88,16,0)/情景假设!Q$47*AJ$13</f>
        <v>3776.5125448492172</v>
      </c>
      <c r="AK50" s="89">
        <f>VLOOKUP($A50,平滑数据导入!$A$1:$AN$61,COLUMN(平滑数据导入!P$1),0)</f>
        <v>3991.5046027737822</v>
      </c>
      <c r="AL50" s="90">
        <f>VLOOKUP($A50,平滑数据导入!$A$1:$AN$61,COLUMN(平滑数据导入!Q$1),0)</f>
        <v>4209.4293960522391</v>
      </c>
      <c r="AM50" s="90">
        <f>VLOOKUP($A50,平滑数据导入!$A$1:$AN$61,COLUMN(平滑数据导入!R$1),0)</f>
        <v>4429.4860359846589</v>
      </c>
      <c r="AN50" s="90">
        <f>VLOOKUP($A50,平滑数据导入!$A$1:$AN$61,COLUMN(平滑数据导入!S$1),0)</f>
        <v>4650.820478733157</v>
      </c>
      <c r="AO50" s="101">
        <f>VLOOKUP($A50,平滑数据导入!$A$1:$AN$61,COLUMN(平滑数据导入!T$1),0)</f>
        <v>4872.5305068034268</v>
      </c>
      <c r="AP50" s="90">
        <f>VLOOKUP($A50,平滑数据导入!$A$1:$AN$61,COLUMN(平滑数据导入!U$1),0)</f>
        <v>5093.6714521943322</v>
      </c>
      <c r="AQ50" s="90">
        <f>VLOOKUP($A50,平滑数据导入!$A$1:$AN$61,COLUMN(平滑数据导入!V$1),0)</f>
        <v>5313.2626170578596</v>
      </c>
      <c r="AR50" s="90">
        <f>VLOOKUP($A50,平滑数据导入!$A$1:$AN$61,COLUMN(平滑数据导入!W$1),0)</f>
        <v>5530.2943354190375</v>
      </c>
      <c r="AS50" s="90">
        <f>VLOOKUP($A50,平滑数据导入!$A$1:$AN$61,COLUMN(平滑数据导入!X$1),0)</f>
        <v>5743.7356077510176</v>
      </c>
      <c r="AT50" s="90">
        <f>VLOOKUP($A50,平滑数据导入!$A$1:$AN$61,COLUMN(平滑数据导入!Y$1),0)</f>
        <v>5952.5422292302501</v>
      </c>
      <c r="AU50" s="89">
        <f>VLOOKUP($A50,平滑数据导入!$A$1:$AN$61,COLUMN(平滑数据导入!Z$1),0)</f>
        <v>6155.6653225488908</v>
      </c>
      <c r="AV50" s="90">
        <f>VLOOKUP($A50,平滑数据导入!$A$1:$AN$61,COLUMN(平滑数据导入!AA$1),0)</f>
        <v>6352.0601774577208</v>
      </c>
      <c r="AW50" s="90">
        <f>VLOOKUP($A50,平滑数据导入!$A$1:$AN$61,COLUMN(平滑数据导入!AB$1),0)</f>
        <v>6540.6952919546629</v>
      </c>
      <c r="AX50" s="90">
        <f>VLOOKUP($A50,平滑数据导入!$A$1:$AN$61,COLUMN(平滑数据导入!AC$1),0)</f>
        <v>6720.5615043962453</v>
      </c>
      <c r="AY50" s="133">
        <f>VLOOKUP(A50,情景假设!$B$48:$S$88,17,0)/情景假设!R$47*AY$13</f>
        <v>6890.6811019356428</v>
      </c>
      <c r="AZ50" s="89">
        <f>VLOOKUP($A50,平滑数据导入!$A$1:$AN$61,COLUMN(平滑数据导入!AE$1),0)</f>
        <v>7050.1167886927551</v>
      </c>
      <c r="BA50" s="90">
        <f>VLOOKUP($A50,平滑数据导入!$A$1:$AN$61,COLUMN(平滑数据导入!AF$1),0)</f>
        <v>7197.9803970066687</v>
      </c>
      <c r="BB50" s="90">
        <f>VLOOKUP($A50,平滑数据导入!$A$1:$AN$61,COLUMN(平滑数据导入!AG$1),0)</f>
        <v>7333.4412270443027</v>
      </c>
      <c r="BC50" s="90">
        <f>VLOOKUP($A50,平滑数据导入!$A$1:$AN$61,COLUMN(平滑数据导入!AH$1),0)</f>
        <v>7455.7339039263898</v>
      </c>
      <c r="BD50" s="101">
        <f>VLOOKUP($A50,平滑数据导入!$A$1:$AN$61,COLUMN(平滑数据导入!AI$1),0)</f>
        <v>7564.1656473356679</v>
      </c>
      <c r="BE50" s="90">
        <f>VLOOKUP($A50,平滑数据导入!$A$1:$AN$61,COLUMN(平滑数据导入!AJ$1),0)</f>
        <v>7658.1228561941734</v>
      </c>
      <c r="BF50" s="90">
        <f>VLOOKUP($A50,平滑数据导入!$A$1:$AN$61,COLUMN(平滑数据导入!AK$1),0)</f>
        <v>7737.0769203104164</v>
      </c>
      <c r="BG50" s="90">
        <f>VLOOKUP($A50,平滑数据导入!$A$1:$AN$61,COLUMN(平滑数据导入!AL$1),0)</f>
        <v>7800.5891817312404</v>
      </c>
      <c r="BH50" s="90">
        <f>VLOOKUP($A50,平滑数据导入!$A$1:$AN$61,COLUMN(平滑数据导入!AM$1),0)</f>
        <v>7848.3149806897191</v>
      </c>
      <c r="BI50" s="133">
        <f>VLOOKUP(A50,情景假设!$B$48:$S$88,18,0)/情景假设!S$47*BI$13</f>
        <v>7880.0067342907441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(2001-2022, 当年价) '!I51*I$77</f>
        <v>163.00121187963498</v>
      </c>
      <c r="J51" s="20">
        <f>'增加值 (2001-2022, 当年价) '!J51*J$77</f>
        <v>169.9672234422103</v>
      </c>
      <c r="K51" s="21">
        <f>'增加值 (2001-2022, 当年价) '!K51*K$77</f>
        <v>196.4186255294118</v>
      </c>
      <c r="L51" s="19">
        <f>'增加值 (2001-2022, 当年价) '!L51*L$77</f>
        <v>222.32964722611601</v>
      </c>
      <c r="M51" s="20">
        <f>'增加值 (2001-2022, 当年价) '!M51*M$77</f>
        <v>236.20857147082742</v>
      </c>
      <c r="N51" s="20">
        <f>'增加值 (2001-2022, 当年价) '!N51*N$77</f>
        <v>259.16922848586364</v>
      </c>
      <c r="O51" s="20">
        <f>'增加值 (2001-2022, 当年价) '!O51*O$77</f>
        <v>278.53808139535778</v>
      </c>
      <c r="P51" s="20">
        <f>'增加值 (2001-2022, 当年价) '!P51*P$77</f>
        <v>287.50526069023118</v>
      </c>
      <c r="Q51" s="19">
        <f>'增加值 (2001-2022, 当年价) '!Q51*Q$77</f>
        <v>298.80928044207468</v>
      </c>
      <c r="R51" s="20">
        <f>'增加值 (2001-2022, 当年价) '!R51*R$77</f>
        <v>332.09867260573429</v>
      </c>
      <c r="S51" s="20">
        <f>'增加值 (2001-2022, 当年价) '!S51*S$77</f>
        <v>369.0279075690683</v>
      </c>
      <c r="T51" s="20">
        <f>'增加值 (2001-2022, 当年价) '!T51*T$77</f>
        <v>405.26130946507971</v>
      </c>
      <c r="U51" s="21">
        <f>'增加值 (2001-2022, 当年价) '!U51*U$77</f>
        <v>379.09823240746709</v>
      </c>
      <c r="V51" s="20">
        <f>'增加值 (2001-2022, 当年价) '!V51*V$77</f>
        <v>416.42224208501489</v>
      </c>
      <c r="W51" s="20">
        <f>'增加值 (2001-2022, 当年价) '!W51*W$77</f>
        <v>474.62286420659473</v>
      </c>
      <c r="X51" s="90">
        <f>VLOOKUP($A51,平滑数据导入!$A$1:$AN$61,COLUMN(平滑数据导入!C$1),0)</f>
        <v>496.81274067292429</v>
      </c>
      <c r="Y51" s="90">
        <f>VLOOKUP($A51,平滑数据导入!$A$1:$AN$61,COLUMN(平滑数据导入!D$1),0)</f>
        <v>518.36232879670422</v>
      </c>
      <c r="Z51" s="141">
        <f>VLOOKUP(A51,情景假设!$B$48:$S$88,14,0)/情景假设!O$47*Z$13</f>
        <v>539.09836322790534</v>
      </c>
      <c r="AA51" s="89">
        <f>VLOOKUP($A51,平滑数据导入!$A$1:$AN$61,COLUMN(平滑数据导入!F$1),0)</f>
        <v>558.8480015006113</v>
      </c>
      <c r="AB51" s="90">
        <f>VLOOKUP($A51,平滑数据导入!$A$1:$AN$61,COLUMN(平滑数据导入!G$1),0)</f>
        <v>577.44115545490502</v>
      </c>
      <c r="AC51" s="90">
        <f>VLOOKUP($A51,平滑数据导入!$A$1:$AN$61,COLUMN(平滑数据导入!H$1),0)</f>
        <v>594.71287753333024</v>
      </c>
      <c r="AD51" s="90">
        <f>VLOOKUP($A51,平滑数据导入!$A$1:$AN$61,COLUMN(平滑数据导入!I$1),0)</f>
        <v>610.50575640369129</v>
      </c>
      <c r="AE51" s="133">
        <f>VLOOKUP(A51,情景假设!$B$48:$S$88,15,0)/情景假设!P$47*AE$13</f>
        <v>624.67227423359566</v>
      </c>
      <c r="AF51" s="90">
        <f>VLOOKUP($A51,平滑数据导入!$A$1:$AN$61,COLUMN(平滑数据导入!K$1),0)</f>
        <v>637.12477639794827</v>
      </c>
      <c r="AG51" s="90">
        <f>VLOOKUP($A51,平滑数据导入!$A$1:$AN$61,COLUMN(平滑数据导入!L$1),0)</f>
        <v>647.98710885691446</v>
      </c>
      <c r="AH51" s="90">
        <f>VLOOKUP($A51,平滑数据导入!$A$1:$AN$61,COLUMN(平滑数据导入!M$1),0)</f>
        <v>657.4612679853293</v>
      </c>
      <c r="AI51" s="90">
        <f>VLOOKUP($A51,平滑数据导入!$A$1:$AN$61,COLUMN(平滑数据导入!N$1),0)</f>
        <v>665.77616308505321</v>
      </c>
      <c r="AJ51" s="141">
        <f>VLOOKUP(A51,情景假设!$B$48:$S$88,16,0)/情景假设!Q$47*AJ$13</f>
        <v>673.18262770616661</v>
      </c>
      <c r="AK51" s="89">
        <f>VLOOKUP($A51,平滑数据导入!$A$1:$AN$61,COLUMN(平滑数据导入!P$1),0)</f>
        <v>679.89824544072724</v>
      </c>
      <c r="AL51" s="90">
        <f>VLOOKUP($A51,平滑数据导入!$A$1:$AN$61,COLUMN(平滑数据导入!Q$1),0)</f>
        <v>685.94747688115763</v>
      </c>
      <c r="AM51" s="90">
        <f>VLOOKUP($A51,平滑数据导入!$A$1:$AN$61,COLUMN(平滑数据导入!R$1),0)</f>
        <v>691.30664860969</v>
      </c>
      <c r="AN51" s="90">
        <f>VLOOKUP($A51,平滑数据导入!$A$1:$AN$61,COLUMN(平滑数据导入!S$1),0)</f>
        <v>695.95400552836009</v>
      </c>
      <c r="AO51" s="101">
        <f>VLOOKUP($A51,平滑数据导入!$A$1:$AN$61,COLUMN(平滑数据导入!T$1),0)</f>
        <v>699.86984907456372</v>
      </c>
      <c r="AP51" s="90">
        <f>VLOOKUP($A51,平滑数据导入!$A$1:$AN$61,COLUMN(平滑数据导入!U$1),0)</f>
        <v>703.03666671207066</v>
      </c>
      <c r="AQ51" s="90">
        <f>VLOOKUP($A51,平滑数据导入!$A$1:$AN$61,COLUMN(平滑数据导入!V$1),0)</f>
        <v>705.43925157383183</v>
      </c>
      <c r="AR51" s="90">
        <f>VLOOKUP($A51,平滑数据导入!$A$1:$AN$61,COLUMN(平滑数据导入!W$1),0)</f>
        <v>707.06481118318982</v>
      </c>
      <c r="AS51" s="90">
        <f>VLOOKUP($A51,平滑数据导入!$A$1:$AN$61,COLUMN(平滑数据导入!X$1),0)</f>
        <v>707.90306424204391</v>
      </c>
      <c r="AT51" s="90">
        <f>VLOOKUP($A51,平滑数据导入!$A$1:$AN$61,COLUMN(平滑数据导入!Y$1),0)</f>
        <v>707.94632454783539</v>
      </c>
      <c r="AU51" s="89">
        <f>VLOOKUP($A51,平滑数据导入!$A$1:$AN$61,COLUMN(平滑数据导入!Z$1),0)</f>
        <v>707.1895711855027</v>
      </c>
      <c r="AV51" s="90">
        <f>VLOOKUP($A51,平滑数据导入!$A$1:$AN$61,COLUMN(平滑数据导入!AA$1),0)</f>
        <v>705.63050423519303</v>
      </c>
      <c r="AW51" s="90">
        <f>VLOOKUP($A51,平滑数据导入!$A$1:$AN$61,COLUMN(平滑数据导入!AB$1),0)</f>
        <v>703.26958534076607</v>
      </c>
      <c r="AX51" s="90">
        <f>VLOOKUP($A51,平滑数据导入!$A$1:$AN$61,COLUMN(平滑数据导入!AC$1),0)</f>
        <v>700.11006259713383</v>
      </c>
      <c r="AY51" s="133">
        <f>VLOOKUP(A51,情景假设!$B$48:$S$88,17,0)/情景假设!R$47*AY$13</f>
        <v>696.15797933525232</v>
      </c>
      <c r="AZ51" s="89">
        <f>VLOOKUP($A51,平滑数据导入!$A$1:$AN$61,COLUMN(平滑数据导入!AE$1),0)</f>
        <v>691.42216651094645</v>
      </c>
      <c r="BA51" s="90">
        <f>VLOOKUP($A51,平滑数据导入!$A$1:$AN$61,COLUMN(平滑数据导入!AF$1),0)</f>
        <v>685.91421853653401</v>
      </c>
      <c r="BB51" s="90">
        <f>VLOOKUP($A51,平滑数据导入!$A$1:$AN$61,COLUMN(平滑数据导入!AG$1),0)</f>
        <v>679.64845253099463</v>
      </c>
      <c r="BC51" s="90">
        <f>VLOOKUP($A51,平滑数据导入!$A$1:$AN$61,COLUMN(平滑数据导入!AH$1),0)</f>
        <v>672.64185110392702</v>
      </c>
      <c r="BD51" s="101">
        <f>VLOOKUP($A51,平滑数据导入!$A$1:$AN$61,COLUMN(平滑数据导入!AI$1),0)</f>
        <v>664.91398892905715</v>
      </c>
      <c r="BE51" s="90">
        <f>VLOOKUP($A51,平滑数据导入!$A$1:$AN$61,COLUMN(平滑数据导入!AJ$1),0)</f>
        <v>656.48694350334279</v>
      </c>
      <c r="BF51" s="90">
        <f>VLOOKUP($A51,平滑数据导入!$A$1:$AN$61,COLUMN(平滑数据导入!AK$1),0)</f>
        <v>647.38519062594241</v>
      </c>
      <c r="BG51" s="90">
        <f>VLOOKUP($A51,平滑数据导入!$A$1:$AN$61,COLUMN(平滑数据导入!AL$1),0)</f>
        <v>637.63548526610737</v>
      </c>
      <c r="BH51" s="90">
        <f>VLOOKUP($A51,平滑数据导入!$A$1:$AN$61,COLUMN(平滑数据导入!AM$1),0)</f>
        <v>627.26672861880763</v>
      </c>
      <c r="BI51" s="133">
        <f>VLOOKUP(A51,情景假设!$B$48:$S$88,18,0)/情景假设!S$47*BI$13</f>
        <v>616.30982227002789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(2001-2022, 当年价) '!I52*I$77</f>
        <v>10649.638711539816</v>
      </c>
      <c r="J52" s="20">
        <f>'增加值 (2001-2022, 当年价) '!J52*J$77</f>
        <v>10700.951638142691</v>
      </c>
      <c r="K52" s="21">
        <f>'增加值 (2001-2022, 当年价) '!K52*K$77</f>
        <v>11534.955049889852</v>
      </c>
      <c r="L52" s="19">
        <f>'增加值 (2001-2022, 当年价) '!L52*L$77</f>
        <v>12203.169573535575</v>
      </c>
      <c r="M52" s="20">
        <f>'增加值 (2001-2022, 当年价) '!M52*M$77</f>
        <v>12198.207729660531</v>
      </c>
      <c r="N52" s="20">
        <f>'增加值 (2001-2022, 当年价) '!N52*N$77</f>
        <v>12306.267191958539</v>
      </c>
      <c r="O52" s="20">
        <f>'增加值 (2001-2022, 当年价) '!O52*O$77</f>
        <v>12057.930249434579</v>
      </c>
      <c r="P52" s="20">
        <f>'增加值 (2001-2022, 当年价) '!P52*P$77</f>
        <v>11496.645752598572</v>
      </c>
      <c r="Q52" s="19">
        <f>'增加值 (2001-2022, 当年价) '!Q52*Q$77</f>
        <v>11757.936502161634</v>
      </c>
      <c r="R52" s="20">
        <f>'增加值 (2001-2022, 当年价) '!R52*R$77</f>
        <v>12829.820765210363</v>
      </c>
      <c r="S52" s="20">
        <f>'增加值 (2001-2022, 当年价) '!S52*S$77</f>
        <v>14000.998845353402</v>
      </c>
      <c r="T52" s="20">
        <f>'增加值 (2001-2022, 当年价) '!T52*T$77</f>
        <v>14376.753818674912</v>
      </c>
      <c r="U52" s="21">
        <f>'增加值 (2001-2022, 当年价) '!U52*U$77</f>
        <v>14171.804811655176</v>
      </c>
      <c r="V52" s="20">
        <f>'增加值 (2001-2022, 当年价) '!V52*V$77</f>
        <v>16363.884569742619</v>
      </c>
      <c r="W52" s="20">
        <f>'增加值 (2001-2022, 当年价) '!W52*W$77</f>
        <v>17470.728074872739</v>
      </c>
      <c r="X52" s="90">
        <f>VLOOKUP($A52,平滑数据导入!$A$1:$AN$61,COLUMN(平滑数据导入!C$1),0)</f>
        <v>18332.03846131052</v>
      </c>
      <c r="Y52" s="90">
        <f>VLOOKUP($A52,平滑数据导入!$A$1:$AN$61,COLUMN(平滑数据导入!D$1),0)</f>
        <v>19322.75931107446</v>
      </c>
      <c r="Z52" s="141">
        <f>VLOOKUP(A52,情景假设!$B$48:$S$88,14,0)/情景假设!O$47*Z$13</f>
        <v>20429.820488769768</v>
      </c>
      <c r="AA52" s="89">
        <f>VLOOKUP($A52,平滑数据导入!$A$1:$AN$61,COLUMN(平滑数据导入!F$1),0)</f>
        <v>21635.920247354661</v>
      </c>
      <c r="AB52" s="90">
        <f>VLOOKUP($A52,平滑数据导入!$A$1:$AN$61,COLUMN(平滑数据导入!G$1),0)</f>
        <v>22918.173405395199</v>
      </c>
      <c r="AC52" s="90">
        <f>VLOOKUP($A52,平滑数据导入!$A$1:$AN$61,COLUMN(平滑数据导入!H$1),0)</f>
        <v>24246.934048512328</v>
      </c>
      <c r="AD52" s="90">
        <f>VLOOKUP($A52,平滑数据导入!$A$1:$AN$61,COLUMN(平滑数据导入!I$1),0)</f>
        <v>25584.931301374148</v>
      </c>
      <c r="AE52" s="133">
        <f>VLOOKUP(A52,情景假设!$B$48:$S$88,15,0)/情景假设!P$47*AE$13</f>
        <v>26886.895923450815</v>
      </c>
      <c r="AF52" s="90">
        <f>VLOOKUP($A52,平滑数据导入!$A$1:$AN$61,COLUMN(平滑数据导入!K$1),0)</f>
        <v>28109.051693517918</v>
      </c>
      <c r="AG52" s="90">
        <f>VLOOKUP($A52,平滑数据导入!$A$1:$AN$61,COLUMN(平滑数据导入!L$1),0)</f>
        <v>29240.71037391053</v>
      </c>
      <c r="AH52" s="90">
        <f>VLOOKUP($A52,平滑数据导入!$A$1:$AN$61,COLUMN(平滑数据导入!M$1),0)</f>
        <v>30282.704445596031</v>
      </c>
      <c r="AI52" s="90">
        <f>VLOOKUP($A52,平滑数据导入!$A$1:$AN$61,COLUMN(平滑数据导入!N$1),0)</f>
        <v>31238.863642459219</v>
      </c>
      <c r="AJ52" s="141">
        <f>VLOOKUP(A52,情景假设!$B$48:$S$88,16,0)/情景假设!Q$47*AJ$13</f>
        <v>32115.777807180053</v>
      </c>
      <c r="AK52" s="89">
        <f>VLOOKUP($A52,平滑数据导入!$A$1:$AN$61,COLUMN(平滑数据导入!P$1),0)</f>
        <v>32920.60856796366</v>
      </c>
      <c r="AL52" s="90">
        <f>VLOOKUP($A52,平滑数据导入!$A$1:$AN$61,COLUMN(平滑数据导入!Q$1),0)</f>
        <v>33654.715090107587</v>
      </c>
      <c r="AM52" s="90">
        <f>VLOOKUP($A52,平滑数据导入!$A$1:$AN$61,COLUMN(平滑数据导入!R$1),0)</f>
        <v>34318.620562900323</v>
      </c>
      <c r="AN52" s="90">
        <f>VLOOKUP($A52,平滑数据导入!$A$1:$AN$61,COLUMN(平滑数据导入!S$1),0)</f>
        <v>34913.770882027522</v>
      </c>
      <c r="AO52" s="101">
        <f>VLOOKUP($A52,平滑数据导入!$A$1:$AN$61,COLUMN(平滑数据导入!T$1),0)</f>
        <v>35442.464272242301</v>
      </c>
      <c r="AP52" s="90">
        <f>VLOOKUP($A52,平滑数据导入!$A$1:$AN$61,COLUMN(平滑数据导入!U$1),0)</f>
        <v>35907.7728699258</v>
      </c>
      <c r="AQ52" s="90">
        <f>VLOOKUP($A52,平滑数据导入!$A$1:$AN$61,COLUMN(平滑数据导入!V$1),0)</f>
        <v>36313.459370000834</v>
      </c>
      <c r="AR52" s="90">
        <f>VLOOKUP($A52,平滑数据导入!$A$1:$AN$61,COLUMN(平滑数据导入!W$1),0)</f>
        <v>36663.891666311218</v>
      </c>
      <c r="AS52" s="90">
        <f>VLOOKUP($A52,平滑数据导入!$A$1:$AN$61,COLUMN(平滑数据导入!X$1),0)</f>
        <v>36963.95817011399</v>
      </c>
      <c r="AT52" s="90">
        <f>VLOOKUP($A52,平滑数据导入!$A$1:$AN$61,COLUMN(平滑数据导入!Y$1),0)</f>
        <v>37218.986199112747</v>
      </c>
      <c r="AU52" s="89">
        <f>VLOOKUP($A52,平滑数据导入!$A$1:$AN$61,COLUMN(平滑数据导入!Z$1),0)</f>
        <v>37434.665509927872</v>
      </c>
      <c r="AV52" s="90">
        <f>VLOOKUP($A52,平滑数据导入!$A$1:$AN$61,COLUMN(平滑数据导入!AA$1),0)</f>
        <v>37616.978718759878</v>
      </c>
      <c r="AW52" s="90">
        <f>VLOOKUP($A52,平滑数据导入!$A$1:$AN$61,COLUMN(平滑数据导入!AB$1),0)</f>
        <v>37772.140034729891</v>
      </c>
      <c r="AX52" s="90">
        <f>VLOOKUP($A52,平滑数据导入!$A$1:$AN$61,COLUMN(平滑数据导入!AC$1),0)</f>
        <v>37906.543431891143</v>
      </c>
      <c r="AY52" s="133">
        <f>VLOOKUP(A52,情景假设!$B$48:$S$88,17,0)/情景假设!R$47*AY$13</f>
        <v>38026.721120499642</v>
      </c>
      <c r="AZ52" s="89">
        <f>VLOOKUP($A52,平滑数据导入!$A$1:$AN$61,COLUMN(平滑数据导入!AE$1),0)</f>
        <v>38139.312954605433</v>
      </c>
      <c r="BA52" s="90">
        <f>VLOOKUP($A52,平滑数据导入!$A$1:$AN$61,COLUMN(平滑数据导入!AF$1),0)</f>
        <v>38251.047237914398</v>
      </c>
      <c r="BB52" s="90">
        <f>VLOOKUP($A52,平滑数据导入!$A$1:$AN$61,COLUMN(平滑数据导入!AG$1),0)</f>
        <v>38368.7332678479</v>
      </c>
      <c r="BC52" s="90">
        <f>VLOOKUP($A52,平滑数据导入!$A$1:$AN$61,COLUMN(平滑数据导入!AH$1),0)</f>
        <v>38499.265892032403</v>
      </c>
      <c r="BD52" s="101">
        <f>VLOOKUP($A52,平滑数据导入!$A$1:$AN$61,COLUMN(平滑数据导入!AI$1),0)</f>
        <v>38649.642344440421</v>
      </c>
      <c r="BE52" s="90">
        <f>VLOOKUP($A52,平滑数据导入!$A$1:$AN$61,COLUMN(平滑数据导入!AJ$1),0)</f>
        <v>38826.991682048792</v>
      </c>
      <c r="BF52" s="90">
        <f>VLOOKUP($A52,平滑数据导入!$A$1:$AN$61,COLUMN(平滑数据导入!AK$1),0)</f>
        <v>39038.617259423932</v>
      </c>
      <c r="BG52" s="90">
        <f>VLOOKUP($A52,平滑数据导入!$A$1:$AN$61,COLUMN(平滑数据导入!AL$1),0)</f>
        <v>39292.052861141397</v>
      </c>
      <c r="BH52" s="90">
        <f>VLOOKUP($A52,平滑数据导入!$A$1:$AN$61,COLUMN(平滑数据导入!AM$1),0)</f>
        <v>39595.133364944697</v>
      </c>
      <c r="BI52" s="133">
        <f>VLOOKUP(A52,情景假设!$B$48:$S$88,18,0)/情景假设!S$47*BI$13</f>
        <v>39956.081138807873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(2001-2022, 当年价) '!I53*I$77</f>
        <v>635.44685597040052</v>
      </c>
      <c r="J53" s="20">
        <f>'增加值 (2001-2022, 当年价) '!J53*J$77</f>
        <v>690.31214519662922</v>
      </c>
      <c r="K53" s="21">
        <f>'增加值 (2001-2022, 当年价) '!K53*K$77</f>
        <v>790.36890513133335</v>
      </c>
      <c r="L53" s="19">
        <f>'增加值 (2001-2022, 当年价) '!L53*L$77</f>
        <v>858.93810846948372</v>
      </c>
      <c r="M53" s="20">
        <f>'增加值 (2001-2022, 当年价) '!M53*M$77</f>
        <v>913.37500817935734</v>
      </c>
      <c r="N53" s="20">
        <f>'增加值 (2001-2022, 当年价) '!N53*N$77</f>
        <v>1018.6453797166182</v>
      </c>
      <c r="O53" s="20">
        <f>'增加值 (2001-2022, 当年价) '!O53*O$77</f>
        <v>1137.7437969036205</v>
      </c>
      <c r="P53" s="20">
        <f>'增加值 (2001-2022, 当年价) '!P53*P$77</f>
        <v>1199.1978904190339</v>
      </c>
      <c r="Q53" s="19">
        <f>'增加值 (2001-2022, 当年价) '!Q53*Q$77</f>
        <v>1337.6292732244519</v>
      </c>
      <c r="R53" s="20">
        <f>'增加值 (2001-2022, 当年价) '!R53*R$77</f>
        <v>1523.2072734394874</v>
      </c>
      <c r="S53" s="20">
        <f>'增加值 (2001-2022, 当年价) '!S53*S$77</f>
        <v>1785.1032639547602</v>
      </c>
      <c r="T53" s="20">
        <f>'增加值 (2001-2022, 当年价) '!T53*T$77</f>
        <v>1919.0682487030381</v>
      </c>
      <c r="U53" s="21">
        <f>'增加值 (2001-2022, 当年价) '!U53*U$77</f>
        <v>1856.4384809055559</v>
      </c>
      <c r="V53" s="20">
        <f>'增加值 (2001-2022, 当年价) '!V53*V$77</f>
        <v>2282.7594992660579</v>
      </c>
      <c r="W53" s="20">
        <f>'增加值 (2001-2022, 当年价) '!W53*W$77</f>
        <v>2464.9908072284757</v>
      </c>
      <c r="X53" s="90">
        <f>VLOOKUP($A53,平滑数据导入!$A$1:$AN$61,COLUMN(平滑数据导入!C$1),0)</f>
        <v>2678.9661978369759</v>
      </c>
      <c r="Y53" s="90">
        <f>VLOOKUP($A53,平滑数据导入!$A$1:$AN$61,COLUMN(平滑数据导入!D$1),0)</f>
        <v>2927.7921283456781</v>
      </c>
      <c r="Z53" s="141">
        <f>VLOOKUP(A53,情景假设!$B$48:$S$88,14,0)/情景假设!O$47*Z$13</f>
        <v>3211.7319678098347</v>
      </c>
      <c r="AA53" s="89">
        <f>VLOOKUP($A53,平滑数据导入!$A$1:$AN$61,COLUMN(平滑数据导入!F$1),0)</f>
        <v>3529.9566868390898</v>
      </c>
      <c r="AB53" s="90">
        <f>VLOOKUP($A53,平滑数据导入!$A$1:$AN$61,COLUMN(平滑数据导入!G$1),0)</f>
        <v>3880.033370370581</v>
      </c>
      <c r="AC53" s="90">
        <f>VLOOKUP($A53,平滑数据导入!$A$1:$AN$61,COLUMN(平滑数据导入!H$1),0)</f>
        <v>4257.3810508765137</v>
      </c>
      <c r="AD53" s="90">
        <f>VLOOKUP($A53,平滑数据导入!$A$1:$AN$61,COLUMN(平滑数据导入!I$1),0)</f>
        <v>4654.7411878575213</v>
      </c>
      <c r="AE53" s="133">
        <f>VLOOKUP(A53,情景假设!$B$48:$S$88,15,0)/情景假设!P$47*AE$13</f>
        <v>5061.7359172559572</v>
      </c>
      <c r="AF53" s="90">
        <f>VLOOKUP($A53,平滑数据导入!$A$1:$AN$61,COLUMN(平滑数据导入!K$1),0)</f>
        <v>5466.8142214834352</v>
      </c>
      <c r="AG53" s="90">
        <f>VLOOKUP($A53,平滑数据导入!$A$1:$AN$61,COLUMN(平滑数据导入!L$1),0)</f>
        <v>5865.1608048196294</v>
      </c>
      <c r="AH53" s="90">
        <f>VLOOKUP($A53,平滑数据导入!$A$1:$AN$61,COLUMN(平滑数据导入!M$1),0)</f>
        <v>6254.4795731542436</v>
      </c>
      <c r="AI53" s="90">
        <f>VLOOKUP($A53,平滑数据导入!$A$1:$AN$61,COLUMN(平滑数据导入!N$1),0)</f>
        <v>6633.1978439626437</v>
      </c>
      <c r="AJ53" s="141">
        <f>VLOOKUP(A53,情景假设!$B$48:$S$88,16,0)/情景假设!Q$47*AJ$13</f>
        <v>7000.5169556312885</v>
      </c>
      <c r="AK53" s="89">
        <f>VLOOKUP($A53,平滑数据导入!$A$1:$AN$61,COLUMN(平滑数据导入!P$1),0)</f>
        <v>7356.0671228654592</v>
      </c>
      <c r="AL53" s="90">
        <f>VLOOKUP($A53,平滑数据导入!$A$1:$AN$61,COLUMN(平滑数据导入!Q$1),0)</f>
        <v>7698.6627148987291</v>
      </c>
      <c r="AM53" s="90">
        <f>VLOOKUP($A53,平滑数据导入!$A$1:$AN$61,COLUMN(平滑数据导入!R$1),0)</f>
        <v>8027.1747935746198</v>
      </c>
      <c r="AN53" s="90">
        <f>VLOOKUP($A53,平滑数据导入!$A$1:$AN$61,COLUMN(平滑数据导入!S$1),0)</f>
        <v>8340.8774900238495</v>
      </c>
      <c r="AO53" s="101">
        <f>VLOOKUP($A53,平滑数据导入!$A$1:$AN$61,COLUMN(平滑数据导入!T$1),0)</f>
        <v>8639.4508701873674</v>
      </c>
      <c r="AP53" s="90">
        <f>VLOOKUP($A53,平滑数据导入!$A$1:$AN$61,COLUMN(平滑数据导入!U$1),0)</f>
        <v>8922.9752724066384</v>
      </c>
      <c r="AQ53" s="90">
        <f>VLOOKUP($A53,平滑数据导入!$A$1:$AN$61,COLUMN(平滑数据导入!V$1),0)</f>
        <v>9191.9186406314766</v>
      </c>
      <c r="AR53" s="90">
        <f>VLOOKUP($A53,平滑数据导入!$A$1:$AN$61,COLUMN(平滑数据导入!W$1),0)</f>
        <v>9447.1185379462531</v>
      </c>
      <c r="AS53" s="90">
        <f>VLOOKUP($A53,平滑数据导入!$A$1:$AN$61,COLUMN(平滑数据导入!X$1),0)</f>
        <v>9689.7606010693289</v>
      </c>
      <c r="AT53" s="90">
        <f>VLOOKUP($A53,平滑数据导入!$A$1:$AN$61,COLUMN(平滑数据导入!Y$1),0)</f>
        <v>9921.3552000419404</v>
      </c>
      <c r="AU53" s="89">
        <f>VLOOKUP($A53,平滑数据导入!$A$1:$AN$61,COLUMN(平滑数据导入!Z$1),0)</f>
        <v>10143.714014280949</v>
      </c>
      <c r="AV53" s="90">
        <f>VLOOKUP($A53,平滑数据导入!$A$1:$AN$61,COLUMN(平滑数据导入!AA$1),0)</f>
        <v>10358.928143915309</v>
      </c>
      <c r="AW53" s="90">
        <f>VLOOKUP($A53,平滑数据导入!$A$1:$AN$61,COLUMN(平滑数据导入!AB$1),0)</f>
        <v>10569.3492617056</v>
      </c>
      <c r="AX53" s="90">
        <f>VLOOKUP($A53,平滑数据导入!$A$1:$AN$61,COLUMN(平滑数据导入!AC$1),0)</f>
        <v>10777.57519327618</v>
      </c>
      <c r="AY53" s="133">
        <f>VLOOKUP(A53,情景假设!$B$48:$S$88,17,0)/情景假设!R$47*AY$13</f>
        <v>10986.4412083307</v>
      </c>
      <c r="AZ53" s="89">
        <f>VLOOKUP($A53,平滑数据导入!$A$1:$AN$61,COLUMN(平滑数据导入!AE$1),0)</f>
        <v>11199.018228227629</v>
      </c>
      <c r="BA53" s="90">
        <f>VLOOKUP($A53,平滑数据导入!$A$1:$AN$61,COLUMN(平滑数据导入!AF$1),0)</f>
        <v>11418.619119920641</v>
      </c>
      <c r="BB53" s="90">
        <f>VLOOKUP($A53,平滑数据导入!$A$1:$AN$61,COLUMN(平滑数据导入!AG$1),0)</f>
        <v>11648.814266254911</v>
      </c>
      <c r="BC53" s="90">
        <f>VLOOKUP($A53,平滑数据导入!$A$1:$AN$61,COLUMN(平滑数据导入!AH$1),0)</f>
        <v>11893.457691334679</v>
      </c>
      <c r="BD53" s="101">
        <f>VLOOKUP($A53,平滑数据导入!$A$1:$AN$61,COLUMN(平滑数据导入!AI$1),0)</f>
        <v>12156.725191403009</v>
      </c>
      <c r="BE53" s="90">
        <f>VLOOKUP($A53,平滑数据导入!$A$1:$AN$61,COLUMN(平滑数据导入!AJ$1),0)</f>
        <v>12443.166192754181</v>
      </c>
      <c r="BF53" s="90">
        <f>VLOOKUP($A53,平滑数据导入!$A$1:$AN$61,COLUMN(平滑数据导入!AK$1),0)</f>
        <v>12757.77144863359</v>
      </c>
      <c r="BG53" s="90">
        <f>VLOOKUP($A53,平滑数据导入!$A$1:$AN$61,COLUMN(平滑数据导入!AL$1),0)</f>
        <v>13106.059222430689</v>
      </c>
      <c r="BH53" s="90">
        <f>VLOOKUP($A53,平滑数据导入!$A$1:$AN$61,COLUMN(平滑数据导入!AM$1),0)</f>
        <v>13494.18331836138</v>
      </c>
      <c r="BI53" s="133">
        <f>VLOOKUP(A53,情景假设!$B$48:$S$88,18,0)/情景假设!S$47*BI$13</f>
        <v>13929.06725810133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(2001-2022, 当年价) '!I54*I$77</f>
        <v>772.52531059024352</v>
      </c>
      <c r="J54" s="20">
        <f>'增加值 (2001-2022, 当年价) '!J54*J$77</f>
        <v>769.65677167553315</v>
      </c>
      <c r="K54" s="21">
        <f>'增加值 (2001-2022, 当年价) '!K54*K$77</f>
        <v>789.2808019013371</v>
      </c>
      <c r="L54" s="25">
        <f>'增加值 (2001-2022, 当年价) '!L54*L$77</f>
        <v>813.7681388479034</v>
      </c>
      <c r="M54" s="26">
        <f>'增加值 (2001-2022, 当年价) '!M54*M$77</f>
        <v>809.56374762604992</v>
      </c>
      <c r="N54" s="26">
        <f>'增加值 (2001-2022, 当年价) '!N54*N$77</f>
        <v>820.58064700482055</v>
      </c>
      <c r="O54" s="26">
        <f>'增加值 (2001-2022, 当年价) '!O54*O$77</f>
        <v>844.93068560736822</v>
      </c>
      <c r="P54" s="26">
        <f>'增加值 (2001-2022, 当年价) '!P54*P$77</f>
        <v>846.48120875534187</v>
      </c>
      <c r="Q54" s="25">
        <f>'增加值 (2001-2022, 当年价) '!Q54*Q$77</f>
        <v>883.89316881893217</v>
      </c>
      <c r="R54" s="26">
        <f>'增加值 (2001-2022, 当年价) '!R54*R$77</f>
        <v>972.5233546006923</v>
      </c>
      <c r="S54" s="26">
        <f>'增加值 (2001-2022, 当年价) '!S54*S$77</f>
        <v>1034.1872244828596</v>
      </c>
      <c r="T54" s="26">
        <f>'增加值 (2001-2022, 当年价) '!T54*T$77</f>
        <v>1075.902264997181</v>
      </c>
      <c r="U54" s="27">
        <f>'增加值 (2001-2022, 当年价) '!U54*U$77</f>
        <v>1091.7883404123318</v>
      </c>
      <c r="V54" s="26">
        <f>'增加值 (2001-2022, 当年价) '!V54*V$77</f>
        <v>1244.7503877019715</v>
      </c>
      <c r="W54" s="26">
        <f>'增加值 (2001-2022, 当年价) '!W54*W$77</f>
        <v>1298.5975960878834</v>
      </c>
      <c r="X54" s="92">
        <f>VLOOKUP($A54,平滑数据导入!$A$1:$AN$61,COLUMN(平滑数据导入!C$1),0)</f>
        <v>1360.124109175327</v>
      </c>
      <c r="Y54" s="92">
        <f>VLOOKUP($A54,平滑数据导入!$A$1:$AN$61,COLUMN(平滑数据导入!D$1),0)</f>
        <v>1430.923910045386</v>
      </c>
      <c r="Z54" s="142">
        <f>VLOOKUP(A54,情景假设!$B$48:$S$88,14,0)/情景假设!O$47*Z$13</f>
        <v>1509.9974262866594</v>
      </c>
      <c r="AA54" s="91">
        <f>VLOOKUP($A54,平滑数据导入!$A$1:$AN$61,COLUMN(平滑数据导入!F$1),0)</f>
        <v>1596.045049915022</v>
      </c>
      <c r="AB54" s="92">
        <f>VLOOKUP($A54,平滑数据导入!$A$1:$AN$61,COLUMN(平滑数据导入!G$1),0)</f>
        <v>1687.372486421752</v>
      </c>
      <c r="AC54" s="92">
        <f>VLOOKUP($A54,平滑数据导入!$A$1:$AN$61,COLUMN(平滑数据导入!H$1),0)</f>
        <v>1781.8094907822649</v>
      </c>
      <c r="AD54" s="92">
        <f>VLOOKUP($A54,平滑数据导入!$A$1:$AN$61,COLUMN(平滑数据导入!I$1),0)</f>
        <v>1876.651655420105</v>
      </c>
      <c r="AE54" s="134">
        <f>VLOOKUP(A54,情景假设!$B$48:$S$88,15,0)/情景假设!P$47*AE$13</f>
        <v>1968.6375554466401</v>
      </c>
      <c r="AF54" s="92">
        <f>VLOOKUP($A54,平滑数据导入!$A$1:$AN$61,COLUMN(平滑数据导入!K$1),0)</f>
        <v>2054.637121510249</v>
      </c>
      <c r="AG54" s="92">
        <f>VLOOKUP($A54,平滑数据导入!$A$1:$AN$61,COLUMN(平滑数据导入!L$1),0)</f>
        <v>2133.9249886098678</v>
      </c>
      <c r="AH54" s="92">
        <f>VLOOKUP($A54,平滑数据导入!$A$1:$AN$61,COLUMN(平滑数据导入!M$1),0)</f>
        <v>2206.607896220261</v>
      </c>
      <c r="AI54" s="92">
        <f>VLOOKUP($A54,平滑数据导入!$A$1:$AN$61,COLUMN(平滑数据导入!N$1),0)</f>
        <v>2273.0057408964631</v>
      </c>
      <c r="AJ54" s="142">
        <f>VLOOKUP(A54,情景假设!$B$48:$S$88,16,0)/情景假设!Q$47*AJ$13</f>
        <v>2333.6331685861392</v>
      </c>
      <c r="AK54" s="91">
        <f>VLOOKUP($A54,平滑数据导入!$A$1:$AN$61,COLUMN(平滑数据导入!P$1),0)</f>
        <v>2389.0390535132751</v>
      </c>
      <c r="AL54" s="92">
        <f>VLOOKUP($A54,平滑数据导入!$A$1:$AN$61,COLUMN(平滑数据导入!Q$1),0)</f>
        <v>2439.3419937500739</v>
      </c>
      <c r="AM54" s="92">
        <f>VLOOKUP($A54,平滑数据导入!$A$1:$AN$61,COLUMN(平滑数据导入!R$1),0)</f>
        <v>2484.5953247183479</v>
      </c>
      <c r="AN54" s="92">
        <f>VLOOKUP($A54,平滑数据导入!$A$1:$AN$61,COLUMN(平滑数据导入!S$1),0)</f>
        <v>2524.915850602863</v>
      </c>
      <c r="AO54" s="102">
        <f>VLOOKUP($A54,平滑数据导入!$A$1:$AN$61,COLUMN(平滑数据导入!T$1),0)</f>
        <v>2560.4787320236642</v>
      </c>
      <c r="AP54" s="92">
        <f>VLOOKUP($A54,平滑数据导入!$A$1:$AN$61,COLUMN(平滑数据导入!U$1),0)</f>
        <v>2591.5118645027401</v>
      </c>
      <c r="AQ54" s="92">
        <f>VLOOKUP($A54,平滑数据导入!$A$1:$AN$61,COLUMN(平滑数据导入!V$1),0)</f>
        <v>2618.2899579897812</v>
      </c>
      <c r="AR54" s="92">
        <f>VLOOKUP($A54,平滑数据导入!$A$1:$AN$61,COLUMN(平滑数据导入!W$1),0)</f>
        <v>2641.1285145467191</v>
      </c>
      <c r="AS54" s="92">
        <f>VLOOKUP($A54,平滑数据导入!$A$1:$AN$61,COLUMN(平滑数据导入!X$1),0)</f>
        <v>2660.37788374609</v>
      </c>
      <c r="AT54" s="92">
        <f>VLOOKUP($A54,平滑数据导入!$A$1:$AN$61,COLUMN(平滑数据导入!Y$1),0)</f>
        <v>2676.4175548293711</v>
      </c>
      <c r="AU54" s="91">
        <f>VLOOKUP($A54,平滑数据导入!$A$1:$AN$61,COLUMN(平滑数据导入!Z$1),0)</f>
        <v>2689.6508225417751</v>
      </c>
      <c r="AV54" s="92">
        <f>VLOOKUP($A54,平滑数据导入!$A$1:$AN$61,COLUMN(平滑数据导入!AA$1),0)</f>
        <v>2700.4999410298969</v>
      </c>
      <c r="AW54" s="92">
        <f>VLOOKUP($A54,平滑数据导入!$A$1:$AN$61,COLUMN(平滑数据导入!AB$1),0)</f>
        <v>2709.4018583240431</v>
      </c>
      <c r="AX54" s="92">
        <f>VLOOKUP($A54,平滑数据导入!$A$1:$AN$61,COLUMN(平滑数据导入!AC$1),0)</f>
        <v>2716.8046036226478</v>
      </c>
      <c r="AY54" s="134">
        <f>VLOOKUP(A54,情景假设!$B$48:$S$88,17,0)/情景假设!R$47*AY$13</f>
        <v>2723.1643815711277</v>
      </c>
      <c r="AZ54" s="91">
        <f>VLOOKUP($A54,平滑数据导入!$A$1:$AN$61,COLUMN(平滑数据导入!AE$1),0)</f>
        <v>2728.9434125346402</v>
      </c>
      <c r="BA54" s="92">
        <f>VLOOKUP($A54,平滑数据导入!$A$1:$AN$61,COLUMN(平滑数据导入!AF$1),0)</f>
        <v>2734.6085459073988</v>
      </c>
      <c r="BB54" s="92">
        <f>VLOOKUP($A54,平滑数据导入!$A$1:$AN$61,COLUMN(平滑数据导入!AG$1),0)</f>
        <v>2740.6306650603369</v>
      </c>
      <c r="BC54" s="92">
        <f>VLOOKUP($A54,平滑数据导入!$A$1:$AN$61,COLUMN(平滑数据导入!AH$1),0)</f>
        <v>2747.484897788037</v>
      </c>
      <c r="BD54" s="102">
        <f>VLOOKUP($A54,平滑数据导入!$A$1:$AN$61,COLUMN(平滑数据导入!AI$1),0)</f>
        <v>2755.6516451996708</v>
      </c>
      <c r="BE54" s="92">
        <f>VLOOKUP($A54,平滑数据导入!$A$1:$AN$61,COLUMN(平滑数据导入!AJ$1),0)</f>
        <v>2765.6184450021051</v>
      </c>
      <c r="BF54" s="92">
        <f>VLOOKUP($A54,平滑数据导入!$A$1:$AN$61,COLUMN(平滑数据导入!AK$1),0)</f>
        <v>2777.882692154848</v>
      </c>
      <c r="BG54" s="92">
        <f>VLOOKUP($A54,平滑数据导入!$A$1:$AN$61,COLUMN(平滑数据导入!AL$1),0)</f>
        <v>2792.9552510893059</v>
      </c>
      <c r="BH54" s="92">
        <f>VLOOKUP($A54,平滑数据导入!$A$1:$AN$61,COLUMN(平滑数据导入!AM$1),0)</f>
        <v>2811.3650093220822</v>
      </c>
      <c r="BI54" s="134">
        <f>VLOOKUP(A54,情景假设!$B$48:$S$88,18,0)/情景假设!S$47*BI$13</f>
        <v>2833.6644427256601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B2-B3-B4-B5</f>
        <v>85159.972603165224</v>
      </c>
      <c r="C56" s="7">
        <f t="shared" ref="C56:Z56" si="9">C2-C3-C4-C5</f>
        <v>95166.703516711757</v>
      </c>
      <c r="D56" s="7">
        <f t="shared" si="9"/>
        <v>104088.24150810447</v>
      </c>
      <c r="E56" s="7">
        <f t="shared" si="9"/>
        <v>112231.0158089881</v>
      </c>
      <c r="F56" s="8">
        <f t="shared" si="9"/>
        <v>125401.69192976059</v>
      </c>
      <c r="G56" s="6">
        <f t="shared" si="9"/>
        <v>142978.37226587938</v>
      </c>
      <c r="H56" s="7">
        <f t="shared" si="9"/>
        <v>167541.49267001179</v>
      </c>
      <c r="I56" s="7">
        <f t="shared" si="9"/>
        <v>183610.20739593869</v>
      </c>
      <c r="J56" s="7">
        <f t="shared" si="9"/>
        <v>208205.9118021396</v>
      </c>
      <c r="K56" s="8">
        <f t="shared" si="9"/>
        <v>229127.61075000683</v>
      </c>
      <c r="L56" s="6">
        <f t="shared" si="9"/>
        <v>251708.3636572689</v>
      </c>
      <c r="M56" s="7">
        <f t="shared" si="9"/>
        <v>278805.76639792533</v>
      </c>
      <c r="N56" s="7">
        <f t="shared" si="9"/>
        <v>310001.39344416757</v>
      </c>
      <c r="O56" s="7">
        <f t="shared" si="9"/>
        <v>342958.0095287055</v>
      </c>
      <c r="P56" s="8">
        <f t="shared" si="9"/>
        <v>386077.17871781316</v>
      </c>
      <c r="Q56" s="6">
        <f t="shared" si="9"/>
        <v>425343.01125934906</v>
      </c>
      <c r="R56" s="7">
        <f t="shared" si="9"/>
        <v>457751.78044071991</v>
      </c>
      <c r="S56" s="7">
        <f t="shared" si="9"/>
        <v>493758.45247992256</v>
      </c>
      <c r="T56" s="7">
        <f t="shared" si="9"/>
        <v>533245.36875375663</v>
      </c>
      <c r="U56" s="8">
        <f t="shared" si="9"/>
        <v>546822.9</v>
      </c>
      <c r="V56" s="6">
        <f>V2-V3-V4-V5</f>
        <v>582938.40935426694</v>
      </c>
      <c r="W56" s="7">
        <f t="shared" si="9"/>
        <v>591543.43563865288</v>
      </c>
      <c r="X56" s="85">
        <f>SUM(X57:X70)</f>
        <v>632143.66171272099</v>
      </c>
      <c r="Y56" s="85">
        <f>SUM(Y57:Y70)</f>
        <v>675291.53981344355</v>
      </c>
      <c r="Z56" s="131">
        <f t="shared" si="9"/>
        <v>720841.36678269936</v>
      </c>
      <c r="AA56" s="87">
        <f>SUM(AA57:AA70)</f>
        <v>768573.27815222344</v>
      </c>
      <c r="AB56" s="85">
        <f t="shared" ref="AB56:AI56" si="10">SUM(AB57:AB70)</f>
        <v>818180.88637974614</v>
      </c>
      <c r="AC56" s="85">
        <f t="shared" si="10"/>
        <v>869259.63150099688</v>
      </c>
      <c r="AD56" s="85">
        <f t="shared" si="10"/>
        <v>921296.7251359201</v>
      </c>
      <c r="AE56" s="131">
        <f>AE2*情景假设!F16</f>
        <v>973663.75575693883</v>
      </c>
      <c r="AF56" s="87">
        <f t="shared" si="10"/>
        <v>1025789.8931033363</v>
      </c>
      <c r="AG56" s="85">
        <f t="shared" si="10"/>
        <v>1077764.5756143858</v>
      </c>
      <c r="AH56" s="85">
        <f t="shared" si="10"/>
        <v>1129934.1774172974</v>
      </c>
      <c r="AI56" s="85">
        <f t="shared" si="10"/>
        <v>1182743.7741164158</v>
      </c>
      <c r="AJ56" s="88">
        <f>AJ2*情景假设!F17</f>
        <v>1236739.0905639131</v>
      </c>
      <c r="AK56" s="87">
        <f>SUM(AK57:AK70)</f>
        <v>1292425.729975495</v>
      </c>
      <c r="AL56" s="85">
        <f t="shared" ref="AL56:AX56" si="11">SUM(AL57:AL70)</f>
        <v>1349794.3564812755</v>
      </c>
      <c r="AM56" s="85">
        <f t="shared" si="11"/>
        <v>1408678.8135513884</v>
      </c>
      <c r="AN56" s="85">
        <f t="shared" si="11"/>
        <v>1468889.2510947194</v>
      </c>
      <c r="AO56" s="88">
        <f t="shared" si="11"/>
        <v>1530211.5651729046</v>
      </c>
      <c r="AP56" s="87">
        <f t="shared" si="11"/>
        <v>1592407.1845996182</v>
      </c>
      <c r="AQ56" s="85">
        <f t="shared" si="11"/>
        <v>1655213.247383327</v>
      </c>
      <c r="AR56" s="85">
        <f t="shared" si="11"/>
        <v>1718343.2077163337</v>
      </c>
      <c r="AS56" s="85">
        <f t="shared" si="11"/>
        <v>1781487.9102366602</v>
      </c>
      <c r="AT56" s="88">
        <f t="shared" si="11"/>
        <v>1844317.1624363097</v>
      </c>
      <c r="AU56" s="87">
        <f t="shared" si="11"/>
        <v>1906481.8282455218</v>
      </c>
      <c r="AV56" s="85">
        <f t="shared" si="11"/>
        <v>1967616.4559309613</v>
      </c>
      <c r="AW56" s="85">
        <f t="shared" si="11"/>
        <v>2027342.4415249499</v>
      </c>
      <c r="AX56" s="85">
        <f t="shared" si="11"/>
        <v>2085271.7151632842</v>
      </c>
      <c r="AY56" s="131">
        <f>AY2*情景假设!F18</f>
        <v>2141010.9221693506</v>
      </c>
      <c r="AZ56" s="87">
        <f>SUM(AZ57:AZ70)</f>
        <v>2194166.0538205332</v>
      </c>
      <c r="BA56" s="85">
        <f t="shared" ref="BA56:BH56" si="12">SUM(BA57:BA70)</f>
        <v>2244347.4649359365</v>
      </c>
      <c r="BB56" s="85">
        <f t="shared" si="12"/>
        <v>2291175.197328114</v>
      </c>
      <c r="BC56" s="85">
        <f t="shared" si="12"/>
        <v>2334284.5104839648</v>
      </c>
      <c r="BD56" s="88">
        <f t="shared" si="12"/>
        <v>2373331.5044053462</v>
      </c>
      <c r="BE56" s="87">
        <f t="shared" si="12"/>
        <v>2407998.705249534</v>
      </c>
      <c r="BF56" s="85">
        <f t="shared" si="12"/>
        <v>2438000.4732043063</v>
      </c>
      <c r="BG56" s="85">
        <f t="shared" si="12"/>
        <v>2463088.0848410912</v>
      </c>
      <c r="BH56" s="85">
        <f t="shared" si="12"/>
        <v>2483054.3398706978</v>
      </c>
      <c r="BI56" s="131">
        <f>BI2*情景假设!F19</f>
        <v>2497737.5455014389</v>
      </c>
    </row>
    <row r="57" spans="1:61" s="9" customFormat="1" x14ac:dyDescent="0.2">
      <c r="A57" s="10" t="s">
        <v>4</v>
      </c>
      <c r="B57" s="22">
        <f>B$77*'增加值 (2001-2022, 当年价) '!B57</f>
        <v>12922.19691913198</v>
      </c>
      <c r="C57" s="23">
        <f>C$77*'增加值 (2001-2022, 当年价) '!C57</f>
        <v>14005.145364926902</v>
      </c>
      <c r="D57" s="23">
        <f>D$77*'增加值 (2001-2022, 当年价) '!D57</f>
        <v>14410.716652702284</v>
      </c>
      <c r="E57" s="23">
        <f>E$77*'增加值 (2001-2022, 当年价) '!E57</f>
        <v>15841.240702858573</v>
      </c>
      <c r="F57" s="24">
        <f>F$77*'增加值 (2001-2022, 当年价) '!F57</f>
        <v>17478.670029358709</v>
      </c>
      <c r="G57" s="22">
        <f>G$77*'增加值 (2001-2022, 当年价) '!G57</f>
        <v>19206.903926131014</v>
      </c>
      <c r="H57" s="23">
        <f>H$77*'增加值 (2001-2022, 当年价) '!H57</f>
        <v>21357.812046410043</v>
      </c>
      <c r="I57" s="23">
        <f>I$77*'增加值 (2001-2022, 当年价) '!I57</f>
        <v>22214.293173693201</v>
      </c>
      <c r="J57" s="23">
        <f>J$77*'增加值 (2001-2022, 当年价) '!J57</f>
        <v>22471.738420302012</v>
      </c>
      <c r="K57" s="24">
        <f>K$77*'增加值 (2001-2022, 当年价) '!K57</f>
        <v>23894.578991226455</v>
      </c>
      <c r="L57" s="22">
        <f>L$77*'增加值 (2001-2022, 当年价) '!L57</f>
        <v>25720.526961160911</v>
      </c>
      <c r="M57" s="23">
        <f>M$77*'增加值 (2001-2022, 当年价) '!M57</f>
        <v>27354.589707269035</v>
      </c>
      <c r="N57" s="23">
        <f>N$77*'增加值 (2001-2022, 当年价) '!N57</f>
        <v>29353.002496532965</v>
      </c>
      <c r="O57" s="23">
        <f>O$77*'增加值 (2001-2022, 当年价) '!O57</f>
        <v>31825.567469102905</v>
      </c>
      <c r="P57" s="24">
        <f>P$77*'增加值 (2001-2022, 当年价) '!P57</f>
        <v>34027.489263973992</v>
      </c>
      <c r="Q57" s="22">
        <f>Q$77*'增加值 (2001-2022, 当年价) '!Q57</f>
        <v>36297.463499736106</v>
      </c>
      <c r="R57" s="23">
        <f>R$77*'增加值 (2001-2022, 当年价) '!R57</f>
        <v>39121.852645308427</v>
      </c>
      <c r="S57" s="23">
        <f>S$77*'增加值 (2001-2022, 当年价) '!S57</f>
        <v>41053.77693860625</v>
      </c>
      <c r="T57" s="23">
        <f>T$77*'增加值 (2001-2022, 当年价) '!T57</f>
        <v>42691.5780889854</v>
      </c>
      <c r="U57" s="23">
        <f>U$77*'增加值 (2001-2022, 当年价) '!U57</f>
        <v>40582.9</v>
      </c>
      <c r="V57" s="22">
        <f>V$77*'增加值 (2001-2022, 当年价) '!V57</f>
        <v>44991.98369146973</v>
      </c>
      <c r="W57" s="23">
        <f>W$77*'增加值 (2001-2022, 当年价) '!W57</f>
        <v>46450.003049149032</v>
      </c>
      <c r="X57" s="98">
        <f>VLOOKUP($A57,平滑数据导入!$A$1:$AN$61,COLUMN(平滑数据导入!C$1),0)</f>
        <v>48503.015355213727</v>
      </c>
      <c r="Y57" s="98">
        <f>VLOOKUP($A57,平滑数据导入!$A$1:$AN$61,COLUMN(平滑数据导入!D$1),0)</f>
        <v>50559.100537827333</v>
      </c>
      <c r="Z57" s="132">
        <f>VLOOKUP(A57,情景假设!$B$29:$S$42,14,0)/情景假设!O$28*Z$56</f>
        <v>52600.680667394146</v>
      </c>
      <c r="AA57" s="98">
        <f>VLOOKUP($A57,平滑数据导入!$A$1:$AN$61,COLUMN(平滑数据导入!F$1),0)</f>
        <v>54608.296651931669</v>
      </c>
      <c r="AB57" s="98">
        <f>VLOOKUP($A57,平滑数据导入!$A$1:$AN$61,COLUMN(平滑数据导入!G$1),0)</f>
        <v>56560.723203208538</v>
      </c>
      <c r="AC57" s="98">
        <f>VLOOKUP($A57,平滑数据导入!$A$1:$AN$61,COLUMN(平滑数据导入!H$1),0)</f>
        <v>58435.14842817239</v>
      </c>
      <c r="AD57" s="98">
        <f>VLOOKUP($A57,平滑数据导入!$A$1:$AN$61,COLUMN(平滑数据导入!I$1),0)</f>
        <v>60207.423092346507</v>
      </c>
      <c r="AE57" s="140">
        <f>VLOOKUP(A57,情景假设!$B$29:$S$42,15,0)/情景假设!P$28*AE$56</f>
        <v>61852.382725220763</v>
      </c>
      <c r="AF57" s="100">
        <f>VLOOKUP($A57,平滑数据导入!$A$1:$AN$61,COLUMN(平滑数据导入!K$1),0)</f>
        <v>63352.73236831565</v>
      </c>
      <c r="AG57" s="98">
        <f>VLOOKUP($A57,平滑数据导入!$A$1:$AN$61,COLUMN(平滑数据导入!L$1),0)</f>
        <v>64726.420879482022</v>
      </c>
      <c r="AH57" s="98">
        <f>VLOOKUP($A57,平滑数据导入!$A$1:$AN$61,COLUMN(平滑数据导入!M$1),0)</f>
        <v>66003.682228767997</v>
      </c>
      <c r="AI57" s="98">
        <f>VLOOKUP($A57,平滑数据导入!$A$1:$AN$61,COLUMN(平滑数据导入!N$1),0)</f>
        <v>67218.384282203799</v>
      </c>
      <c r="AJ57" s="132">
        <f>VLOOKUP(A57,情景假设!$B$29:$S$42,16,0)/情景假设!Q$28*AJ$56</f>
        <v>68407.592967370219</v>
      </c>
      <c r="AK57" s="98">
        <f>VLOOKUP($A57,平滑数据导入!$A$1:$AN$61,COLUMN(平滑数据导入!P$1),0)</f>
        <v>69602.321703833921</v>
      </c>
      <c r="AL57" s="98">
        <f>VLOOKUP($A57,平滑数据导入!$A$1:$AN$61,COLUMN(平滑数据导入!Q$1),0)</f>
        <v>70799.226801718949</v>
      </c>
      <c r="AM57" s="98">
        <f>VLOOKUP($A57,平滑数据导入!$A$1:$AN$61,COLUMN(平滑数据导入!R$1),0)</f>
        <v>71985.447134922215</v>
      </c>
      <c r="AN57" s="98">
        <f>VLOOKUP($A57,平滑数据导入!$A$1:$AN$61,COLUMN(平滑数据导入!S$1),0)</f>
        <v>73147.305747964027</v>
      </c>
      <c r="AO57" s="98">
        <f>VLOOKUP($A57,平滑数据导入!$A$1:$AN$61,COLUMN(平滑数据导入!T$1),0)</f>
        <v>74270.343100787562</v>
      </c>
      <c r="AP57" s="100">
        <f>VLOOKUP($A57,平滑数据导入!$A$1:$AN$61,COLUMN(平滑数据导入!U$1),0)</f>
        <v>75339.377364196713</v>
      </c>
      <c r="AQ57" s="98">
        <f>VLOOKUP($A57,平滑数据导入!$A$1:$AN$61,COLUMN(平滑数据导入!V$1),0)</f>
        <v>76338.593869548655</v>
      </c>
      <c r="AR57" s="98">
        <f>VLOOKUP($A57,平滑数据导入!$A$1:$AN$61,COLUMN(平滑数据导入!W$1),0)</f>
        <v>77251.665419157944</v>
      </c>
      <c r="AS57" s="98">
        <f>VLOOKUP($A57,平滑数据导入!$A$1:$AN$61,COLUMN(平滑数据导入!X$1),0)</f>
        <v>78061.90460531904</v>
      </c>
      <c r="AT57" s="99">
        <f>VLOOKUP($A57,平滑数据导入!$A$1:$AN$61,COLUMN(平滑数据导入!Y$1),0)</f>
        <v>78752.448559688884</v>
      </c>
      <c r="AU57" s="98">
        <f>VLOOKUP($A57,平滑数据导入!$A$1:$AN$61,COLUMN(平滑数据导入!Z$1),0)</f>
        <v>79306.475661390054</v>
      </c>
      <c r="AV57" s="98">
        <f>VLOOKUP($A57,平滑数据导入!$A$1:$AN$61,COLUMN(平滑数据导入!AA$1),0)</f>
        <v>79707.452680239352</v>
      </c>
      <c r="AW57" s="98">
        <f>VLOOKUP($A57,平滑数据导入!$A$1:$AN$61,COLUMN(平滑数据导入!AB$1),0)</f>
        <v>79939.409639351696</v>
      </c>
      <c r="AX57" s="98">
        <f>VLOOKUP($A57,平滑数据导入!$A$1:$AN$61,COLUMN(平滑数据导入!AC$1),0)</f>
        <v>79987.238378333597</v>
      </c>
      <c r="AY57" s="140">
        <f>VLOOKUP(A57,情景假设!$B$29:$S$42,17,0)/情景假设!R$28*AY$56</f>
        <v>79837.009425382028</v>
      </c>
      <c r="AZ57" s="100">
        <f>VLOOKUP($A57,平滑数据导入!$A$1:$AN$61,COLUMN(平滑数据导入!AE$1),0)</f>
        <v>79476.300396593258</v>
      </c>
      <c r="BA57" s="98">
        <f>VLOOKUP($A57,平滑数据导入!$A$1:$AN$61,COLUMN(平滑数据导入!AF$1),0)</f>
        <v>78894.527797572475</v>
      </c>
      <c r="BB57" s="98">
        <f>VLOOKUP($A57,平滑数据导入!$A$1:$AN$61,COLUMN(平滑数据导入!AG$1),0)</f>
        <v>78083.272879361728</v>
      </c>
      <c r="BC57" s="98">
        <f>VLOOKUP($A57,平滑数据导入!$A$1:$AN$61,COLUMN(平滑数据导入!AH$1),0)</f>
        <v>77036.59117799536</v>
      </c>
      <c r="BD57" s="99">
        <f>VLOOKUP($A57,平滑数据导入!$A$1:$AN$61,COLUMN(平滑数据导入!AI$1),0)</f>
        <v>75751.294628032687</v>
      </c>
      <c r="BE57" s="98">
        <f>VLOOKUP($A57,平滑数据导入!$A$1:$AN$61,COLUMN(平滑数据导入!AJ$1),0)</f>
        <v>74227.194767073714</v>
      </c>
      <c r="BF57" s="98">
        <f>VLOOKUP($A57,平滑数据导入!$A$1:$AN$61,COLUMN(平滑数据导入!AK$1),0)</f>
        <v>72467.29561539492</v>
      </c>
      <c r="BG57" s="98">
        <f>VLOOKUP($A57,平滑数据导入!$A$1:$AN$61,COLUMN(平滑数据导入!AL$1),0)</f>
        <v>70477.925384154369</v>
      </c>
      <c r="BH57" s="98">
        <f>VLOOKUP($A57,平滑数据导入!$A$1:$AN$61,COLUMN(平滑数据导入!AM$1),0)</f>
        <v>68268.79727945193</v>
      </c>
      <c r="BI57" s="132">
        <f>VLOOKUP(A57,情景假设!$B$29:$S$42,18,0)/情景假设!S$28*BI$56</f>
        <v>65852.991344716065</v>
      </c>
    </row>
    <row r="58" spans="1:61" s="9" customFormat="1" x14ac:dyDescent="0.2">
      <c r="A58" s="14" t="s">
        <v>5</v>
      </c>
      <c r="B58" s="19">
        <f>B$77*'增加值 (2001-2022, 当年价) '!B58</f>
        <v>17152.616485966111</v>
      </c>
      <c r="C58" s="20">
        <f>C$77*'增加值 (2001-2022, 当年价) '!C58</f>
        <v>18681.749754360146</v>
      </c>
      <c r="D58" s="20">
        <f>D$77*'增加值 (2001-2022, 当年价) '!D58</f>
        <v>20339.742996748846</v>
      </c>
      <c r="E58" s="20">
        <f>E$77*'增加值 (2001-2022, 当年价) '!E58</f>
        <v>21201.883194183185</v>
      </c>
      <c r="F58" s="21">
        <f>F$77*'增加值 (2001-2022, 当年价) '!F58</f>
        <v>22884.560803942069</v>
      </c>
      <c r="G58" s="19">
        <f>G$77*'增加值 (2001-2022, 当年价) '!G58</f>
        <v>26058.395523850108</v>
      </c>
      <c r="H58" s="20">
        <f>H$77*'增加值 (2001-2022, 当年价) '!H58</f>
        <v>30623.280761177761</v>
      </c>
      <c r="I58" s="20">
        <f>I$77*'增加值 (2001-2022, 当年价) '!I58</f>
        <v>35540.208943581521</v>
      </c>
      <c r="J58" s="20">
        <f>J$77*'增加值 (2001-2022, 当年价) '!J58</f>
        <v>39448.493208340893</v>
      </c>
      <c r="K58" s="21">
        <f>K$77*'增加值 (2001-2022, 当年价) '!K58</f>
        <v>45678.365859529622</v>
      </c>
      <c r="L58" s="19">
        <f>L$77*'增加值 (2001-2022, 当年价) '!L58</f>
        <v>51500.521306789298</v>
      </c>
      <c r="M58" s="20">
        <f>M$77*'增加值 (2001-2022, 当年价) '!M58</f>
        <v>57367.259264602661</v>
      </c>
      <c r="N58" s="20">
        <f>N$77*'增加值 (2001-2022, 当年价) '!N58</f>
        <v>63443.814282969681</v>
      </c>
      <c r="O58" s="20">
        <f>O$77*'增加值 (2001-2022, 当年价) '!O58</f>
        <v>70456.495572018976</v>
      </c>
      <c r="P58" s="21">
        <f>P$77*'增加值 (2001-2022, 当年价) '!P58</f>
        <v>75503.463751392177</v>
      </c>
      <c r="Q58" s="19">
        <f>Q$77*'增加值 (2001-2022, 当年价) '!Q58</f>
        <v>81020.819704871668</v>
      </c>
      <c r="R58" s="20">
        <f>R$77*'增加值 (2001-2022, 当年价) '!R58</f>
        <v>85528.934305470306</v>
      </c>
      <c r="S58" s="20">
        <f>S$77*'增加值 (2001-2022, 当年价) '!S58</f>
        <v>90483.044653986115</v>
      </c>
      <c r="T58" s="20">
        <f>T$77*'增加值 (2001-2022, 当年价) '!T58</f>
        <v>96158.315337849839</v>
      </c>
      <c r="U58" s="20">
        <f>U$77*'增加值 (2001-2022, 当年价) '!U58</f>
        <v>96086.1</v>
      </c>
      <c r="V58" s="19">
        <f>V$77*'增加值 (2001-2022, 当年价) '!V58</f>
        <v>105634.48778242921</v>
      </c>
      <c r="W58" s="20">
        <f>W$77*'增加值 (2001-2022, 当年价) '!W58</f>
        <v>107085.79216328831</v>
      </c>
      <c r="X58" s="90">
        <f>VLOOKUP($A58,平滑数据导入!$A$1:$AN$61,COLUMN(平滑数据导入!C$1),0)</f>
        <v>112084.10776768099</v>
      </c>
      <c r="Y58" s="90">
        <f>VLOOKUP($A58,平滑数据导入!$A$1:$AN$61,COLUMN(平滑数据导入!D$1),0)</f>
        <v>117103.200827843</v>
      </c>
      <c r="Z58" s="133">
        <f>VLOOKUP(A58,情景假设!$B$29:$S$42,14,0)/情景假设!O$28*Z$56</f>
        <v>122101.50441579989</v>
      </c>
      <c r="AA58" s="90">
        <f>VLOOKUP($A58,平滑数据导入!$A$1:$AN$61,COLUMN(平滑数据导入!F$1),0)</f>
        <v>127032.76943707631</v>
      </c>
      <c r="AB58" s="90">
        <f>VLOOKUP($A58,平滑数据导入!$A$1:$AN$61,COLUMN(平滑数据导入!G$1),0)</f>
        <v>131846.31624844519</v>
      </c>
      <c r="AC58" s="90">
        <f>VLOOKUP($A58,平滑数据导入!$A$1:$AN$61,COLUMN(平滑数据导入!H$1),0)</f>
        <v>136487.4428848197</v>
      </c>
      <c r="AD58" s="90">
        <f>VLOOKUP($A58,平滑数据导入!$A$1:$AN$61,COLUMN(平滑数据导入!I$1),0)</f>
        <v>140898.0029857831</v>
      </c>
      <c r="AE58" s="141">
        <f>VLOOKUP(A58,情景假设!$B$29:$S$42,15,0)/情景假设!P$28*AE$56</f>
        <v>145017.16205792045</v>
      </c>
      <c r="AF58" s="89">
        <f>VLOOKUP($A58,平滑数据导入!$A$1:$AN$61,COLUMN(平滑数据导入!K$1),0)</f>
        <v>148802.346925903</v>
      </c>
      <c r="AG58" s="90">
        <f>VLOOKUP($A58,平滑数据导入!$A$1:$AN$61,COLUMN(平滑数据导入!L$1),0)</f>
        <v>152294.0758404629</v>
      </c>
      <c r="AH58" s="90">
        <f>VLOOKUP($A58,平滑数据导入!$A$1:$AN$61,COLUMN(平滑数据导入!M$1),0)</f>
        <v>155562.36389489801</v>
      </c>
      <c r="AI58" s="90">
        <f>VLOOKUP($A58,平滑数据导入!$A$1:$AN$61,COLUMN(平滑数据导入!N$1),0)</f>
        <v>158686.43335774669</v>
      </c>
      <c r="AJ58" s="133">
        <f>VLOOKUP(A58,情景假设!$B$29:$S$42,16,0)/情景假设!Q$28*AJ$56</f>
        <v>161753.71004618829</v>
      </c>
      <c r="AK58" s="90">
        <f>VLOOKUP($A58,平滑数据导入!$A$1:$AN$61,COLUMN(平滑数据导入!P$1),0)</f>
        <v>164837.82799396999</v>
      </c>
      <c r="AL58" s="90">
        <f>VLOOKUP($A58,平滑数据导入!$A$1:$AN$61,COLUMN(平滑数据导入!Q$1),0)</f>
        <v>167931.00542817899</v>
      </c>
      <c r="AM58" s="90">
        <f>VLOOKUP($A58,平滑数据导入!$A$1:$AN$61,COLUMN(平滑数据导入!R$1),0)</f>
        <v>171002.71472185379</v>
      </c>
      <c r="AN58" s="90">
        <f>VLOOKUP($A58,平滑数据导入!$A$1:$AN$61,COLUMN(平滑数据导入!S$1),0)</f>
        <v>174020.32435338359</v>
      </c>
      <c r="AO58" s="90">
        <f>VLOOKUP($A58,平滑数据导入!$A$1:$AN$61,COLUMN(平滑数据导入!T$1),0)</f>
        <v>176949.1718767448</v>
      </c>
      <c r="AP58" s="89">
        <f>VLOOKUP($A58,平滑数据导入!$A$1:$AN$61,COLUMN(平滑数据导入!U$1),0)</f>
        <v>179752.70186935729</v>
      </c>
      <c r="AQ58" s="90">
        <f>VLOOKUP($A58,平滑数据导入!$A$1:$AN$61,COLUMN(平滑数据导入!V$1),0)</f>
        <v>182392.67436644359</v>
      </c>
      <c r="AR58" s="90">
        <f>VLOOKUP($A58,平滑数据导入!$A$1:$AN$61,COLUMN(平滑数据导入!W$1),0)</f>
        <v>184829.44836501879</v>
      </c>
      <c r="AS58" s="90">
        <f>VLOOKUP($A58,平滑数据导入!$A$1:$AN$61,COLUMN(平滑数据导入!X$1),0)</f>
        <v>187022.34366161571</v>
      </c>
      <c r="AT58" s="101">
        <f>VLOOKUP($A58,平滑数据导入!$A$1:$AN$61,COLUMN(平滑数据导入!Y$1),0)</f>
        <v>188930.0825572701</v>
      </c>
      <c r="AU58" s="90">
        <f>VLOOKUP($A58,平滑数据导入!$A$1:$AN$61,COLUMN(平滑数据导入!Z$1),0)</f>
        <v>190511.3108186388</v>
      </c>
      <c r="AV58" s="90">
        <f>VLOOKUP($A58,平滑数据导入!$A$1:$AN$61,COLUMN(平滑数据导入!AA$1),0)</f>
        <v>191725.19474262619</v>
      </c>
      <c r="AW58" s="90">
        <f>VLOOKUP($A58,平滑数据导入!$A$1:$AN$61,COLUMN(平滑数据导入!AB$1),0)</f>
        <v>192532.08827445519</v>
      </c>
      <c r="AX58" s="90">
        <f>VLOOKUP($A58,平滑数据导入!$A$1:$AN$61,COLUMN(平滑数据导入!AC$1),0)</f>
        <v>192894.26094327911</v>
      </c>
      <c r="AY58" s="141">
        <f>VLOOKUP(A58,情景假设!$B$29:$S$42,17,0)/情景假设!R$28*AY$56</f>
        <v>192776.67400138066</v>
      </c>
      <c r="AZ58" s="89">
        <f>VLOOKUP($A58,平滑数据导入!$A$1:$AN$61,COLUMN(平滑数据导入!AE$1),0)</f>
        <v>192147.78870826471</v>
      </c>
      <c r="BA58" s="90">
        <f>VLOOKUP($A58,平滑数据导入!$A$1:$AN$61,COLUMN(平滑数据导入!AF$1),0)</f>
        <v>190980.3873427097</v>
      </c>
      <c r="BB58" s="90">
        <f>VLOOKUP($A58,平滑数据导入!$A$1:$AN$61,COLUMN(平滑数据导入!AG$1),0)</f>
        <v>189252.3844316621</v>
      </c>
      <c r="BC58" s="90">
        <f>VLOOKUP($A58,平滑数据导入!$A$1:$AN$61,COLUMN(平滑数据导入!AH$1),0)</f>
        <v>186947.60305033161</v>
      </c>
      <c r="BD58" s="101">
        <f>VLOOKUP($A58,平滑数据导入!$A$1:$AN$61,COLUMN(平滑数据导入!AI$1),0)</f>
        <v>184056.48907796611</v>
      </c>
      <c r="BE58" s="90">
        <f>VLOOKUP($A58,平滑数据导入!$A$1:$AN$61,COLUMN(平滑数据导入!AJ$1),0)</f>
        <v>180576.73519192991</v>
      </c>
      <c r="BF58" s="90">
        <f>VLOOKUP($A58,平滑数据导入!$A$1:$AN$61,COLUMN(平滑数据导入!AK$1),0)</f>
        <v>176513.7863370112</v>
      </c>
      <c r="BG58" s="90">
        <f>VLOOKUP($A58,平滑数据导入!$A$1:$AN$61,COLUMN(平滑数据导入!AL$1),0)</f>
        <v>171881.19957582781</v>
      </c>
      <c r="BH58" s="90">
        <f>VLOOKUP($A58,平滑数据导入!$A$1:$AN$61,COLUMN(平滑数据导入!AM$1),0)</f>
        <v>166700.8337226639</v>
      </c>
      <c r="BI58" s="133">
        <f>VLOOKUP(A58,情景假设!$B$29:$S$42,18,0)/情景假设!S$28*BI$56</f>
        <v>161002.84803984195</v>
      </c>
    </row>
    <row r="59" spans="1:61" s="9" customFormat="1" x14ac:dyDescent="0.2">
      <c r="A59" s="14" t="s">
        <v>6</v>
      </c>
      <c r="B59" s="19">
        <f>B$77*'增加值 (2001-2022, 当年价) '!B59</f>
        <v>4513.6385874010248</v>
      </c>
      <c r="C59" s="20">
        <f>C$77*'增加值 (2001-2022, 当年价) '!C59</f>
        <v>5092.0326235075754</v>
      </c>
      <c r="D59" s="20">
        <f>D$77*'增加值 (2001-2022, 当年价) '!D59</f>
        <v>5691.7851781488607</v>
      </c>
      <c r="E59" s="20">
        <f>E$77*'增加值 (2001-2022, 当年价) '!E59</f>
        <v>6238.1108824838657</v>
      </c>
      <c r="F59" s="21">
        <f>F$77*'增加值 (2001-2022, 当年价) '!F59</f>
        <v>6873.8054741095848</v>
      </c>
      <c r="G59" s="19">
        <f>G$77*'增加值 (2001-2022, 当年价) '!G59</f>
        <v>7553.6469442222424</v>
      </c>
      <c r="H59" s="20">
        <f>H$77*'增加值 (2001-2022, 当年价) '!H59</f>
        <v>8113.2807727908448</v>
      </c>
      <c r="I59" s="20">
        <f>I$77*'增加值 (2001-2022, 当年价) '!I59</f>
        <v>8979.4462881834588</v>
      </c>
      <c r="J59" s="20">
        <f>J$77*'增加值 (2001-2022, 当年价) '!J59</f>
        <v>9462.0566134484743</v>
      </c>
      <c r="K59" s="21">
        <f>K$77*'增加值 (2001-2022, 当年价) '!K59</f>
        <v>9810.4193647830252</v>
      </c>
      <c r="L59" s="19">
        <f>L$77*'增加值 (2001-2022, 当年价) '!L59</f>
        <v>10086.374948865838</v>
      </c>
      <c r="M59" s="20">
        <f>M$77*'增加值 (2001-2022, 当年价) '!M59</f>
        <v>10978.23468974103</v>
      </c>
      <c r="N59" s="20">
        <f>N$77*'增加值 (2001-2022, 当年价) '!N59</f>
        <v>11528.425064808491</v>
      </c>
      <c r="O59" s="20">
        <f>O$77*'增加值 (2001-2022, 当年价) '!O59</f>
        <v>12523.822103857652</v>
      </c>
      <c r="P59" s="21">
        <f>P$77*'增加值 (2001-2022, 当年价) '!P59</f>
        <v>13720.594558606477</v>
      </c>
      <c r="Q59" s="19">
        <f>Q$77*'增加值 (2001-2022, 当年价) '!Q59</f>
        <v>14954.528147087502</v>
      </c>
      <c r="R59" s="20">
        <f>R$77*'增加值 (2001-2022, 当年价) '!R59</f>
        <v>15867.146170529086</v>
      </c>
      <c r="S59" s="20">
        <f>S$77*'增加值 (2001-2022, 当年价) '!S59</f>
        <v>16814.082962921035</v>
      </c>
      <c r="T59" s="20">
        <f>T$77*'增加值 (2001-2022, 当年价) '!T59</f>
        <v>17998.073570923636</v>
      </c>
      <c r="U59" s="20">
        <f>U$77*'增加值 (2001-2022, 当年价) '!U59</f>
        <v>15285.4</v>
      </c>
      <c r="V59" s="19">
        <f>V$77*'增加值 (2001-2022, 当年价) '!V59</f>
        <v>17067.645704961466</v>
      </c>
      <c r="W59" s="20">
        <f>W$77*'增加值 (2001-2022, 当年价) '!W59</f>
        <v>16696.536385320014</v>
      </c>
      <c r="X59" s="90">
        <f>VLOOKUP($A59,平滑数据导入!$A$1:$AN$61,COLUMN(平滑数据导入!C$1),0)</f>
        <v>17540.01664672156</v>
      </c>
      <c r="Y59" s="90">
        <f>VLOOKUP($A59,平滑数据导入!$A$1:$AN$61,COLUMN(平滑数据导入!D$1),0)</f>
        <v>18390.438651230099</v>
      </c>
      <c r="Z59" s="133">
        <f>VLOOKUP(A59,情景假设!$B$29:$S$42,14,0)/情景假设!O$28*Z$56</f>
        <v>19241.078714633055</v>
      </c>
      <c r="AA59" s="90">
        <f>VLOOKUP($A59,平滑数据导入!$A$1:$AN$61,COLUMN(平滑数据导入!F$1),0)</f>
        <v>20084.394925590921</v>
      </c>
      <c r="AB59" s="90">
        <f>VLOOKUP($A59,平滑数据导入!$A$1:$AN$61,COLUMN(平滑数据导入!G$1),0)</f>
        <v>20912.06228524998</v>
      </c>
      <c r="AC59" s="90">
        <f>VLOOKUP($A59,平滑数据导入!$A$1:$AN$61,COLUMN(平滑数据导入!H$1),0)</f>
        <v>21715.034177300509</v>
      </c>
      <c r="AD59" s="90">
        <f>VLOOKUP($A59,平滑数据导入!$A$1:$AN$61,COLUMN(平滑数据导入!I$1),0)</f>
        <v>22483.63259750072</v>
      </c>
      <c r="AE59" s="141">
        <f>VLOOKUP(A59,情景假设!$B$29:$S$42,15,0)/情景假设!P$28*AE$56</f>
        <v>23207.668847782006</v>
      </c>
      <c r="AF59" s="89">
        <f>VLOOKUP($A59,平滑数据导入!$A$1:$AN$61,COLUMN(平滑数据导入!K$1),0)</f>
        <v>23879.825129653229</v>
      </c>
      <c r="AG59" s="90">
        <f>VLOOKUP($A59,平滑数据导入!$A$1:$AN$61,COLUMN(平滑数据导入!L$1),0)</f>
        <v>24506.191467515819</v>
      </c>
      <c r="AH59" s="90">
        <f>VLOOKUP($A59,平滑数据导入!$A$1:$AN$61,COLUMN(平滑数据导入!M$1),0)</f>
        <v>25097.74907785068</v>
      </c>
      <c r="AI59" s="90">
        <f>VLOOKUP($A59,平滑数据导入!$A$1:$AN$61,COLUMN(平滑数据导入!N$1),0)</f>
        <v>25667.123940963811</v>
      </c>
      <c r="AJ59" s="133">
        <f>VLOOKUP(A59,情景假设!$B$29:$S$42,16,0)/情景假设!Q$28*AJ$56</f>
        <v>26228.43272075371</v>
      </c>
      <c r="AK59" s="90">
        <f>VLOOKUP($A59,平滑数据导入!$A$1:$AN$61,COLUMN(平滑数据导入!P$1),0)</f>
        <v>26793.68744794411</v>
      </c>
      <c r="AL59" s="90">
        <f>VLOOKUP($A59,平滑数据导入!$A$1:$AN$61,COLUMN(平滑数据导入!Q$1),0)</f>
        <v>27361.655960216609</v>
      </c>
      <c r="AM59" s="90">
        <f>VLOOKUP($A59,平滑数据导入!$A$1:$AN$61,COLUMN(平滑数据导入!R$1),0)</f>
        <v>27927.357573026329</v>
      </c>
      <c r="AN59" s="90">
        <f>VLOOKUP($A59,平滑数据导入!$A$1:$AN$61,COLUMN(平滑数据导入!S$1),0)</f>
        <v>28485.426283401848</v>
      </c>
      <c r="AO59" s="90">
        <f>VLOOKUP($A59,平滑数据导入!$A$1:$AN$61,COLUMN(平滑数据导入!T$1),0)</f>
        <v>29030.120792628961</v>
      </c>
      <c r="AP59" s="89">
        <f>VLOOKUP($A59,平滑数据导入!$A$1:$AN$61,COLUMN(平滑数据导入!U$1),0)</f>
        <v>29555.345325564689</v>
      </c>
      <c r="AQ59" s="90">
        <f>VLOOKUP($A59,平滑数据导入!$A$1:$AN$61,COLUMN(平滑数据导入!V$1),0)</f>
        <v>30054.682277072101</v>
      </c>
      <c r="AR59" s="90">
        <f>VLOOKUP($A59,平滑数据导入!$A$1:$AN$61,COLUMN(平滑数据导入!W$1),0)</f>
        <v>30521.437570896462</v>
      </c>
      <c r="AS59" s="90">
        <f>VLOOKUP($A59,平滑数据导入!$A$1:$AN$61,COLUMN(平滑数据导入!X$1),0)</f>
        <v>30948.69940438011</v>
      </c>
      <c r="AT59" s="101">
        <f>VLOOKUP($A59,平滑数据导入!$A$1:$AN$61,COLUMN(平滑数据导入!Y$1),0)</f>
        <v>31329.410769819351</v>
      </c>
      <c r="AU59" s="90">
        <f>VLOOKUP($A59,平滑数据导入!$A$1:$AN$61,COLUMN(平滑数据导入!Z$1),0)</f>
        <v>31656.455788671999</v>
      </c>
      <c r="AV59" s="90">
        <f>VLOOKUP($A59,平滑数据导入!$A$1:$AN$61,COLUMN(平滑数据导入!AA$1),0)</f>
        <v>31922.759470173889</v>
      </c>
      <c r="AW59" s="90">
        <f>VLOOKUP($A59,平滑数据导入!$A$1:$AN$61,COLUMN(平滑数据导入!AB$1),0)</f>
        <v>32121.400017122061</v>
      </c>
      <c r="AX59" s="90">
        <f>VLOOKUP($A59,平滑数据导入!$A$1:$AN$61,COLUMN(平滑数据导入!AC$1),0)</f>
        <v>32245.73225906548</v>
      </c>
      <c r="AY59" s="141">
        <f>VLOOKUP(A59,情景假设!$B$29:$S$42,17,0)/情景假设!R$28*AY$56</f>
        <v>32289.520212253399</v>
      </c>
      <c r="AZ59" s="89">
        <f>VLOOKUP($A59,平滑数据导入!$A$1:$AN$61,COLUMN(平滑数据导入!AE$1),0)</f>
        <v>32247.07616686781</v>
      </c>
      <c r="BA59" s="90">
        <f>VLOOKUP($A59,平滑数据导入!$A$1:$AN$61,COLUMN(平滑数据导入!AF$1),0)</f>
        <v>32113.403110657149</v>
      </c>
      <c r="BB59" s="90">
        <f>VLOOKUP($A59,平滑数据导入!$A$1:$AN$61,COLUMN(平滑数据导入!AG$1),0)</f>
        <v>31884.33674383767</v>
      </c>
      <c r="BC59" s="90">
        <f>VLOOKUP($A59,平滑数据导入!$A$1:$AN$61,COLUMN(平滑数据导入!AH$1),0)</f>
        <v>31556.682856232579</v>
      </c>
      <c r="BD59" s="101">
        <f>VLOOKUP($A59,平滑数据导入!$A$1:$AN$61,COLUMN(平滑数据导入!AI$1),0)</f>
        <v>31128.3454592948</v>
      </c>
      <c r="BE59" s="90">
        <f>VLOOKUP($A59,平滑数据导入!$A$1:$AN$61,COLUMN(平滑数据导入!AJ$1),0)</f>
        <v>30598.440828356939</v>
      </c>
      <c r="BF59" s="90">
        <f>VLOOKUP($A59,平滑数据导入!$A$1:$AN$61,COLUMN(平滑数据导入!AK$1),0)</f>
        <v>29967.392547593099</v>
      </c>
      <c r="BG59" s="90">
        <f>VLOOKUP($A59,平滑数据导入!$A$1:$AN$61,COLUMN(平滑数据导入!AL$1),0)</f>
        <v>29237.002790693448</v>
      </c>
      <c r="BH59" s="90">
        <f>VLOOKUP($A59,平滑数据导入!$A$1:$AN$61,COLUMN(平滑数据导入!AM$1),0)</f>
        <v>28410.49543587791</v>
      </c>
      <c r="BI59" s="133">
        <f>VLOOKUP(A59,情景假设!$B$29:$S$42,18,0)/情景假设!S$28*BI$56</f>
        <v>27492.527216567025</v>
      </c>
    </row>
    <row r="60" spans="1:61" s="9" customFormat="1" x14ac:dyDescent="0.2">
      <c r="A60" s="14" t="s">
        <v>7</v>
      </c>
      <c r="B60" s="19">
        <f>B$77*'增加值 (2001-2022, 当年价) '!B60</f>
        <v>9784.408500699994</v>
      </c>
      <c r="C60" s="20">
        <f>C$77*'增加值 (2001-2022, 当年价) '!C60</f>
        <v>10382.528937787503</v>
      </c>
      <c r="D60" s="20">
        <f>D$77*'增加值 (2001-2022, 当年价) '!D60</f>
        <v>11007.589536974048</v>
      </c>
      <c r="E60" s="20">
        <f>E$77*'增加值 (2001-2022, 当年价) '!E60</f>
        <v>11234.659311987014</v>
      </c>
      <c r="F60" s="21">
        <f>F$77*'增加值 (2001-2022, 当年价) '!F60</f>
        <v>12264.296250729163</v>
      </c>
      <c r="G60" s="19">
        <f>G$77*'增加值 (2001-2022, 当年价) '!G60</f>
        <v>15717.404628357772</v>
      </c>
      <c r="H60" s="20">
        <f>H$77*'增加值 (2001-2022, 当年价) '!H60</f>
        <v>22227.765856134683</v>
      </c>
      <c r="I60" s="20">
        <f>I$77*'增加值 (2001-2022, 当年价) '!I60</f>
        <v>24898.85730634338</v>
      </c>
      <c r="J60" s="20">
        <f>J$77*'增加值 (2001-2022, 当年价) '!J60</f>
        <v>29699.732335281249</v>
      </c>
      <c r="K60" s="21">
        <f>K$77*'增加值 (2001-2022, 当年价) '!K60</f>
        <v>32735.023671667281</v>
      </c>
      <c r="L60" s="19">
        <f>L$77*'增加值 (2001-2022, 当年价) '!L60</f>
        <v>36207.040865314841</v>
      </c>
      <c r="M60" s="20">
        <f>M$77*'增加值 (2001-2022, 当年价) '!M60</f>
        <v>40602.972624593269</v>
      </c>
      <c r="N60" s="20">
        <f>N$77*'增加值 (2001-2022, 当年价) '!N60</f>
        <v>46542.227698753755</v>
      </c>
      <c r="O60" s="20">
        <f>O$77*'增加值 (2001-2022, 当年价) '!O60</f>
        <v>52257.487203405923</v>
      </c>
      <c r="P60" s="21">
        <f>P$77*'增加值 (2001-2022, 当年价) '!P60</f>
        <v>62771.042778023329</v>
      </c>
      <c r="Q60" s="19">
        <f>Q$77*'增加值 (2001-2022, 当年价) '!Q60</f>
        <v>65898.479240726272</v>
      </c>
      <c r="R60" s="20">
        <f>R$77*'增加值 (2001-2022, 当年价) '!R60</f>
        <v>68337.804624444689</v>
      </c>
      <c r="S60" s="20">
        <f>S$77*'增加值 (2001-2022, 当年价) '!S60</f>
        <v>71864.668488840805</v>
      </c>
      <c r="T60" s="20">
        <f>T$77*'增加值 (2001-2022, 当年价) '!T60</f>
        <v>76655.099319507237</v>
      </c>
      <c r="U60" s="20">
        <f>U$77*'增加值 (2001-2022, 当年价) '!U60</f>
        <v>83617.7</v>
      </c>
      <c r="V60" s="19">
        <f>V$77*'增加值 (2001-2022, 当年价) '!V60</f>
        <v>87195.415071666503</v>
      </c>
      <c r="W60" s="20">
        <f>W$77*'增加值 (2001-2022, 当年价) '!W60</f>
        <v>90528.212015436089</v>
      </c>
      <c r="X60" s="90">
        <f>VLOOKUP($A60,平滑数据导入!$A$1:$AN$61,COLUMN(平滑数据导入!C$1),0)</f>
        <v>95168.114376113517</v>
      </c>
      <c r="Y60" s="90">
        <f>VLOOKUP($A60,平滑数据导入!$A$1:$AN$61,COLUMN(平滑数据导入!D$1),0)</f>
        <v>100177.17703334409</v>
      </c>
      <c r="Z60" s="133">
        <f>VLOOKUP(A60,情景假设!$B$29:$S$42,14,0)/情景假设!O$28*Z$56</f>
        <v>105499.81743345509</v>
      </c>
      <c r="AA60" s="90">
        <f>VLOOKUP($A60,平滑数据导入!$A$1:$AN$61,COLUMN(平滑数据导入!F$1),0)</f>
        <v>111064.6908227651</v>
      </c>
      <c r="AB60" s="90">
        <f>VLOOKUP($A60,平滑数据导入!$A$1:$AN$61,COLUMN(平滑数据导入!G$1),0)</f>
        <v>116782.4256965422</v>
      </c>
      <c r="AC60" s="90">
        <f>VLOOKUP($A60,平滑数据导入!$A$1:$AN$61,COLUMN(平滑数据导入!H$1),0)</f>
        <v>122543.96789372699</v>
      </c>
      <c r="AD60" s="90">
        <f>VLOOKUP($A60,平滑数据导入!$A$1:$AN$61,COLUMN(平滑数据导入!I$1),0)</f>
        <v>128219.8140600636</v>
      </c>
      <c r="AE60" s="141">
        <f>VLOOKUP(A60,情景假设!$B$29:$S$42,15,0)/情景假设!P$28*AE$56</f>
        <v>133660.4428577816</v>
      </c>
      <c r="AF60" s="89">
        <f>VLOOKUP($A60,平滑数据导入!$A$1:$AN$61,COLUMN(平滑数据导入!K$1),0)</f>
        <v>138731.72800529079</v>
      </c>
      <c r="AG60" s="90">
        <f>VLOOKUP($A60,平滑数据导入!$A$1:$AN$61,COLUMN(平滑数据导入!L$1),0)</f>
        <v>143427.9103873616</v>
      </c>
      <c r="AH60" s="90">
        <f>VLOOKUP($A60,平滑数据导入!$A$1:$AN$61,COLUMN(平滑数据导入!M$1),0)</f>
        <v>147788.67581253091</v>
      </c>
      <c r="AI60" s="90">
        <f>VLOOKUP($A60,平滑数据导入!$A$1:$AN$61,COLUMN(平滑数据导入!N$1),0)</f>
        <v>151866.81737280919</v>
      </c>
      <c r="AJ60" s="133">
        <f>VLOOKUP(A60,情景假设!$B$29:$S$42,16,0)/情景假设!Q$28*AJ$56</f>
        <v>155726.8534152217</v>
      </c>
      <c r="AK60" s="90">
        <f>VLOOKUP($A60,平滑数据导入!$A$1:$AN$61,COLUMN(平滑数据导入!P$1),0)</f>
        <v>159426.34395992191</v>
      </c>
      <c r="AL60" s="90">
        <f>VLOOKUP($A60,平滑数据导入!$A$1:$AN$61,COLUMN(平滑数据导入!Q$1),0)</f>
        <v>162959.42228412969</v>
      </c>
      <c r="AM60" s="90">
        <f>VLOOKUP($A60,平滑数据导入!$A$1:$AN$61,COLUMN(平滑数据导入!R$1),0)</f>
        <v>166303.33924518459</v>
      </c>
      <c r="AN60" s="90">
        <f>VLOOKUP($A60,平滑数据导入!$A$1:$AN$61,COLUMN(平滑数据导入!S$1),0)</f>
        <v>169435.2855684846</v>
      </c>
      <c r="AO60" s="90">
        <f>VLOOKUP($A60,平滑数据导入!$A$1:$AN$61,COLUMN(平滑数据导入!T$1),0)</f>
        <v>172332.59861354801</v>
      </c>
      <c r="AP60" s="89">
        <f>VLOOKUP($A60,平滑数据导入!$A$1:$AN$61,COLUMN(平滑数据导入!U$1),0)</f>
        <v>174972.98288638101</v>
      </c>
      <c r="AQ60" s="90">
        <f>VLOOKUP($A60,平滑数据导入!$A$1:$AN$61,COLUMN(平滑数据导入!V$1),0)</f>
        <v>177334.7421322513</v>
      </c>
      <c r="AR60" s="90">
        <f>VLOOKUP($A60,平滑数据导入!$A$1:$AN$61,COLUMN(平滑数据导入!W$1),0)</f>
        <v>179397.0204375569</v>
      </c>
      <c r="AS60" s="90">
        <f>VLOOKUP($A60,平滑数据导入!$A$1:$AN$61,COLUMN(平滑数据导入!X$1),0)</f>
        <v>181140.04937923251</v>
      </c>
      <c r="AT60" s="101">
        <f>VLOOKUP($A60,平滑数据导入!$A$1:$AN$61,COLUMN(平滑数据导入!Y$1),0)</f>
        <v>182545.39789607559</v>
      </c>
      <c r="AU60" s="90">
        <f>VLOOKUP($A60,平滑数据导入!$A$1:$AN$61,COLUMN(平滑数据导入!Z$1),0)</f>
        <v>183596.22123038719</v>
      </c>
      <c r="AV60" s="90">
        <f>VLOOKUP($A60,平滑数据导入!$A$1:$AN$61,COLUMN(平滑数据导入!AA$1),0)</f>
        <v>184277.505012115</v>
      </c>
      <c r="AW60" s="90">
        <f>VLOOKUP($A60,平滑数据导入!$A$1:$AN$61,COLUMN(平滑数据导入!AB$1),0)</f>
        <v>184576.3003431815</v>
      </c>
      <c r="AX60" s="90">
        <f>VLOOKUP($A60,平滑数据导入!$A$1:$AN$61,COLUMN(平滑数据导入!AC$1),0)</f>
        <v>184481.94559793751</v>
      </c>
      <c r="AY60" s="141">
        <f>VLOOKUP(A60,情景假设!$B$29:$S$42,17,0)/情景假设!R$28*AY$56</f>
        <v>183986.27059701772</v>
      </c>
      <c r="AZ60" s="89">
        <f>VLOOKUP($A60,平滑数据导入!$A$1:$AN$61,COLUMN(平滑数据导入!AE$1),0)</f>
        <v>183083.7788451098</v>
      </c>
      <c r="BA60" s="90">
        <f>VLOOKUP($A60,平滑数据导入!$A$1:$AN$61,COLUMN(平滑数据导入!AF$1),0)</f>
        <v>181771.803655233</v>
      </c>
      <c r="BB60" s="90">
        <f>VLOOKUP($A60,平滑数据导入!$A$1:$AN$61,COLUMN(平滑数据导入!AG$1),0)</f>
        <v>180050.63421787519</v>
      </c>
      <c r="BC60" s="90">
        <f>VLOOKUP($A60,平滑数据导入!$A$1:$AN$61,COLUMN(平滑数据导入!AH$1),0)</f>
        <v>177923.60801483801</v>
      </c>
      <c r="BD60" s="101">
        <f>VLOOKUP($A60,平滑数据导入!$A$1:$AN$61,COLUMN(平滑数据导入!AI$1),0)</f>
        <v>175397.16642411411</v>
      </c>
      <c r="BE60" s="90">
        <f>VLOOKUP($A60,平滑数据导入!$A$1:$AN$61,COLUMN(平滑数据导入!AJ$1),0)</f>
        <v>172480.87090954481</v>
      </c>
      <c r="BF60" s="90">
        <f>VLOOKUP($A60,平滑数据导入!$A$1:$AN$61,COLUMN(平滑数据导入!AK$1),0)</f>
        <v>169187.37783009111</v>
      </c>
      <c r="BG60" s="90">
        <f>VLOOKUP($A60,平滑数据导入!$A$1:$AN$61,COLUMN(平滑数据导入!AL$1),0)</f>
        <v>165532.37062757349</v>
      </c>
      <c r="BH60" s="90">
        <f>VLOOKUP($A60,平滑数据导入!$A$1:$AN$61,COLUMN(平滑数据导入!AM$1),0)</f>
        <v>161534.44894476471</v>
      </c>
      <c r="BI60" s="133">
        <f>VLOOKUP(A60,情景假设!$B$29:$S$42,18,0)/情景假设!S$28*BI$56</f>
        <v>157214.97507064807</v>
      </c>
    </row>
    <row r="61" spans="1:61" s="9" customFormat="1" x14ac:dyDescent="0.2">
      <c r="A61" s="14" t="s">
        <v>8</v>
      </c>
      <c r="B61" s="19">
        <f>B$77*'增加值 (2001-2022, 当年价) '!B61</f>
        <v>8849.7481207415294</v>
      </c>
      <c r="C61" s="20">
        <f>C$77*'增加值 (2001-2022, 当年价) '!C61</f>
        <v>9968.9694766959637</v>
      </c>
      <c r="D61" s="20">
        <f>D$77*'增加值 (2001-2022, 当年价) '!D61</f>
        <v>11210.23682603325</v>
      </c>
      <c r="E61" s="20">
        <f>E$77*'增加值 (2001-2022, 当年价) '!E61</f>
        <v>12174.086673928416</v>
      </c>
      <c r="F61" s="21">
        <f>F$77*'增加值 (2001-2022, 当年价) '!F61</f>
        <v>13897.18752418652</v>
      </c>
      <c r="G61" s="19">
        <f>G$77*'增加值 (2001-2022, 当年价) '!G61</f>
        <v>16266.835276597949</v>
      </c>
      <c r="H61" s="20">
        <f>H$77*'增加值 (2001-2022, 当年价) '!H61</f>
        <v>20054.709273094148</v>
      </c>
      <c r="I61" s="20">
        <f>I$77*'增加值 (2001-2022, 当年价) '!I61</f>
        <v>19815.693481260099</v>
      </c>
      <c r="J61" s="20">
        <f>J$77*'增加值 (2001-2022, 当年价) '!J61</f>
        <v>25515.727051401482</v>
      </c>
      <c r="K61" s="21">
        <f>K$77*'增加值 (2001-2022, 当年价) '!K61</f>
        <v>29673.719962985957</v>
      </c>
      <c r="L61" s="19">
        <f>L$77*'增加值 (2001-2022, 当年价) '!L61</f>
        <v>32713.773617339204</v>
      </c>
      <c r="M61" s="20">
        <f>M$77*'增加值 (2001-2022, 当年价) '!M61</f>
        <v>35399.508787493542</v>
      </c>
      <c r="N61" s="20">
        <f>N$77*'增加值 (2001-2022, 当年价) '!N61</f>
        <v>39832.538462927179</v>
      </c>
      <c r="O61" s="20">
        <f>O$77*'增加值 (2001-2022, 当年价) '!O61</f>
        <v>42479.298420686639</v>
      </c>
      <c r="P61" s="21">
        <f>P$77*'增加值 (2001-2022, 当年价) '!P61</f>
        <v>47467.341287589115</v>
      </c>
      <c r="Q61" s="19">
        <f>Q$77*'增加值 (2001-2022, 当年价) '!Q61</f>
        <v>54914.739986851237</v>
      </c>
      <c r="R61" s="20">
        <f>R$77*'增加值 (2001-2022, 当年价) '!R61</f>
        <v>60161.524062886783</v>
      </c>
      <c r="S61" s="20">
        <f>S$77*'增加值 (2001-2022, 当年价) '!S61</f>
        <v>65771.006096197845</v>
      </c>
      <c r="T61" s="20">
        <f>T$77*'增加值 (2001-2022, 当年价) '!T61</f>
        <v>70818.500320559091</v>
      </c>
      <c r="U61" s="20">
        <f>U$77*'增加值 (2001-2022, 当年价) '!U61</f>
        <v>73425.3</v>
      </c>
      <c r="V61" s="19">
        <f>V$77*'增加值 (2001-2022, 当年价) '!V61</f>
        <v>74150.558181630418</v>
      </c>
      <c r="W61" s="20">
        <f>W$77*'增加值 (2001-2022, 当年价) '!W61</f>
        <v>69030.48514791824</v>
      </c>
      <c r="X61" s="90">
        <f>VLOOKUP($A61,平滑数据导入!$A$1:$AN$61,COLUMN(平滑数据导入!C$1),0)</f>
        <v>72919.080434416785</v>
      </c>
      <c r="Y61" s="90">
        <f>VLOOKUP($A61,平滑数据导入!$A$1:$AN$61,COLUMN(平滑数据导入!D$1),0)</f>
        <v>76843.649232344003</v>
      </c>
      <c r="Z61" s="133">
        <f>VLOOKUP(A61,情景假设!$B$29:$S$42,14,0)/情景假设!O$28*Z$56</f>
        <v>80767.160069239122</v>
      </c>
      <c r="AA61" s="90">
        <f>VLOOKUP($A61,平滑数据导入!$A$1:$AN$61,COLUMN(平滑数据导入!F$1),0)</f>
        <v>84647.701879922883</v>
      </c>
      <c r="AB61" s="90">
        <f>VLOOKUP($A61,平滑数据导入!$A$1:$AN$61,COLUMN(平滑数据导入!G$1),0)</f>
        <v>88438.741273105348</v>
      </c>
      <c r="AC61" s="90">
        <f>VLOOKUP($A61,平滑数据导入!$A$1:$AN$61,COLUMN(平滑数据导入!H$1),0)</f>
        <v>92089.570836288956</v>
      </c>
      <c r="AD61" s="90">
        <f>VLOOKUP($A61,平滑数据导入!$A$1:$AN$61,COLUMN(平滑数据导入!I$1),0)</f>
        <v>95545.965760798194</v>
      </c>
      <c r="AE61" s="141">
        <f>VLOOKUP(A61,情景假设!$B$29:$S$42,15,0)/情景假设!P$28*AE$56</f>
        <v>98751.05932930579</v>
      </c>
      <c r="AF61" s="89">
        <f>VLOOKUP($A61,平滑数据导入!$A$1:$AN$61,COLUMN(平滑数据导入!K$1),0)</f>
        <v>101667.1483709998</v>
      </c>
      <c r="AG61" s="90">
        <f>VLOOKUP($A61,平滑数据导入!$A$1:$AN$61,COLUMN(平滑数据导入!L$1),0)</f>
        <v>104343.36900573601</v>
      </c>
      <c r="AH61" s="90">
        <f>VLOOKUP($A61,平滑数据导入!$A$1:$AN$61,COLUMN(平滑数据导入!M$1),0)</f>
        <v>106860.8778524177</v>
      </c>
      <c r="AI61" s="90">
        <f>VLOOKUP($A61,平滑数据导入!$A$1:$AN$61,COLUMN(平滑数据导入!N$1),0)</f>
        <v>109311.6945030996</v>
      </c>
      <c r="AJ61" s="133">
        <f>VLOOKUP(A61,情景假设!$B$29:$S$42,16,0)/情景假设!Q$28*AJ$56</f>
        <v>111797.69734948852</v>
      </c>
      <c r="AK61" s="90">
        <f>VLOOKUP($A61,平滑数据导入!$A$1:$AN$61,COLUMN(平滑数据导入!P$1),0)</f>
        <v>114407.6609854148</v>
      </c>
      <c r="AL61" s="90">
        <f>VLOOKUP($A61,平滑数据导入!$A$1:$AN$61,COLUMN(平滑数据导入!Q$1),0)</f>
        <v>117145.1707446503</v>
      </c>
      <c r="AM61" s="90">
        <f>VLOOKUP($A61,平滑数据导入!$A$1:$AN$61,COLUMN(平滑数据导入!R$1),0)</f>
        <v>119990.0026631053</v>
      </c>
      <c r="AN61" s="90">
        <f>VLOOKUP($A61,平滑数据导入!$A$1:$AN$61,COLUMN(平滑数据导入!S$1),0)</f>
        <v>122919.6972366196</v>
      </c>
      <c r="AO61" s="90">
        <f>VLOOKUP($A61,平滑数据导入!$A$1:$AN$61,COLUMN(平滑数据导入!T$1),0)</f>
        <v>125909.3557626105</v>
      </c>
      <c r="AP61" s="89">
        <f>VLOOKUP($A61,平滑数据导入!$A$1:$AN$61,COLUMN(平滑数据导入!U$1),0)</f>
        <v>128931.4830126078</v>
      </c>
      <c r="AQ61" s="90">
        <f>VLOOKUP($A61,平滑数据导入!$A$1:$AN$61,COLUMN(平滑数据导入!V$1),0)</f>
        <v>131955.8857242901</v>
      </c>
      <c r="AR61" s="90">
        <f>VLOOKUP($A61,平滑数据导入!$A$1:$AN$61,COLUMN(平滑数据导入!W$1),0)</f>
        <v>134949.63719228719</v>
      </c>
      <c r="AS61" s="90">
        <f>VLOOKUP($A61,平滑数据导入!$A$1:$AN$61,COLUMN(平滑数据导入!X$1),0)</f>
        <v>137877.11864905449</v>
      </c>
      <c r="AT61" s="101">
        <f>VLOOKUP($A61,平滑数据导入!$A$1:$AN$61,COLUMN(平滑数据导入!Y$1),0)</f>
        <v>140700.14806690099</v>
      </c>
      <c r="AU61" s="90">
        <f>VLOOKUP($A61,平滑数据导入!$A$1:$AN$61,COLUMN(平滑数据导入!Z$1),0)</f>
        <v>143378.20638426169</v>
      </c>
      <c r="AV61" s="90">
        <f>VLOOKUP($A61,平滑数据导入!$A$1:$AN$61,COLUMN(平滑数据导入!AA$1),0)</f>
        <v>145868.76987321029</v>
      </c>
      <c r="AW61" s="90">
        <f>VLOOKUP($A61,平滑数据导入!$A$1:$AN$61,COLUMN(平滑数据导入!AB$1),0)</f>
        <v>148127.75534400609</v>
      </c>
      <c r="AX61" s="90">
        <f>VLOOKUP($A61,平滑数据导入!$A$1:$AN$61,COLUMN(平滑数据导入!AC$1),0)</f>
        <v>150110.08207223081</v>
      </c>
      <c r="AY61" s="141">
        <f>VLOOKUP(A61,情景假设!$B$29:$S$42,17,0)/情景假设!R$28*AY$56</f>
        <v>151770.35071433356</v>
      </c>
      <c r="AZ61" s="89">
        <f>VLOOKUP($A61,平滑数据导入!$A$1:$AN$61,COLUMN(平滑数据导入!AE$1),0)</f>
        <v>153063.6350717294</v>
      </c>
      <c r="BA61" s="90">
        <f>VLOOKUP($A61,平滑数据导入!$A$1:$AN$61,COLUMN(平滑数据导入!AF$1),0)</f>
        <v>153946.37744965561</v>
      </c>
      <c r="BB61" s="90">
        <f>VLOOKUP($A61,平滑数据导入!$A$1:$AN$61,COLUMN(平滑数据导入!AG$1),0)</f>
        <v>154377.37267477359</v>
      </c>
      <c r="BC61" s="90">
        <f>VLOOKUP($A61,平滑数据导入!$A$1:$AN$61,COLUMN(平滑数据导入!AH$1),0)</f>
        <v>154318.81979248681</v>
      </c>
      <c r="BD61" s="101">
        <f>VLOOKUP($A61,平滑数据导入!$A$1:$AN$61,COLUMN(平滑数据导入!AI$1),0)</f>
        <v>153737.41433740311</v>
      </c>
      <c r="BE61" s="90">
        <f>VLOOKUP($A61,平滑数据导入!$A$1:$AN$61,COLUMN(平滑数据导入!AJ$1),0)</f>
        <v>152605.44819858501</v>
      </c>
      <c r="BF61" s="90">
        <f>VLOOKUP($A61,平滑数据导入!$A$1:$AN$61,COLUMN(平滑数据导入!AK$1),0)</f>
        <v>150901.87887894319</v>
      </c>
      <c r="BG61" s="90">
        <f>VLOOKUP($A61,平滑数据导入!$A$1:$AN$61,COLUMN(平滑数据导入!AL$1),0)</f>
        <v>148613.3258040573</v>
      </c>
      <c r="BH61" s="90">
        <f>VLOOKUP($A61,平滑数据导入!$A$1:$AN$61,COLUMN(平滑数据导入!AM$1),0)</f>
        <v>145734.94870856919</v>
      </c>
      <c r="BI61" s="133">
        <f>VLOOKUP(A61,情景假设!$B$29:$S$42,18,0)/情景假设!S$28*BI$56</f>
        <v>142271.16243467634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K$77*'增加值 (2001-2022, 当年价) '!K62</f>
        <v>11512.104788054585</v>
      </c>
      <c r="L62" s="19">
        <f>L$77*'增加值 (2001-2022, 当年价) '!L62</f>
        <v>12134.643632880272</v>
      </c>
      <c r="M62" s="20">
        <f>M$77*'增加值 (2001-2022, 当年价) '!M62</f>
        <v>13731.513190189038</v>
      </c>
      <c r="N62" s="20">
        <f>N$77*'增加值 (2001-2022, 当年价) '!N62</f>
        <v>15474.890022027235</v>
      </c>
      <c r="O62" s="20">
        <f>O$77*'增加值 (2001-2022, 当年价) '!O62</f>
        <v>17254.984302718942</v>
      </c>
      <c r="P62" s="21">
        <f>P$77*'增加值 (2001-2022, 当年价) '!P62</f>
        <v>19530.225722543935</v>
      </c>
      <c r="Q62" s="19">
        <f>Q$77*'增加值 (2001-2022, 当年价) '!Q62</f>
        <v>22115.729205661723</v>
      </c>
      <c r="R62" s="20">
        <f>R$77*'增加值 (2001-2022, 当年价) '!R62</f>
        <v>25091.611082592321</v>
      </c>
      <c r="S62" s="20">
        <f>S$77*'增加值 (2001-2022, 当年价) '!S62</f>
        <v>29243.941068429212</v>
      </c>
      <c r="T62" s="20">
        <f>T$77*'增加值 (2001-2022, 当年价) '!T62</f>
        <v>33568.93907008104</v>
      </c>
      <c r="U62" s="20">
        <f>U$77*'增加值 (2001-2022, 当年价) '!U62</f>
        <v>38244.1</v>
      </c>
      <c r="V62" s="89">
        <f>V$77*'增加值 (2001-2022, 当年价) '!V62</f>
        <v>40828.762535731257</v>
      </c>
      <c r="W62" s="90">
        <f>W$77*'增加值 (2001-2022, 当年价) '!W62</f>
        <v>42091.75905114122</v>
      </c>
      <c r="X62" s="90">
        <f>VLOOKUP($A62,平滑数据导入!$A$1:$AN$61,COLUMN(平滑数据导入!C$1),0)</f>
        <v>47837.189361425058</v>
      </c>
      <c r="Y62" s="90">
        <f>VLOOKUP($A62,平滑数据导入!$A$1:$AN$61,COLUMN(平滑数据导入!D$1),0)</f>
        <v>54305.925848328923</v>
      </c>
      <c r="Z62" s="133">
        <f>VLOOKUP(A62,情景假设!$B$29:$S$42,14,0)/情景假设!O$28*Z$56</f>
        <v>61546.752498627429</v>
      </c>
      <c r="AA62" s="90">
        <f>VLOOKUP($A62,平滑数据导入!$A$1:$AN$61,COLUMN(平滑数据导入!F$1),0)</f>
        <v>69598.964897670332</v>
      </c>
      <c r="AB62" s="90">
        <f>VLOOKUP($A62,平滑数据导入!$A$1:$AN$61,COLUMN(平滑数据导入!G$1),0)</f>
        <v>78488.043280342114</v>
      </c>
      <c r="AC62" s="90">
        <f>VLOOKUP($A62,平滑数据导入!$A$1:$AN$61,COLUMN(平滑数据导入!H$1),0)</f>
        <v>88220.735083718129</v>
      </c>
      <c r="AD62" s="90">
        <f>VLOOKUP($A62,平滑数据导入!$A$1:$AN$61,COLUMN(平滑数据导入!I$1),0)</f>
        <v>98779.689273239681</v>
      </c>
      <c r="AE62" s="141">
        <f>VLOOKUP(A62,情景假设!$B$29:$S$42,15,0)/情景假设!P$28*AE$56</f>
        <v>110117.8739827596</v>
      </c>
      <c r="AF62" s="89">
        <f>VLOOKUP($A62,平滑数据导入!$A$1:$AN$61,COLUMN(平滑数据导入!K$1),0)</f>
        <v>122174.9278991696</v>
      </c>
      <c r="AG62" s="90">
        <f>VLOOKUP($A62,平滑数据导入!$A$1:$AN$61,COLUMN(平滑数据导入!L$1),0)</f>
        <v>134955.83823984189</v>
      </c>
      <c r="AH62" s="90">
        <f>VLOOKUP($A62,平滑数据导入!$A$1:$AN$61,COLUMN(平滑数据导入!M$1),0)</f>
        <v>148496.20100987499</v>
      </c>
      <c r="AI62" s="90">
        <f>VLOOKUP($A62,平滑数据导入!$A$1:$AN$61,COLUMN(平滑数据导入!N$1),0)</f>
        <v>162847.7858957031</v>
      </c>
      <c r="AJ62" s="133">
        <f>VLOOKUP(A62,情景假设!$B$29:$S$42,16,0)/情景假设!Q$28*AJ$56</f>
        <v>178081.98600060664</v>
      </c>
      <c r="AK62" s="90">
        <f>VLOOKUP($A62,平滑数据导入!$A$1:$AN$61,COLUMN(平滑数据导入!P$1),0)</f>
        <v>194276.92361547571</v>
      </c>
      <c r="AL62" s="90">
        <f>VLOOKUP($A62,平滑数据导入!$A$1:$AN$61,COLUMN(平滑数据导入!Q$1),0)</f>
        <v>211459.81995175849</v>
      </c>
      <c r="AM62" s="90">
        <f>VLOOKUP($A62,平滑数据导入!$A$1:$AN$61,COLUMN(平滑数据导入!R$1),0)</f>
        <v>229638.62547666309</v>
      </c>
      <c r="AN62" s="90">
        <f>VLOOKUP($A62,平滑数据导入!$A$1:$AN$61,COLUMN(平滑数据导入!S$1),0)</f>
        <v>248815.53192031951</v>
      </c>
      <c r="AO62" s="90">
        <f>VLOOKUP($A62,平滑数据导入!$A$1:$AN$61,COLUMN(平滑数据导入!T$1),0)</f>
        <v>268986.52878978982</v>
      </c>
      <c r="AP62" s="89">
        <f>VLOOKUP($A62,平滑数据导入!$A$1:$AN$61,COLUMN(平滑数据导入!U$1),0)</f>
        <v>290140.99530950171</v>
      </c>
      <c r="AQ62" s="90">
        <f>VLOOKUP($A62,平滑数据导入!$A$1:$AN$61,COLUMN(平滑数据导入!V$1),0)</f>
        <v>312261.33534008497</v>
      </c>
      <c r="AR62" s="90">
        <f>VLOOKUP($A62,平滑数据导入!$A$1:$AN$61,COLUMN(平滑数据导入!W$1),0)</f>
        <v>335322.66264692112</v>
      </c>
      <c r="AS62" s="90">
        <f>VLOOKUP($A62,平滑数据导入!$A$1:$AN$61,COLUMN(平滑数据导入!X$1),0)</f>
        <v>359292.54357258818</v>
      </c>
      <c r="AT62" s="101">
        <f>VLOOKUP($A62,平滑数据导入!$A$1:$AN$61,COLUMN(平滑数据导入!Y$1),0)</f>
        <v>384130.80371258012</v>
      </c>
      <c r="AU62" s="90">
        <f>VLOOKUP($A62,平滑数据导入!$A$1:$AN$61,COLUMN(平滑数据导入!Z$1),0)</f>
        <v>409789.40460297361</v>
      </c>
      <c r="AV62" s="90">
        <f>VLOOKUP($A62,平滑数据导入!$A$1:$AN$61,COLUMN(平滑数据导入!AA$1),0)</f>
        <v>436212.39570682961</v>
      </c>
      <c r="AW62" s="90">
        <f>VLOOKUP($A62,平滑数据导入!$A$1:$AN$61,COLUMN(平滑数据导入!AB$1),0)</f>
        <v>463335.94614076067</v>
      </c>
      <c r="AX62" s="90">
        <f>VLOOKUP($A62,平滑数据导入!$A$1:$AN$61,COLUMN(平滑数据导入!AC$1),0)</f>
        <v>491088.45962492202</v>
      </c>
      <c r="AY62" s="141">
        <f>VLOOKUP(A62,情景假设!$B$29:$S$42,17,0)/情景假设!R$28*AY$56</f>
        <v>519390.7750821872</v>
      </c>
      <c r="AZ62" s="89">
        <f>VLOOKUP($A62,平滑数据导入!$A$1:$AN$61,COLUMN(平滑数据导入!AE$1),0)</f>
        <v>548156.45417138922</v>
      </c>
      <c r="BA62" s="90">
        <f>VLOOKUP($A62,平滑数据导入!$A$1:$AN$61,COLUMN(平滑数据导入!AF$1),0)</f>
        <v>577292.15583377052</v>
      </c>
      <c r="BB62" s="90">
        <f>VLOOKUP($A62,平滑数据导入!$A$1:$AN$61,COLUMN(平滑数据导入!AG$1),0)</f>
        <v>606698.09668126039</v>
      </c>
      <c r="BC62" s="90">
        <f>VLOOKUP($A62,平滑数据导入!$A$1:$AN$61,COLUMN(平滑数据导入!AH$1),0)</f>
        <v>636268.59478193359</v>
      </c>
      <c r="BD62" s="101">
        <f>VLOOKUP($A62,平滑数据导入!$A$1:$AN$61,COLUMN(平滑数据导入!AI$1),0)</f>
        <v>665892.69312483724</v>
      </c>
      <c r="BE62" s="90">
        <f>VLOOKUP($A62,平滑数据导入!$A$1:$AN$61,COLUMN(平滑数据导入!AJ$1),0)</f>
        <v>695454.8577967569</v>
      </c>
      <c r="BF62" s="90">
        <f>VLOOKUP($A62,平滑数据导入!$A$1:$AN$61,COLUMN(平滑数据导入!AK$1),0)</f>
        <v>724835.74470114475</v>
      </c>
      <c r="BG62" s="90">
        <f>VLOOKUP($A62,平滑数据导入!$A$1:$AN$61,COLUMN(平滑数据导入!AL$1),0)</f>
        <v>753913.02751741407</v>
      </c>
      <c r="BH62" s="90">
        <f>VLOOKUP($A62,平滑数据导入!$A$1:$AN$61,COLUMN(平滑数据导入!AM$1),0)</f>
        <v>782562.27855914063</v>
      </c>
      <c r="BI62" s="133">
        <f>VLOOKUP(A62,情景假设!$B$29:$S$42,18,0)/情景假设!S$28*BI$56</f>
        <v>810657.89326328423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K$77*'增加值 (2001-2022, 当年价) '!K63</f>
        <v>9235.1766732951</v>
      </c>
      <c r="L63" s="19">
        <f>L$77*'增加值 (2001-2022, 当年价) '!L63</f>
        <v>10775.019036718917</v>
      </c>
      <c r="M63" s="20">
        <f>M$77*'增加值 (2001-2022, 当年价) '!M63</f>
        <v>12532.839010693882</v>
      </c>
      <c r="N63" s="20">
        <f>N$77*'增加值 (2001-2022, 当年价) '!N63</f>
        <v>14545.249222143182</v>
      </c>
      <c r="O63" s="20">
        <f>O$77*'增加值 (2001-2022, 当年价) '!O63</f>
        <v>17233.458234108643</v>
      </c>
      <c r="P63" s="21">
        <f>P$77*'增加值 (2001-2022, 当年价) '!P63</f>
        <v>20168.976311489714</v>
      </c>
      <c r="Q63" s="19">
        <f>Q$77*'增加值 (2001-2022, 当年价) '!Q63</f>
        <v>23659.228873689208</v>
      </c>
      <c r="R63" s="20">
        <f>R$77*'增加值 (2001-2022, 当年价) '!R63</f>
        <v>26634.906038232781</v>
      </c>
      <c r="S63" s="20">
        <f>S$77*'增加值 (2001-2022, 当年价) '!S63</f>
        <v>29991.998098909156</v>
      </c>
      <c r="T63" s="20">
        <f>T$77*'增加值 (2001-2022, 当年价) '!T63</f>
        <v>32811.140261061249</v>
      </c>
      <c r="U63" s="20">
        <f>U$77*'增加值 (2001-2022, 当年价) '!U63</f>
        <v>32467.599999999999</v>
      </c>
      <c r="V63" s="89">
        <f>V$77*'增加值 (2001-2022, 当年价) '!V63</f>
        <v>34661.867595396638</v>
      </c>
      <c r="W63" s="90">
        <f>W$77*'增加值 (2001-2022, 当年价) '!W63</f>
        <v>35734.097446895939</v>
      </c>
      <c r="X63" s="90">
        <f>VLOOKUP($A63,平滑数据导入!$A$1:$AN$61,COLUMN(平滑数据导入!C$1),0)</f>
        <v>39505.921436380857</v>
      </c>
      <c r="Y63" s="90">
        <f>VLOOKUP($A63,平滑数据导入!$A$1:$AN$61,COLUMN(平滑数据导入!D$1),0)</f>
        <v>43634.624116547813</v>
      </c>
      <c r="Z63" s="133">
        <f>VLOOKUP(A63,情景假设!$B$29:$S$42,14,0)/情景假设!O$28*Z$56</f>
        <v>48126.05906065755</v>
      </c>
      <c r="AA63" s="90">
        <f>VLOOKUP($A63,平滑数据导入!$A$1:$AN$61,COLUMN(平滑数据导入!F$1),0)</f>
        <v>52978.50873253544</v>
      </c>
      <c r="AB63" s="90">
        <f>VLOOKUP($A63,平滑数据导入!$A$1:$AN$61,COLUMN(平滑数据导入!G$1),0)</f>
        <v>58180.825674429041</v>
      </c>
      <c r="AC63" s="90">
        <f>VLOOKUP($A63,平滑数据导入!$A$1:$AN$61,COLUMN(平滑数据导入!H$1),0)</f>
        <v>63710.513337421187</v>
      </c>
      <c r="AD63" s="90">
        <f>VLOOKUP($A63,平滑数据导入!$A$1:$AN$61,COLUMN(平滑数据导入!I$1),0)</f>
        <v>69531.845056052378</v>
      </c>
      <c r="AE63" s="141">
        <f>VLOOKUP(A63,情景假设!$B$29:$S$42,15,0)/情景假设!P$28*AE$56</f>
        <v>75594.148661057232</v>
      </c>
      <c r="AF63" s="89">
        <f>VLOOKUP($A63,平滑数据导入!$A$1:$AN$61,COLUMN(平滑数据导入!K$1),0)</f>
        <v>81844.14364303941</v>
      </c>
      <c r="AG63" s="90">
        <f>VLOOKUP($A63,平滑数据导入!$A$1:$AN$61,COLUMN(平滑数据导入!L$1),0)</f>
        <v>88274.802382861089</v>
      </c>
      <c r="AH63" s="90">
        <f>VLOOKUP($A63,平滑数据导入!$A$1:$AN$61,COLUMN(平滑数据导入!M$1),0)</f>
        <v>94899.342357705144</v>
      </c>
      <c r="AI63" s="90">
        <f>VLOOKUP($A63,平滑数据导入!$A$1:$AN$61,COLUMN(平滑数据导入!N$1),0)</f>
        <v>101740.65812356419</v>
      </c>
      <c r="AJ63" s="133">
        <f>VLOOKUP(A63,情景假设!$B$29:$S$42,16,0)/情景假设!Q$28*AJ$56</f>
        <v>108832.43861115724</v>
      </c>
      <c r="AK63" s="90">
        <f>VLOOKUP($A63,平滑数据导入!$A$1:$AN$61,COLUMN(平滑数据导入!P$1),0)</f>
        <v>116209.57275979369</v>
      </c>
      <c r="AL63" s="90">
        <f>VLOOKUP($A63,平滑数据导入!$A$1:$AN$61,COLUMN(平滑数据导入!Q$1),0)</f>
        <v>123871.40549574931</v>
      </c>
      <c r="AM63" s="90">
        <f>VLOOKUP($A63,平滑数据导入!$A$1:$AN$61,COLUMN(平滑数据导入!R$1),0)</f>
        <v>131804.85094131739</v>
      </c>
      <c r="AN63" s="90">
        <f>VLOOKUP($A63,平滑数据导入!$A$1:$AN$61,COLUMN(平滑数据导入!S$1),0)</f>
        <v>139993.6842002006</v>
      </c>
      <c r="AO63" s="90">
        <f>VLOOKUP($A63,平滑数据导入!$A$1:$AN$61,COLUMN(平滑数据导入!T$1),0)</f>
        <v>148418.40590535451</v>
      </c>
      <c r="AP63" s="89">
        <f>VLOOKUP($A63,平滑数据导入!$A$1:$AN$61,COLUMN(平滑数据导入!U$1),0)</f>
        <v>157056.13474791561</v>
      </c>
      <c r="AQ63" s="90">
        <f>VLOOKUP($A63,平滑数据导入!$A$1:$AN$61,COLUMN(平滑数据导入!V$1),0)</f>
        <v>165880.53263566649</v>
      </c>
      <c r="AR63" s="90">
        <f>VLOOKUP($A63,平滑数据导入!$A$1:$AN$61,COLUMN(平滑数据导入!W$1),0)</f>
        <v>174861.76704707241</v>
      </c>
      <c r="AS63" s="90">
        <f>VLOOKUP($A63,平滑数据导入!$A$1:$AN$61,COLUMN(平滑数据导入!X$1),0)</f>
        <v>183966.5149566512</v>
      </c>
      <c r="AT63" s="101">
        <f>VLOOKUP($A63,平滑数据导入!$A$1:$AN$61,COLUMN(平滑数据导入!Y$1),0)</f>
        <v>193158.0124007742</v>
      </c>
      <c r="AU63" s="90">
        <f>VLOOKUP($A63,平滑数据导入!$A$1:$AN$61,COLUMN(平滑数据导入!Z$1),0)</f>
        <v>202396.1533235347</v>
      </c>
      <c r="AV63" s="90">
        <f>VLOOKUP($A63,平滑数据导入!$A$1:$AN$61,COLUMN(平滑数据导入!AA$1),0)</f>
        <v>211637.6407862397</v>
      </c>
      <c r="AW63" s="90">
        <f>VLOOKUP($A63,平滑数据导入!$A$1:$AN$61,COLUMN(平滑数据导入!AB$1),0)</f>
        <v>220836.19294071349</v>
      </c>
      <c r="AX63" s="90">
        <f>VLOOKUP($A63,平滑数据导入!$A$1:$AN$61,COLUMN(平滑数据导入!AC$1),0)</f>
        <v>229942.80535864399</v>
      </c>
      <c r="AY63" s="141">
        <f>VLOOKUP(A63,情景假设!$B$29:$S$42,17,0)/情景假设!R$28*AY$56</f>
        <v>238906.07038339091</v>
      </c>
      <c r="AZ63" s="89">
        <f>VLOOKUP($A63,平滑数据导入!$A$1:$AN$61,COLUMN(平滑数据导入!AE$1),0)</f>
        <v>247672.55313762219</v>
      </c>
      <c r="BA63" s="90">
        <f>VLOOKUP($A63,平滑数据导入!$A$1:$AN$61,COLUMN(平滑数据导入!AF$1),0)</f>
        <v>256187.22269493731</v>
      </c>
      <c r="BB63" s="90">
        <f>VLOOKUP($A63,平滑数据导入!$A$1:$AN$61,COLUMN(平滑数据导入!AG$1),0)</f>
        <v>264393.93572546123</v>
      </c>
      <c r="BC63" s="90">
        <f>VLOOKUP($A63,平滑数据导入!$A$1:$AN$61,COLUMN(平滑数据导入!AH$1),0)</f>
        <v>272235.96867771749</v>
      </c>
      <c r="BD63" s="101">
        <f>VLOOKUP($A63,平滑数据导入!$A$1:$AN$61,COLUMN(平滑数据导入!AI$1),0)</f>
        <v>279656.59328914591</v>
      </c>
      <c r="BE63" s="90">
        <f>VLOOKUP($A63,平滑数据导入!$A$1:$AN$61,COLUMN(平滑数据导入!AJ$1),0)</f>
        <v>286599.68895615218</v>
      </c>
      <c r="BF63" s="90">
        <f>VLOOKUP($A63,平滑数据导入!$A$1:$AN$61,COLUMN(平滑数据导入!AK$1),0)</f>
        <v>293010.38427493261</v>
      </c>
      <c r="BG63" s="90">
        <f>VLOOKUP($A63,平滑数据导入!$A$1:$AN$61,COLUMN(平滑数据导入!AL$1),0)</f>
        <v>298835.71892197762</v>
      </c>
      <c r="BH63" s="90">
        <f>VLOOKUP($A63,平滑数据导入!$A$1:$AN$61,COLUMN(平滑数据导入!AM$1),0)</f>
        <v>304025.31601456762</v>
      </c>
      <c r="BI63" s="133">
        <f>VLOOKUP(A63,情景假设!$B$29:$S$42,18,0)/情景假设!S$28*BI$56</f>
        <v>308532.05421298096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K$77*'增加值 (2001-2022, 当年价) '!K64</f>
        <v>8223.2227567125155</v>
      </c>
      <c r="L64" s="19">
        <f>L$77*'增加值 (2001-2022, 当年价) '!L64</f>
        <v>9355.5737844991854</v>
      </c>
      <c r="M64" s="20">
        <f>M$77*'增加值 (2001-2022, 当年价) '!M64</f>
        <v>10885.223190938372</v>
      </c>
      <c r="N64" s="20">
        <f>N$77*'增加值 (2001-2022, 当年价) '!N64</f>
        <v>12424.365258586176</v>
      </c>
      <c r="O64" s="20">
        <f>O$77*'增加值 (2001-2022, 当年价) '!O64</f>
        <v>13914.986113061001</v>
      </c>
      <c r="P64" s="21">
        <f>P$77*'增加值 (2001-2022, 当年价) '!P64</f>
        <v>15483.430230071255</v>
      </c>
      <c r="Q64" s="19">
        <f>Q$77*'增加值 (2001-2022, 当年价) '!Q64</f>
        <v>16917.723452864859</v>
      </c>
      <c r="R64" s="20">
        <f>R$77*'增加值 (2001-2022, 当年价) '!R64</f>
        <v>18384.538044701698</v>
      </c>
      <c r="S64" s="20">
        <f>S$77*'增加值 (2001-2022, 当年价) '!S64</f>
        <v>20533.707492574169</v>
      </c>
      <c r="T64" s="20">
        <f>T$77*'增加值 (2001-2022, 当年价) '!T64</f>
        <v>22744.318910727616</v>
      </c>
      <c r="U64" s="20">
        <f>U$77*'增加值 (2001-2022, 当年价) '!U64</f>
        <v>24166.2</v>
      </c>
      <c r="V64" s="89">
        <f>V$77*'增加值 (2001-2022, 当年价) '!V64</f>
        <v>25799.431577445641</v>
      </c>
      <c r="W64" s="90">
        <f>W$77*'增加值 (2001-2022, 当年价) '!W64</f>
        <v>26597.51092538951</v>
      </c>
      <c r="X64" s="90">
        <f>VLOOKUP($A64,平滑数据导入!$A$1:$AN$61,COLUMN(平滑数据导入!C$1),0)</f>
        <v>29127.494066084611</v>
      </c>
      <c r="Y64" s="90">
        <f>VLOOKUP($A64,平滑数据导入!$A$1:$AN$61,COLUMN(平滑数据导入!D$1),0)</f>
        <v>31869.981573227818</v>
      </c>
      <c r="Z64" s="133">
        <f>VLOOKUP(A64,情景假设!$B$29:$S$42,14,0)/情景假设!O$28*Z$56</f>
        <v>34823.851907116121</v>
      </c>
      <c r="AA64" s="90">
        <f>VLOOKUP($A64,平滑数据导入!$A$1:$AN$61,COLUMN(平滑数据导入!F$1),0)</f>
        <v>37982.876260722012</v>
      </c>
      <c r="AB64" s="90">
        <f>VLOOKUP($A64,平滑数据导入!$A$1:$AN$61,COLUMN(平滑数据导入!G$1),0)</f>
        <v>41334.689363672092</v>
      </c>
      <c r="AC64" s="90">
        <f>VLOOKUP($A64,平滑数据导入!$A$1:$AN$61,COLUMN(平滑数据导入!H$1),0)</f>
        <v>44859.769458156181</v>
      </c>
      <c r="AD64" s="90">
        <f>VLOOKUP($A64,平滑数据导入!$A$1:$AN$61,COLUMN(平滑数据导入!I$1),0)</f>
        <v>48530.489038571817</v>
      </c>
      <c r="AE64" s="141">
        <f>VLOOKUP(A64,情景假设!$B$29:$S$42,15,0)/情景假设!P$28*AE$56</f>
        <v>52310.312055659095</v>
      </c>
      <c r="AF64" s="89">
        <f>VLOOKUP($A64,平滑数据导入!$A$1:$AN$61,COLUMN(平滑数据导入!K$1),0)</f>
        <v>56162.434832796527</v>
      </c>
      <c r="AG64" s="90">
        <f>VLOOKUP($A64,平滑数据导入!$A$1:$AN$61,COLUMN(平滑数据导入!L$1),0)</f>
        <v>60082.273382021573</v>
      </c>
      <c r="AH64" s="90">
        <f>VLOOKUP($A64,平滑数据导入!$A$1:$AN$61,COLUMN(平滑数据导入!M$1),0)</f>
        <v>64078.989897198211</v>
      </c>
      <c r="AI64" s="90">
        <f>VLOOKUP($A64,平滑数据导入!$A$1:$AN$61,COLUMN(平滑数据导入!N$1),0)</f>
        <v>68168.052411609911</v>
      </c>
      <c r="AJ64" s="133">
        <f>VLOOKUP(A64,情景假设!$B$29:$S$42,16,0)/情景假设!Q$28*AJ$56</f>
        <v>72371.754678925718</v>
      </c>
      <c r="AK64" s="90">
        <f>VLOOKUP($A64,平滑数据导入!$A$1:$AN$61,COLUMN(平滑数据导入!P$1),0)</f>
        <v>76712.473806631184</v>
      </c>
      <c r="AL64" s="90">
        <f>VLOOKUP($A64,平滑数据导入!$A$1:$AN$61,COLUMN(平滑数据导入!Q$1),0)</f>
        <v>81187.977351674082</v>
      </c>
      <c r="AM64" s="90">
        <f>VLOOKUP($A64,平滑数据导入!$A$1:$AN$61,COLUMN(平滑数据导入!R$1),0)</f>
        <v>85787.71631733836</v>
      </c>
      <c r="AN64" s="90">
        <f>VLOOKUP($A64,平滑数据导入!$A$1:$AN$61,COLUMN(平滑数据导入!S$1),0)</f>
        <v>90499.242948062587</v>
      </c>
      <c r="AO64" s="90">
        <f>VLOOKUP($A64,平滑数据导入!$A$1:$AN$61,COLUMN(平滑数据导入!T$1),0)</f>
        <v>95308.150628751639</v>
      </c>
      <c r="AP64" s="89">
        <f>VLOOKUP($A64,平滑数据导入!$A$1:$AN$61,COLUMN(平滑数据导入!U$1),0)</f>
        <v>100198.03366952761</v>
      </c>
      <c r="AQ64" s="90">
        <f>VLOOKUP($A64,平滑数据导入!$A$1:$AN$61,COLUMN(平滑数据导入!V$1),0)</f>
        <v>105150.46996099529</v>
      </c>
      <c r="AR64" s="90">
        <f>VLOOKUP($A64,平滑数据导入!$A$1:$AN$61,COLUMN(平滑数据导入!W$1),0)</f>
        <v>110145.0293983517</v>
      </c>
      <c r="AS64" s="90">
        <f>VLOOKUP($A64,平滑数据导入!$A$1:$AN$61,COLUMN(平滑数据导入!X$1),0)</f>
        <v>115159.3108066313</v>
      </c>
      <c r="AT64" s="101">
        <f>VLOOKUP($A64,平滑数据导入!$A$1:$AN$61,COLUMN(平滑数据导入!Y$1),0)</f>
        <v>120169.0098475066</v>
      </c>
      <c r="AU64" s="90">
        <f>VLOOKUP($A64,平滑数据导入!$A$1:$AN$61,COLUMN(平滑数据导入!Z$1),0)</f>
        <v>125148.0200455743</v>
      </c>
      <c r="AV64" s="90">
        <f>VLOOKUP($A64,平滑数据导入!$A$1:$AN$61,COLUMN(平滑数据导入!AA$1),0)</f>
        <v>130068.5686362085</v>
      </c>
      <c r="AW64" s="90">
        <f>VLOOKUP($A64,平滑数据导入!$A$1:$AN$61,COLUMN(平滑数据导入!AB$1),0)</f>
        <v>134901.38840768431</v>
      </c>
      <c r="AX64" s="90">
        <f>VLOOKUP($A64,平滑数据导入!$A$1:$AN$61,COLUMN(平滑数据导入!AC$1),0)</f>
        <v>139615.92609005299</v>
      </c>
      <c r="AY64" s="141">
        <f>VLOOKUP(A64,情景假设!$B$29:$S$42,17,0)/情景假设!R$28*AY$56</f>
        <v>144180.58713809145</v>
      </c>
      <c r="AZ64" s="89">
        <f>VLOOKUP($A64,平滑数据导入!$A$1:$AN$61,COLUMN(平滑数据导入!AE$1),0)</f>
        <v>148563.0159749297</v>
      </c>
      <c r="BA64" s="90">
        <f>VLOOKUP($A64,平滑数据导入!$A$1:$AN$61,COLUMN(平滑数据导入!AF$1),0)</f>
        <v>152730.40991965681</v>
      </c>
      <c r="BB64" s="90">
        <f>VLOOKUP($A64,平滑数据导入!$A$1:$AN$61,COLUMN(平滑数据导入!AG$1),0)</f>
        <v>156649.86413285701</v>
      </c>
      <c r="BC64" s="90">
        <f>VLOOKUP($A64,平滑数据导入!$A$1:$AN$61,COLUMN(平滑数据导入!AH$1),0)</f>
        <v>160288.7439987814</v>
      </c>
      <c r="BD64" s="101">
        <f>VLOOKUP($A64,平滑数据导入!$A$1:$AN$61,COLUMN(平滑数据导入!AI$1),0)</f>
        <v>163615.0804450108</v>
      </c>
      <c r="BE64" s="90">
        <f>VLOOKUP($A64,平滑数据导入!$A$1:$AN$61,COLUMN(平滑数据导入!AJ$1),0)</f>
        <v>166597.98280609539</v>
      </c>
      <c r="BF64" s="90">
        <f>VLOOKUP($A64,平滑数据导入!$A$1:$AN$61,COLUMN(平滑数据导入!AK$1),0)</f>
        <v>169208.06299511649</v>
      </c>
      <c r="BG64" s="90">
        <f>VLOOKUP($A64,平滑数据导入!$A$1:$AN$61,COLUMN(平滑数据导入!AL$1),0)</f>
        <v>171417.86398604361</v>
      </c>
      <c r="BH64" s="90">
        <f>VLOOKUP($A64,平滑数据导入!$A$1:$AN$61,COLUMN(平滑数据导入!AM$1),0)</f>
        <v>173202.28496037601</v>
      </c>
      <c r="BI64" s="133">
        <f>VLOOKUP(A64,情景假设!$B$29:$S$42,18,0)/情景假设!S$28*BI$56</f>
        <v>174538.99496343566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K$77*'增加值 (2001-2022, 当年价) '!K65</f>
        <v>2588.8465312850017</v>
      </c>
      <c r="L65" s="19">
        <f>L$77*'增加值 (2001-2022, 当年价) '!L65</f>
        <v>2943.1056237537528</v>
      </c>
      <c r="M65" s="20">
        <f>M$77*'增加值 (2001-2022, 当年价) '!M65</f>
        <v>3481.8302033218015</v>
      </c>
      <c r="N65" s="20">
        <f>N$77*'增加值 (2001-2022, 当年价) '!N65</f>
        <v>4130.9729578746819</v>
      </c>
      <c r="O65" s="20">
        <f>O$77*'增加值 (2001-2022, 当年价) '!O65</f>
        <v>4395.4447557680423</v>
      </c>
      <c r="P65" s="21">
        <f>P$77*'增加值 (2001-2022, 当年价) '!P65</f>
        <v>4603.151826708925</v>
      </c>
      <c r="Q65" s="19">
        <f>Q$77*'增加值 (2001-2022, 当年价) '!Q65</f>
        <v>4785.5632996742488</v>
      </c>
      <c r="R65" s="20">
        <f>R$77*'增加值 (2001-2022, 当年价) '!R65</f>
        <v>4850.5663499254233</v>
      </c>
      <c r="S65" s="20">
        <f>S$77*'增加值 (2001-2022, 当年价) '!S65</f>
        <v>5186.6305211276767</v>
      </c>
      <c r="T65" s="20">
        <f>T$77*'增加值 (2001-2022, 当年价) '!T65</f>
        <v>5892.3934190869013</v>
      </c>
      <c r="U65" s="20">
        <f>U$77*'增加值 (2001-2022, 当年价) '!U65</f>
        <v>5863.1</v>
      </c>
      <c r="V65" s="89">
        <f>V$77*'增加值 (2001-2022, 当年价) '!V65</f>
        <v>6259.3476542328353</v>
      </c>
      <c r="W65" s="90">
        <f>W$77*'增加值 (2001-2022, 当年价) '!W65</f>
        <v>6452.974249433144</v>
      </c>
      <c r="X65" s="90">
        <f>VLOOKUP($A65,平滑数据导入!$A$1:$AN$61,COLUMN(平滑数据导入!C$1),0)</f>
        <v>6880.0377414100012</v>
      </c>
      <c r="Y65" s="90">
        <f>VLOOKUP($A65,平滑数据导入!$A$1:$AN$61,COLUMN(平滑数据导入!D$1),0)</f>
        <v>7330.2007320284638</v>
      </c>
      <c r="Z65" s="133">
        <f>VLOOKUP(A65,情景假设!$B$29:$S$42,14,0)/情景假设!O$28*Z$56</f>
        <v>7801.2047716656189</v>
      </c>
      <c r="AA65" s="90">
        <f>VLOOKUP($A65,平滑数据导入!$A$1:$AN$61,COLUMN(平滑数据导入!F$1),0)</f>
        <v>8290.0062039073255</v>
      </c>
      <c r="AB65" s="90">
        <f>VLOOKUP($A65,平滑数据导入!$A$1:$AN$61,COLUMN(平滑数据导入!G$1),0)</f>
        <v>8792.6949415707841</v>
      </c>
      <c r="AC65" s="90">
        <f>VLOOKUP($A65,平滑数据导入!$A$1:$AN$61,COLUMN(平滑数据导入!H$1),0)</f>
        <v>9304.4291455946277</v>
      </c>
      <c r="AD65" s="90">
        <f>VLOOKUP($A65,平滑数据导入!$A$1:$AN$61,COLUMN(平滑数据导入!I$1),0)</f>
        <v>9819.3929973292124</v>
      </c>
      <c r="AE65" s="141">
        <f>VLOOKUP(A65,情景假设!$B$29:$S$42,15,0)/情景假设!P$28*AE$56</f>
        <v>10330.785331408257</v>
      </c>
      <c r="AF65" s="89">
        <f>VLOOKUP($A65,平滑数据导入!$A$1:$AN$61,COLUMN(平滑数据导入!K$1),0)</f>
        <v>10832.503988809811</v>
      </c>
      <c r="AG65" s="90">
        <f>VLOOKUP($A65,平滑数据导入!$A$1:$AN$61,COLUMN(平滑数据导入!L$1),0)</f>
        <v>11324.78533862394</v>
      </c>
      <c r="AH65" s="90">
        <f>VLOOKUP($A65,平滑数据导入!$A$1:$AN$61,COLUMN(平滑数据导入!M$1),0)</f>
        <v>11810.32666811494</v>
      </c>
      <c r="AI65" s="90">
        <f>VLOOKUP($A65,平滑数据导入!$A$1:$AN$61,COLUMN(平滑数据导入!N$1),0)</f>
        <v>12292.772992297319</v>
      </c>
      <c r="AJ65" s="133">
        <f>VLOOKUP(A65,情景假设!$B$29:$S$42,16,0)/情景假设!Q$28*AJ$56</f>
        <v>12776.71016132516</v>
      </c>
      <c r="AK65" s="90">
        <f>VLOOKUP($A65,平滑数据导入!$A$1:$AN$61,COLUMN(平滑数据导入!P$1),0)</f>
        <v>13266.31762308884</v>
      </c>
      <c r="AL65" s="90">
        <f>VLOOKUP($A65,平滑数据导入!$A$1:$AN$61,COLUMN(平滑数据导入!Q$1),0)</f>
        <v>13760.92892894834</v>
      </c>
      <c r="AM65" s="90">
        <f>VLOOKUP($A65,平滑数据导入!$A$1:$AN$61,COLUMN(平滑数据导入!R$1),0)</f>
        <v>14258.39687581201</v>
      </c>
      <c r="AN65" s="90">
        <f>VLOOKUP($A65,平滑数据导入!$A$1:$AN$61,COLUMN(平滑数据导入!S$1),0)</f>
        <v>14756.345176846389</v>
      </c>
      <c r="AO65" s="90">
        <f>VLOOKUP($A65,平滑数据导入!$A$1:$AN$61,COLUMN(平滑数据导入!T$1),0)</f>
        <v>15252.170278952601</v>
      </c>
      <c r="AP65" s="89">
        <f>VLOOKUP($A65,平滑数据导入!$A$1:$AN$61,COLUMN(平滑数据导入!U$1),0)</f>
        <v>15743.046968458169</v>
      </c>
      <c r="AQ65" s="90">
        <f>VLOOKUP($A65,平滑数据导入!$A$1:$AN$61,COLUMN(平滑数据导入!V$1),0)</f>
        <v>16225.93817218036</v>
      </c>
      <c r="AR65" s="90">
        <f>VLOOKUP($A65,平滑数据导入!$A$1:$AN$61,COLUMN(平滑数据导入!W$1),0)</f>
        <v>16697.609321395441</v>
      </c>
      <c r="AS65" s="90">
        <f>VLOOKUP($A65,平滑数据导入!$A$1:$AN$61,COLUMN(平滑数据导入!X$1),0)</f>
        <v>17154.647589789489</v>
      </c>
      <c r="AT65" s="101">
        <f>VLOOKUP($A65,平滑数据导入!$A$1:$AN$61,COLUMN(平滑数据导入!Y$1),0)</f>
        <v>17593.48624218714</v>
      </c>
      <c r="AU65" s="90">
        <f>VLOOKUP($A65,平滑数据导入!$A$1:$AN$61,COLUMN(平滑数据导入!Z$1),0)</f>
        <v>18010.434238268161</v>
      </c>
      <c r="AV65" s="90">
        <f>VLOOKUP($A65,平滑数据导入!$A$1:$AN$61,COLUMN(平滑数据导入!AA$1),0)</f>
        <v>18401.711124722831</v>
      </c>
      <c r="AW65" s="90">
        <f>VLOOKUP($A65,平滑数据导入!$A$1:$AN$61,COLUMN(平滑数据导入!AB$1),0)</f>
        <v>18763.487121227219</v>
      </c>
      <c r="AX65" s="90">
        <f>VLOOKUP($A65,平滑数据导入!$A$1:$AN$61,COLUMN(平滑数据导入!AC$1),0)</f>
        <v>19091.928161929831</v>
      </c>
      <c r="AY65" s="141">
        <f>VLOOKUP(A65,情景假设!$B$29:$S$42,17,0)/情景假设!R$28*AY$56</f>
        <v>19383.245497412561</v>
      </c>
      <c r="AZ65" s="89">
        <f>VLOOKUP($A65,平滑数据导入!$A$1:$AN$61,COLUMN(平滑数据导入!AE$1),0)</f>
        <v>19633.749295852122</v>
      </c>
      <c r="BA65" s="90">
        <f>VLOOKUP($A65,平滑数据导入!$A$1:$AN$61,COLUMN(平滑数据导入!AF$1),0)</f>
        <v>19839.905510829831</v>
      </c>
      <c r="BB65" s="90">
        <f>VLOOKUP($A65,平滑数据导入!$A$1:$AN$61,COLUMN(平滑数据导入!AG$1),0)</f>
        <v>19998.39511228964</v>
      </c>
      <c r="BC65" s="90">
        <f>VLOOKUP($A65,平滑数据导入!$A$1:$AN$61,COLUMN(平滑数据导入!AH$1),0)</f>
        <v>20106.17461269351</v>
      </c>
      <c r="BD65" s="101">
        <f>VLOOKUP($A65,平滑数据导入!$A$1:$AN$61,COLUMN(平滑数据导入!AI$1),0)</f>
        <v>20160.536669292469</v>
      </c>
      <c r="BE65" s="90">
        <f>VLOOKUP($A65,平滑数据导入!$A$1:$AN$61,COLUMN(平滑数据导入!AJ$1),0)</f>
        <v>20159.16941286335</v>
      </c>
      <c r="BF65" s="90">
        <f>VLOOKUP($A65,平滑数据导入!$A$1:$AN$61,COLUMN(平滑数据导入!AK$1),0)</f>
        <v>20100.213050662041</v>
      </c>
      <c r="BG65" s="90">
        <f>VLOOKUP($A65,平滑数据导入!$A$1:$AN$61,COLUMN(平滑数据导入!AL$1),0)</f>
        <v>19982.312223953839</v>
      </c>
      <c r="BH65" s="90">
        <f>VLOOKUP($A65,平滑数据导入!$A$1:$AN$61,COLUMN(平滑数据导入!AM$1),0)</f>
        <v>19804.662574996401</v>
      </c>
      <c r="BI65" s="133">
        <f>VLOOKUP(A65,情景假设!$B$29:$S$42,18,0)/情景假设!S$28*BI$56</f>
        <v>19567.050000547246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K$77*'增加值 (2001-2022, 当年价) '!K66</f>
        <v>8215.2085396484417</v>
      </c>
      <c r="L66" s="19">
        <f>L$77*'增加值 (2001-2022, 当年价) '!L66</f>
        <v>8919.7543985306074</v>
      </c>
      <c r="M66" s="20">
        <f>M$77*'增加值 (2001-2022, 当年价) '!M66</f>
        <v>9471.2872506004296</v>
      </c>
      <c r="N66" s="20">
        <f>N$77*'增加值 (2001-2022, 当年价) '!N66</f>
        <v>9814.5407288437873</v>
      </c>
      <c r="O66" s="20">
        <f>O$77*'增加值 (2001-2022, 当年价) '!O66</f>
        <v>10744.631189497688</v>
      </c>
      <c r="P66" s="21">
        <f>P$77*'增加值 (2001-2022, 当年价) '!P66</f>
        <v>11803.562331981635</v>
      </c>
      <c r="Q66" s="19">
        <f>Q$77*'增加值 (2001-2022, 当年价) '!Q66</f>
        <v>13389.26892517825</v>
      </c>
      <c r="R66" s="20">
        <f>R$77*'增加值 (2001-2022, 当年价) '!R66</f>
        <v>14464.859726951376</v>
      </c>
      <c r="S66" s="20">
        <f>S$77*'增加值 (2001-2022, 当年价) '!S66</f>
        <v>15056.098053059803</v>
      </c>
      <c r="T66" s="20">
        <f>T$77*'增加值 (2001-2022, 当年价) '!T66</f>
        <v>17073.494684407979</v>
      </c>
      <c r="U66" s="20">
        <f>U$77*'增加值 (2001-2022, 当年价) '!U66</f>
        <v>16353.2</v>
      </c>
      <c r="V66" s="89">
        <f>V$77*'增加值 (2001-2022, 当年价) '!V66</f>
        <v>17458.40324388129</v>
      </c>
      <c r="W66" s="90">
        <f>W$77*'增加值 (2001-2022, 当年价) '!W66</f>
        <v>17998.461308152702</v>
      </c>
      <c r="X66" s="90">
        <f>VLOOKUP($A66,平滑数据导入!$A$1:$AN$61,COLUMN(平滑数据导入!C$1),0)</f>
        <v>19395.294457229142</v>
      </c>
      <c r="Y66" s="90">
        <f>VLOOKUP($A66,平滑数据导入!$A$1:$AN$61,COLUMN(平滑数据导入!D$1),0)</f>
        <v>20884.320923457879</v>
      </c>
      <c r="Z66" s="133">
        <f>VLOOKUP(A66,情景假设!$B$29:$S$42,14,0)/情景假设!O$28*Z$56</f>
        <v>22460.694079088247</v>
      </c>
      <c r="AA66" s="90">
        <f>VLOOKUP($A66,平滑数据导入!$A$1:$AN$61,COLUMN(平滑数据导入!F$1),0)</f>
        <v>24116.854980905158</v>
      </c>
      <c r="AB66" s="90">
        <f>VLOOKUP($A66,平滑数据导入!$A$1:$AN$61,COLUMN(平滑数据导入!G$1),0)</f>
        <v>25842.153820927029</v>
      </c>
      <c r="AC66" s="90">
        <f>VLOOKUP($A66,平滑数据导入!$A$1:$AN$61,COLUMN(平滑数据导入!H$1),0)</f>
        <v>27622.509392302291</v>
      </c>
      <c r="AD66" s="90">
        <f>VLOOKUP($A66,平滑数据导入!$A$1:$AN$61,COLUMN(平滑数据导入!I$1),0)</f>
        <v>29440.134601491151</v>
      </c>
      <c r="AE66" s="141">
        <f>VLOOKUP(A66,情景假设!$B$29:$S$42,15,0)/情景假设!P$28*AE$56</f>
        <v>31273.359883467605</v>
      </c>
      <c r="AF66" s="89">
        <f>VLOOKUP($A66,平滑数据导入!$A$1:$AN$61,COLUMN(平滑数据导入!K$1),0)</f>
        <v>33101.798812969697</v>
      </c>
      <c r="AG66" s="90">
        <f>VLOOKUP($A66,平滑数据导入!$A$1:$AN$61,COLUMN(平滑数据导入!L$1),0)</f>
        <v>34924.371345040898</v>
      </c>
      <c r="AH66" s="90">
        <f>VLOOKUP($A66,平滑数据导入!$A$1:$AN$61,COLUMN(平滑数据导入!M$1),0)</f>
        <v>36747.818226061812</v>
      </c>
      <c r="AI66" s="90">
        <f>VLOOKUP($A66,平滑数据导入!$A$1:$AN$61,COLUMN(平滑数据导入!N$1),0)</f>
        <v>38582.155783898037</v>
      </c>
      <c r="AJ66" s="133">
        <f>VLOOKUP(A66,情景假设!$B$29:$S$42,16,0)/情景假设!Q$28*AJ$56</f>
        <v>40440.768402746195</v>
      </c>
      <c r="AK66" s="90">
        <f>VLOOKUP($A66,平滑数据导入!$A$1:$AN$61,COLUMN(平滑数据导入!P$1),0)</f>
        <v>42336.326246297482</v>
      </c>
      <c r="AL66" s="90">
        <f>VLOOKUP($A66,平滑数据导入!$A$1:$AN$61,COLUMN(平滑数据导入!Q$1),0)</f>
        <v>44266.805649104463</v>
      </c>
      <c r="AM66" s="90">
        <f>VLOOKUP($A66,平滑数据导入!$A$1:$AN$61,COLUMN(平滑数据导入!R$1),0)</f>
        <v>46225.508799224102</v>
      </c>
      <c r="AN66" s="90">
        <f>VLOOKUP($A66,平滑数据导入!$A$1:$AN$61,COLUMN(平滑数据导入!S$1),0)</f>
        <v>48204.876578786017</v>
      </c>
      <c r="AO66" s="90">
        <f>VLOOKUP($A66,平滑数据导入!$A$1:$AN$61,COLUMN(平滑数据导入!T$1),0)</f>
        <v>50196.480357467321</v>
      </c>
      <c r="AP66" s="89">
        <f>VLOOKUP($A66,平滑数据导入!$A$1:$AN$61,COLUMN(平滑数据导入!U$1),0)</f>
        <v>52191.025644706031</v>
      </c>
      <c r="AQ66" s="90">
        <f>VLOOKUP($A66,平滑数据导入!$A$1:$AN$61,COLUMN(平滑数据导入!V$1),0)</f>
        <v>54178.369073635658</v>
      </c>
      <c r="AR66" s="90">
        <f>VLOOKUP($A66,平滑数据导入!$A$1:$AN$61,COLUMN(平滑数据导入!W$1),0)</f>
        <v>56147.550097256193</v>
      </c>
      <c r="AS66" s="90">
        <f>VLOOKUP($A66,平滑数据导入!$A$1:$AN$61,COLUMN(平滑数据导入!X$1),0)</f>
        <v>58086.8386343573</v>
      </c>
      <c r="AT66" s="101">
        <f>VLOOKUP($A66,平滑数据导入!$A$1:$AN$61,COLUMN(平滑数据导入!Y$1),0)</f>
        <v>59983.799705492362</v>
      </c>
      <c r="AU66" s="90">
        <f>VLOOKUP($A66,平滑数据导入!$A$1:$AN$61,COLUMN(平滑数据导入!Z$1),0)</f>
        <v>61825.375845571507</v>
      </c>
      <c r="AV66" s="90">
        <f>VLOOKUP($A66,平滑数据导入!$A$1:$AN$61,COLUMN(平滑数据导入!AA$1),0)</f>
        <v>63597.987768654137</v>
      </c>
      <c r="AW66" s="90">
        <f>VLOOKUP($A66,平滑数据导入!$A$1:$AN$61,COLUMN(平滑数据导入!AB$1),0)</f>
        <v>65287.653393500746</v>
      </c>
      <c r="AX66" s="90">
        <f>VLOOKUP($A66,平滑数据导入!$A$1:$AN$61,COLUMN(平滑数据导入!AC$1),0)</f>
        <v>66880.124918854723</v>
      </c>
      <c r="AY66" s="141">
        <f>VLOOKUP(A66,情景假设!$B$29:$S$42,17,0)/情景假设!R$28*AY$56</f>
        <v>68361.043171129684</v>
      </c>
      <c r="AZ66" s="89">
        <f>VLOOKUP($A66,平滑数据导入!$A$1:$AN$61,COLUMN(平滑数据导入!AE$1),0)</f>
        <v>69716.107942700066</v>
      </c>
      <c r="BA66" s="90">
        <f>VLOOKUP($A66,平滑数据导入!$A$1:$AN$61,COLUMN(平滑数据导入!AF$1),0)</f>
        <v>70931.2625074916</v>
      </c>
      <c r="BB66" s="90">
        <f>VLOOKUP($A66,平滑数据导入!$A$1:$AN$61,COLUMN(平滑数据导入!AG$1),0)</f>
        <v>71992.889955866645</v>
      </c>
      <c r="BC66" s="90">
        <f>VLOOKUP($A66,平滑数据导入!$A$1:$AN$61,COLUMN(平滑数据导入!AH$1),0)</f>
        <v>72888.018449137904</v>
      </c>
      <c r="BD66" s="101">
        <f>VLOOKUP($A66,平滑数据导入!$A$1:$AN$61,COLUMN(平滑数据导入!AI$1),0)</f>
        <v>73604.531973835023</v>
      </c>
      <c r="BE66" s="90">
        <f>VLOOKUP($A66,平滑数据导入!$A$1:$AN$61,COLUMN(平滑数据导入!AJ$1),0)</f>
        <v>74131.382697129942</v>
      </c>
      <c r="BF66" s="90">
        <f>VLOOKUP($A66,平滑数据导入!$A$1:$AN$61,COLUMN(平滑数据导入!AK$1),0)</f>
        <v>74458.800608715392</v>
      </c>
      <c r="BG66" s="90">
        <f>VLOOKUP($A66,平滑数据导入!$A$1:$AN$61,COLUMN(平滑数据导入!AL$1),0)</f>
        <v>74578.495802280711</v>
      </c>
      <c r="BH66" s="90">
        <f>VLOOKUP($A66,平滑数据导入!$A$1:$AN$61,COLUMN(平滑数据导入!AM$1),0)</f>
        <v>74483.848522338885</v>
      </c>
      <c r="BI66" s="133">
        <f>VLOOKUP(A66,情景假设!$B$29:$S$42,18,0)/情景假设!S$28*BI$56</f>
        <v>74170.081998634705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K$77*'增加值 (2001-2022, 当年价) '!K67</f>
        <v>15733.180194722509</v>
      </c>
      <c r="L67" s="19">
        <f>L$77*'增加值 (2001-2022, 当年价) '!L67</f>
        <v>17398.154822835269</v>
      </c>
      <c r="M67" s="20">
        <f>M$77*'增加值 (2001-2022, 当年价) '!M67</f>
        <v>19161.404772517511</v>
      </c>
      <c r="N67" s="20">
        <f>N$77*'增加值 (2001-2022, 当年价) '!N67</f>
        <v>21360.323296462921</v>
      </c>
      <c r="O67" s="20">
        <f>O$77*'增加值 (2001-2022, 当年价) '!O67</f>
        <v>23657.484004820206</v>
      </c>
      <c r="P67" s="21">
        <f>P$77*'增加值 (2001-2022, 当年价) '!P67</f>
        <v>27171.707502012752</v>
      </c>
      <c r="Q67" s="19">
        <f>Q$77*'增加值 (2001-2022, 当年价) '!Q67</f>
        <v>29633.545175076048</v>
      </c>
      <c r="R67" s="20">
        <f>R$77*'增加值 (2001-2022, 当年价) '!R67</f>
        <v>31835.885917761083</v>
      </c>
      <c r="S67" s="20">
        <f>S$77*'增加值 (2001-2022, 当年价) '!S67</f>
        <v>34605.423559402407</v>
      </c>
      <c r="T67" s="20">
        <f>T$77*'增加值 (2001-2022, 当年价) '!T67</f>
        <v>38135.335369113411</v>
      </c>
      <c r="U67" s="20">
        <f>U$77*'增加值 (2001-2022, 当年价) '!U67</f>
        <v>40091.9</v>
      </c>
      <c r="V67" s="89">
        <f>V$77*'增加值 (2001-2022, 当年价) '!V67</f>
        <v>42801.442959993416</v>
      </c>
      <c r="W67" s="90">
        <f>W$77*'增加值 (2001-2022, 当年价) '!W67</f>
        <v>44125.462351119488</v>
      </c>
      <c r="X67" s="90">
        <f>VLOOKUP($A67,平滑数据导入!$A$1:$AN$61,COLUMN(平滑数据导入!C$1),0)</f>
        <v>47682.866142838699</v>
      </c>
      <c r="Y67" s="90">
        <f>VLOOKUP($A67,平滑数据导入!$A$1:$AN$61,COLUMN(平滑数据导入!D$1),0)</f>
        <v>51486.138374937713</v>
      </c>
      <c r="Z67" s="133">
        <f>VLOOKUP(A67,情景假设!$B$29:$S$42,14,0)/情景假设!O$28*Z$56</f>
        <v>55524.699930120463</v>
      </c>
      <c r="AA67" s="90">
        <f>VLOOKUP($A67,平滑数据导入!$A$1:$AN$61,COLUMN(平滑数据导入!F$1),0)</f>
        <v>59780.990076814771</v>
      </c>
      <c r="AB67" s="90">
        <f>VLOOKUP($A67,平滑数据导入!$A$1:$AN$61,COLUMN(平滑数据导入!G$1),0)</f>
        <v>64229.422709934843</v>
      </c>
      <c r="AC67" s="90">
        <f>VLOOKUP($A67,平滑数据导入!$A$1:$AN$61,COLUMN(平滑数据导入!H$1),0)</f>
        <v>68835.427679178931</v>
      </c>
      <c r="AD67" s="90">
        <f>VLOOKUP($A67,平滑数据导入!$A$1:$AN$61,COLUMN(平滑数据导入!I$1),0)</f>
        <v>73554.651485627517</v>
      </c>
      <c r="AE67" s="141">
        <f>VLOOKUP(A67,情景假设!$B$29:$S$42,15,0)/情景假设!P$28*AE$56</f>
        <v>78332.402883910865</v>
      </c>
      <c r="AF67" s="89">
        <f>VLOOKUP($A67,平滑数据导入!$A$1:$AN$61,COLUMN(平滑数据导入!K$1),0)</f>
        <v>83116.6142944124</v>
      </c>
      <c r="AG67" s="90">
        <f>VLOOKUP($A67,平滑数据导入!$A$1:$AN$61,COLUMN(平滑数据导入!L$1),0)</f>
        <v>87903.602333815128</v>
      </c>
      <c r="AH67" s="90">
        <f>VLOOKUP($A67,平滑数据导入!$A$1:$AN$61,COLUMN(平滑数据导入!M$1),0)</f>
        <v>92709.478888646467</v>
      </c>
      <c r="AI67" s="90">
        <f>VLOOKUP($A67,平滑数据导入!$A$1:$AN$61,COLUMN(平滑数据导入!N$1),0)</f>
        <v>97558.799912846647</v>
      </c>
      <c r="AJ67" s="133">
        <f>VLOOKUP(A67,情景假设!$B$29:$S$42,16,0)/情景假设!Q$28*AJ$56</f>
        <v>102484.88205686287</v>
      </c>
      <c r="AK67" s="90">
        <f>VLOOKUP($A67,平滑数据导入!$A$1:$AN$61,COLUMN(平滑数据导入!P$1),0)</f>
        <v>107519.5875261097</v>
      </c>
      <c r="AL67" s="90">
        <f>VLOOKUP($A67,平滑数据导入!$A$1:$AN$61,COLUMN(平滑数据导入!Q$1),0)</f>
        <v>112657.9612087339</v>
      </c>
      <c r="AM67" s="90">
        <f>VLOOKUP($A67,平滑数据导入!$A$1:$AN$61,COLUMN(平滑数据导入!R$1),0)</f>
        <v>117883.2122459426</v>
      </c>
      <c r="AN67" s="90">
        <f>VLOOKUP($A67,平滑数据导入!$A$1:$AN$61,COLUMN(平滑数据导入!S$1),0)</f>
        <v>123176.2773167759</v>
      </c>
      <c r="AO67" s="90">
        <f>VLOOKUP($A67,平滑数据导入!$A$1:$AN$61,COLUMN(平滑数据导入!T$1),0)</f>
        <v>128515.7895595773</v>
      </c>
      <c r="AP67" s="89">
        <f>VLOOKUP($A67,平滑数据导入!$A$1:$AN$61,COLUMN(平滑数据导入!U$1),0)</f>
        <v>133878.07733858589</v>
      </c>
      <c r="AQ67" s="90">
        <f>VLOOKUP($A67,平滑数据导入!$A$1:$AN$61,COLUMN(平滑数据导入!V$1),0)</f>
        <v>139237.19669380691</v>
      </c>
      <c r="AR67" s="90">
        <f>VLOOKUP($A67,平滑数据导入!$A$1:$AN$61,COLUMN(平滑数据导入!W$1),0)</f>
        <v>144565.0010992387</v>
      </c>
      <c r="AS67" s="90">
        <f>VLOOKUP($A67,平滑数据导入!$A$1:$AN$61,COLUMN(平滑数据导入!X$1),0)</f>
        <v>149831.25181569171</v>
      </c>
      <c r="AT67" s="101">
        <f>VLOOKUP($A67,平滑数据导入!$A$1:$AN$61,COLUMN(平滑数据导入!Y$1),0)</f>
        <v>155003.77165042699</v>
      </c>
      <c r="AU67" s="90">
        <f>VLOOKUP($A67,平滑数据导入!$A$1:$AN$61,COLUMN(平滑数据导入!Z$1),0)</f>
        <v>160048.64432037191</v>
      </c>
      <c r="AV67" s="90">
        <f>VLOOKUP($A67,平滑数据导入!$A$1:$AN$61,COLUMN(平滑数据导入!AA$1),0)</f>
        <v>164930.46085638119</v>
      </c>
      <c r="AW67" s="90">
        <f>VLOOKUP($A67,平滑数据导入!$A$1:$AN$61,COLUMN(平滑数据导入!AB$1),0)</f>
        <v>169612.61358519501</v>
      </c>
      <c r="AX67" s="90">
        <f>VLOOKUP($A67,平滑数据导入!$A$1:$AN$61,COLUMN(平滑数据导入!AC$1),0)</f>
        <v>174057.63719099891</v>
      </c>
      <c r="AY67" s="141">
        <f>VLOOKUP(A67,情景假设!$B$29:$S$42,17,0)/情景假设!R$28*AY$56</f>
        <v>178227.59520347178</v>
      </c>
      <c r="AZ67" s="89">
        <f>VLOOKUP($A67,平滑数据导入!$A$1:$AN$61,COLUMN(平滑数据导入!AE$1),0)</f>
        <v>182084.5090037233</v>
      </c>
      <c r="BA67" s="90">
        <f>VLOOKUP($A67,平滑数据导入!$A$1:$AN$61,COLUMN(平滑数据导入!AF$1),0)</f>
        <v>185590.82511006281</v>
      </c>
      <c r="BB67" s="90">
        <f>VLOOKUP($A67,平滑数据导入!$A$1:$AN$61,COLUMN(平滑数据导入!AG$1),0)</f>
        <v>188709.91513496579</v>
      </c>
      <c r="BC67" s="90">
        <f>VLOOKUP($A67,平滑数据导入!$A$1:$AN$61,COLUMN(平滑数据导入!AH$1),0)</f>
        <v>191406.60143181231</v>
      </c>
      <c r="BD67" s="101">
        <f>VLOOKUP($A67,平滑数据导入!$A$1:$AN$61,COLUMN(平滑数据导入!AI$1),0)</f>
        <v>193647.70011934181</v>
      </c>
      <c r="BE67" s="90">
        <f>VLOOKUP($A67,平滑数据导入!$A$1:$AN$61,COLUMN(平滑数据导入!AJ$1),0)</f>
        <v>195402.5719318043</v>
      </c>
      <c r="BF67" s="90">
        <f>VLOOKUP($A67,平滑数据导入!$A$1:$AN$61,COLUMN(平滑数据导入!AK$1),0)</f>
        <v>196643.6702449556</v>
      </c>
      <c r="BG67" s="90">
        <f>VLOOKUP($A67,平滑数据导入!$A$1:$AN$61,COLUMN(平滑数据导入!AL$1),0)</f>
        <v>197347.07472490281</v>
      </c>
      <c r="BH67" s="90">
        <f>VLOOKUP($A67,平滑数据导入!$A$1:$AN$61,COLUMN(平滑数据导入!AM$1),0)</f>
        <v>197492.99838976259</v>
      </c>
      <c r="BI67" s="133">
        <f>VLOOKUP(A67,情景假设!$B$29:$S$42,18,0)/情景假设!S$28*BI$56</f>
        <v>197066.25551150844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K$77*'增加值 (2001-2022, 当年价) '!K68</f>
        <v>7491.8936471671614</v>
      </c>
      <c r="L68" s="19">
        <f>L$77*'增加值 (2001-2022, 当年价) '!L68</f>
        <v>8747.9466481582349</v>
      </c>
      <c r="M68" s="20">
        <f>M$77*'增加值 (2001-2022, 当年价) '!M68</f>
        <v>10373.084381318287</v>
      </c>
      <c r="N68" s="20">
        <f>N$77*'增加值 (2001-2022, 当年价) '!N68</f>
        <v>12436.988896993911</v>
      </c>
      <c r="O68" s="20">
        <f>O$77*'增加值 (2001-2022, 当年价) '!O68</f>
        <v>14112.735955786691</v>
      </c>
      <c r="P68" s="21">
        <f>P$77*'增加值 (2001-2022, 当年价) '!P68</f>
        <v>16462.572780624898</v>
      </c>
      <c r="Q68" s="19">
        <f>Q$77*'增加值 (2001-2022, 当年价) '!Q68</f>
        <v>18426.166061860604</v>
      </c>
      <c r="R68" s="20">
        <f>R$77*'增加值 (2001-2022, 当年价) '!R68</f>
        <v>19548.121738038648</v>
      </c>
      <c r="S68" s="20">
        <f>S$77*'增加值 (2001-2022, 当年价) '!S68</f>
        <v>21019.486568285836</v>
      </c>
      <c r="T68" s="20">
        <f>T$77*'增加值 (2001-2022, 当年价) '!T68</f>
        <v>22473.188187999254</v>
      </c>
      <c r="U68" s="20">
        <f>U$77*'增加值 (2001-2022, 当年价) '!U68</f>
        <v>24396.1</v>
      </c>
      <c r="V68" s="89">
        <f>V$77*'增加值 (2001-2022, 当年价) '!V68</f>
        <v>26044.86897842944</v>
      </c>
      <c r="W68" s="90">
        <f>W$77*'增加值 (2001-2022, 当年价) '!W68</f>
        <v>26850.540684381289</v>
      </c>
      <c r="X68" s="90">
        <f>VLOOKUP($A68,平滑数据导入!$A$1:$AN$61,COLUMN(平滑数据导入!C$1),0)</f>
        <v>28544.8366589996</v>
      </c>
      <c r="Y68" s="90">
        <f>VLOOKUP($A68,平滑数据导入!$A$1:$AN$61,COLUMN(平滑数据导入!D$1),0)</f>
        <v>30325.27677982947</v>
      </c>
      <c r="Z68" s="133">
        <f>VLOOKUP(A68,情景假设!$B$29:$S$42,14,0)/情景假设!O$28*Z$56</f>
        <v>32182.087043511983</v>
      </c>
      <c r="AA68" s="90">
        <f>VLOOKUP($A68,平滑数据导入!$A$1:$AN$61,COLUMN(平滑数据导入!F$1),0)</f>
        <v>34102.435305387313</v>
      </c>
      <c r="AB68" s="90">
        <f>VLOOKUP($A68,平滑数据导入!$A$1:$AN$61,COLUMN(平滑数据导入!G$1),0)</f>
        <v>36070.143928776903</v>
      </c>
      <c r="AC68" s="90">
        <f>VLOOKUP($A68,平滑数据导入!$A$1:$AN$61,COLUMN(平滑数据导入!H$1),0)</f>
        <v>38065.469083157011</v>
      </c>
      <c r="AD68" s="90">
        <f>VLOOKUP($A68,平滑数据导入!$A$1:$AN$61,COLUMN(平滑数据导入!I$1),0)</f>
        <v>40064.973711527498</v>
      </c>
      <c r="AE68" s="141">
        <f>VLOOKUP(A68,情景假设!$B$29:$S$42,15,0)/情景假设!P$28*AE$56</f>
        <v>42041.522939590795</v>
      </c>
      <c r="AF68" s="89">
        <f>VLOOKUP($A68,平滑数据导入!$A$1:$AN$61,COLUMN(平滑数据导入!K$1),0)</f>
        <v>43971.1032383946</v>
      </c>
      <c r="AG68" s="90">
        <f>VLOOKUP($A68,平滑数据导入!$A$1:$AN$61,COLUMN(平滑数据导入!L$1),0)</f>
        <v>45855.422623062783</v>
      </c>
      <c r="AH68" s="90">
        <f>VLOOKUP($A68,平滑数据导入!$A$1:$AN$61,COLUMN(平滑数据导入!M$1),0)</f>
        <v>47706.047078458912</v>
      </c>
      <c r="AI68" s="90">
        <f>VLOOKUP($A68,平滑数据导入!$A$1:$AN$61,COLUMN(平滑数据导入!N$1),0)</f>
        <v>49538.235815968037</v>
      </c>
      <c r="AJ68" s="133">
        <f>VLOOKUP(A68,情景假设!$B$29:$S$42,16,0)/情景假设!Q$28*AJ$56</f>
        <v>51370.87814599261</v>
      </c>
      <c r="AK68" s="90">
        <f>VLOOKUP($A68,平滑数据导入!$A$1:$AN$61,COLUMN(平滑数据导入!P$1),0)</f>
        <v>53221.019341904139</v>
      </c>
      <c r="AL68" s="90">
        <f>VLOOKUP($A68,平滑数据导入!$A$1:$AN$61,COLUMN(平滑数据导入!Q$1),0)</f>
        <v>55085.994762394337</v>
      </c>
      <c r="AM68" s="90">
        <f>VLOOKUP($A68,平滑数据导入!$A$1:$AN$61,COLUMN(平滑数据导入!R$1),0)</f>
        <v>56957.182236541201</v>
      </c>
      <c r="AN68" s="90">
        <f>VLOOKUP($A68,平滑数据导入!$A$1:$AN$61,COLUMN(平滑数据导入!S$1),0)</f>
        <v>58825.085675912007</v>
      </c>
      <c r="AO68" s="90">
        <f>VLOOKUP($A68,平滑数据导入!$A$1:$AN$61,COLUMN(平滑数据导入!T$1),0)</f>
        <v>60679.346600351833</v>
      </c>
      <c r="AP68" s="89">
        <f>VLOOKUP($A68,平滑数据导入!$A$1:$AN$61,COLUMN(平滑数据导入!U$1),0)</f>
        <v>62508.770883058693</v>
      </c>
      <c r="AQ68" s="90">
        <f>VLOOKUP($A68,平滑数据导入!$A$1:$AN$61,COLUMN(平滑数据导入!V$1),0)</f>
        <v>64301.372280495663</v>
      </c>
      <c r="AR68" s="90">
        <f>VLOOKUP($A68,平滑数据导入!$A$1:$AN$61,COLUMN(平滑数据导入!W$1),0)</f>
        <v>66044.434142106111</v>
      </c>
      <c r="AS68" s="90">
        <f>VLOOKUP($A68,平滑数据导入!$A$1:$AN$61,COLUMN(平滑数据导入!X$1),0)</f>
        <v>67724.59045586604</v>
      </c>
      <c r="AT68" s="101">
        <f>VLOOKUP($A68,平滑数据导入!$A$1:$AN$61,COLUMN(平滑数据导入!Y$1),0)</f>
        <v>69327.927074762163</v>
      </c>
      <c r="AU68" s="90">
        <f>VLOOKUP($A68,平滑数据导入!$A$1:$AN$61,COLUMN(平滑数据导入!Z$1),0)</f>
        <v>70840.103584701545</v>
      </c>
      <c r="AV68" s="90">
        <f>VLOOKUP($A68,平滑数据导入!$A$1:$AN$61,COLUMN(平滑数据导入!AA$1),0)</f>
        <v>72246.495817188392</v>
      </c>
      <c r="AW68" s="90">
        <f>VLOOKUP($A68,平滑数据导入!$A$1:$AN$61,COLUMN(平滑数据导入!AB$1),0)</f>
        <v>73532.358484403114</v>
      </c>
      <c r="AX68" s="90">
        <f>VLOOKUP($A68,平滑数据导入!$A$1:$AN$61,COLUMN(平滑数据导入!AC$1),0)</f>
        <v>74683.006827623831</v>
      </c>
      <c r="AY68" s="141">
        <f>VLOOKUP(A68,情景假设!$B$29:$S$42,17,0)/情景假设!R$28*AY$56</f>
        <v>75684.015533461061</v>
      </c>
      <c r="AZ68" s="89">
        <f>VLOOKUP($A68,平滑数据导入!$A$1:$AN$61,COLUMN(平滑数据导入!AE$1),0)</f>
        <v>76521.432501303454</v>
      </c>
      <c r="BA68" s="90">
        <f>VLOOKUP($A68,平滑数据导入!$A$1:$AN$61,COLUMN(平滑数据导入!AF$1),0)</f>
        <v>77182.004358648162</v>
      </c>
      <c r="BB68" s="90">
        <f>VLOOKUP($A68,平滑数据导入!$A$1:$AN$61,COLUMN(平滑数据导入!AG$1),0)</f>
        <v>77653.409941312246</v>
      </c>
      <c r="BC68" s="90">
        <f>VLOOKUP($A68,平滑数据导入!$A$1:$AN$61,COLUMN(平滑数据导入!AH$1),0)</f>
        <v>77924.497308692618</v>
      </c>
      <c r="BD68" s="101">
        <f>VLOOKUP($A68,平滑数据导入!$A$1:$AN$61,COLUMN(平滑数据导入!AI$1),0)</f>
        <v>77985.519278662978</v>
      </c>
      <c r="BE68" s="90">
        <f>VLOOKUP($A68,平滑数据导入!$A$1:$AN$61,COLUMN(平滑数据导入!AJ$1),0)</f>
        <v>77828.361972223051</v>
      </c>
      <c r="BF68" s="90">
        <f>VLOOKUP($A68,平滑数据导入!$A$1:$AN$61,COLUMN(平滑数据导入!AK$1),0)</f>
        <v>77446.760484994404</v>
      </c>
      <c r="BG68" s="90">
        <f>VLOOKUP($A68,平滑数据导入!$A$1:$AN$61,COLUMN(平滑数据导入!AL$1),0)</f>
        <v>76836.49558027141</v>
      </c>
      <c r="BH68" s="90">
        <f>VLOOKUP($A68,平滑数据导入!$A$1:$AN$61,COLUMN(平滑数据导入!AM$1),0)</f>
        <v>75995.565253282242</v>
      </c>
      <c r="BI68" s="133">
        <f>VLOOKUP(A68,情景假设!$B$29:$S$42,18,0)/情景假设!S$28*BI$56</f>
        <v>74924.325170932236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K$77*'增加值 (2001-2022, 当年价) '!K69</f>
        <v>3597.11136382222</v>
      </c>
      <c r="L69" s="19">
        <f>L$77*'增加值 (2001-2022, 当年价) '!L69</f>
        <v>3916.4866138689254</v>
      </c>
      <c r="M69" s="20">
        <f>M$77*'增加值 (2001-2022, 当年价) '!M69</f>
        <v>4326.1858267345506</v>
      </c>
      <c r="N69" s="20">
        <f>N$77*'增加值 (2001-2022, 当年价) '!N69</f>
        <v>4663.8708363727164</v>
      </c>
      <c r="O69" s="20">
        <f>O$77*'增加值 (2001-2022, 当年价) '!O69</f>
        <v>4997.5054726508833</v>
      </c>
      <c r="P69" s="21">
        <f>P$77*'增加值 (2001-2022, 当年价) '!P69</f>
        <v>5645.8461028166093</v>
      </c>
      <c r="Q69" s="19">
        <f>Q$77*'增加值 (2001-2022, 当年价) '!Q69</f>
        <v>6132.0181186612717</v>
      </c>
      <c r="R69" s="20">
        <f>R$77*'增加值 (2001-2022, 当年价) '!R69</f>
        <v>6982.3452602433181</v>
      </c>
      <c r="S69" s="20">
        <f>S$77*'增加值 (2001-2022, 当年价) '!S69</f>
        <v>7431.0051655009729</v>
      </c>
      <c r="T69" s="20">
        <f>T$77*'增加值 (2001-2022, 当年价) '!T69</f>
        <v>8180.9699496434896</v>
      </c>
      <c r="U69" s="20">
        <f>U$77*'增加值 (2001-2022, 当年价) '!U69</f>
        <v>6981.2</v>
      </c>
      <c r="V69" s="89">
        <f>V$77*'增加值 (2001-2022, 当年价) '!V69</f>
        <v>7453.0125434889851</v>
      </c>
      <c r="W69" s="90">
        <f>W$77*'增加值 (2001-2022, 当年价) '!W69</f>
        <v>7683.5639559520841</v>
      </c>
      <c r="X69" s="90">
        <f>VLOOKUP($A69,平滑数据导入!$A$1:$AN$61,COLUMN(平滑数据导入!C$1),0)</f>
        <v>8301.5865760700563</v>
      </c>
      <c r="Y69" s="90">
        <f>VLOOKUP($A69,平滑数据导入!$A$1:$AN$61,COLUMN(平滑数据导入!D$1),0)</f>
        <v>8979.2587076919881</v>
      </c>
      <c r="Z69" s="133">
        <f>VLOOKUP(A69,情景假设!$B$29:$S$42,14,0)/情景假设!O$28*Z$56</f>
        <v>9715.6073498711412</v>
      </c>
      <c r="AA69" s="90">
        <f>VLOOKUP($A69,平滑数据导入!$A$1:$AN$61,COLUMN(平滑数据导入!F$1),0)</f>
        <v>10507.96475045292</v>
      </c>
      <c r="AB69" s="90">
        <f>VLOOKUP($A69,平滑数据导入!$A$1:$AN$61,COLUMN(平滑数据导入!G$1),0)</f>
        <v>11351.55968755197</v>
      </c>
      <c r="AC69" s="90">
        <f>VLOOKUP($A69,平滑数据导入!$A$1:$AN$61,COLUMN(平滑数据导入!H$1),0)</f>
        <v>12239.11003189566</v>
      </c>
      <c r="AD69" s="90">
        <f>VLOOKUP($A69,平滑数据导入!$A$1:$AN$61,COLUMN(平滑数据导入!I$1),0)</f>
        <v>13160.446036417179</v>
      </c>
      <c r="AE69" s="141">
        <f>VLOOKUP(A69,情景假设!$B$29:$S$42,15,0)/情景假设!P$28*AE$56</f>
        <v>14102.202307305399</v>
      </c>
      <c r="AF69" s="89">
        <f>VLOOKUP($A69,平滑数据导入!$A$1:$AN$61,COLUMN(平滑数据导入!K$1),0)</f>
        <v>15050.557600818531</v>
      </c>
      <c r="AG69" s="90">
        <f>VLOOKUP($A69,平滑数据导入!$A$1:$AN$61,COLUMN(平滑数据导入!L$1),0)</f>
        <v>16001.47261539463</v>
      </c>
      <c r="AH69" s="90">
        <f>VLOOKUP($A69,平滑数据导入!$A$1:$AN$61,COLUMN(平滑数据导入!M$1),0)</f>
        <v>16954.542814958091</v>
      </c>
      <c r="AI69" s="90">
        <f>VLOOKUP($A69,平滑数据导入!$A$1:$AN$61,COLUMN(平滑数据导入!N$1),0)</f>
        <v>17910.513521400229</v>
      </c>
      <c r="AJ69" s="133">
        <f>VLOOKUP(A69,情景假设!$B$29:$S$42,16,0)/情景假设!Q$28*AJ$56</f>
        <v>18871.345751708726</v>
      </c>
      <c r="AK69" s="90">
        <f>VLOOKUP($A69,平滑数据导入!$A$1:$AN$61,COLUMN(平滑数据导入!P$1),0)</f>
        <v>19838.934762267188</v>
      </c>
      <c r="AL69" s="90">
        <f>VLOOKUP($A69,平滑数据导入!$A$1:$AN$61,COLUMN(平滑数据导入!Q$1),0)</f>
        <v>20810.622574522829</v>
      </c>
      <c r="AM69" s="90">
        <f>VLOOKUP($A69,平滑数据导入!$A$1:$AN$61,COLUMN(平滑数据导入!R$1),0)</f>
        <v>21782.33101371731</v>
      </c>
      <c r="AN69" s="90">
        <f>VLOOKUP($A69,平滑数据导入!$A$1:$AN$61,COLUMN(平滑数据导入!S$1),0)</f>
        <v>22749.79578122529</v>
      </c>
      <c r="AO69" s="90">
        <f>VLOOKUP($A69,平滑数据导入!$A$1:$AN$61,COLUMN(平滑数据导入!T$1),0)</f>
        <v>23708.595715267729</v>
      </c>
      <c r="AP69" s="89">
        <f>VLOOKUP($A69,平滑数据导入!$A$1:$AN$61,COLUMN(平滑数据导入!U$1),0)</f>
        <v>24654.184993553361</v>
      </c>
      <c r="AQ69" s="90">
        <f>VLOOKUP($A69,平滑数据导入!$A$1:$AN$61,COLUMN(平滑数据导入!V$1),0)</f>
        <v>25581.9279730034</v>
      </c>
      <c r="AR69" s="90">
        <f>VLOOKUP($A69,平滑数据导入!$A$1:$AN$61,COLUMN(平滑数据导入!W$1),0)</f>
        <v>26487.13630978949</v>
      </c>
      <c r="AS69" s="90">
        <f>VLOOKUP($A69,平滑数据导入!$A$1:$AN$61,COLUMN(平滑数据导入!X$1),0)</f>
        <v>27365.107955325911</v>
      </c>
      <c r="AT69" s="101">
        <f>VLOOKUP($A69,平滑数据导入!$A$1:$AN$61,COLUMN(平滑数据导入!Y$1),0)</f>
        <v>28211.167581696202</v>
      </c>
      <c r="AU69" s="90">
        <f>VLOOKUP($A69,平滑数据导入!$A$1:$AN$61,COLUMN(平滑数据导入!Z$1),0)</f>
        <v>29020.707954250269</v>
      </c>
      <c r="AV69" s="90">
        <f>VLOOKUP($A69,平滑数据导入!$A$1:$AN$61,COLUMN(平滑数据导入!AA$1),0)</f>
        <v>29789.231740680108</v>
      </c>
      <c r="AW69" s="90">
        <f>VLOOKUP($A69,平滑数据导入!$A$1:$AN$61,COLUMN(平滑数据导入!AB$1),0)</f>
        <v>30512.39322551903</v>
      </c>
      <c r="AX69" s="90">
        <f>VLOOKUP($A69,平滑数据导入!$A$1:$AN$61,COLUMN(平滑数据导入!AC$1),0)</f>
        <v>31186.03938731915</v>
      </c>
      <c r="AY69" s="141">
        <f>VLOOKUP(A69,情景假设!$B$29:$S$42,17,0)/情景假设!R$28*AY$56</f>
        <v>31806.249793172257</v>
      </c>
      <c r="AZ69" s="89">
        <f>VLOOKUP($A69,平滑数据导入!$A$1:$AN$61,COLUMN(平滑数据导入!AE$1),0)</f>
        <v>32369.374771983101</v>
      </c>
      <c r="BA69" s="90">
        <f>VLOOKUP($A69,平滑数据导入!$A$1:$AN$61,COLUMN(平滑数据导入!AF$1),0)</f>
        <v>32872.071344046257</v>
      </c>
      <c r="BB69" s="90">
        <f>VLOOKUP($A69,平滑数据导入!$A$1:$AN$61,COLUMN(平滑数据导入!AG$1),0)</f>
        <v>33311.336409838572</v>
      </c>
      <c r="BC69" s="90">
        <f>VLOOKUP($A69,平滑数据导入!$A$1:$AN$61,COLUMN(平滑数据导入!AH$1),0)</f>
        <v>33684.536735189162</v>
      </c>
      <c r="BD69" s="101">
        <f>VLOOKUP($A69,平滑数据导入!$A$1:$AN$61,COLUMN(平滑数据导入!AI$1),0)</f>
        <v>33989.435312549998</v>
      </c>
      <c r="BE69" s="90">
        <f>VLOOKUP($A69,平滑数据导入!$A$1:$AN$61,COLUMN(平滑数据导入!AJ$1),0)</f>
        <v>34224.213728258299</v>
      </c>
      <c r="BF69" s="90">
        <f>VLOOKUP($A69,平滑数据导入!$A$1:$AN$61,COLUMN(平滑数据导入!AK$1),0)</f>
        <v>34387.490222531</v>
      </c>
      <c r="BG69" s="90">
        <f>VLOOKUP($A69,平滑数据导入!$A$1:$AN$61,COLUMN(平滑数据导入!AL$1),0)</f>
        <v>34478.333191425227</v>
      </c>
      <c r="BH69" s="90">
        <f>VLOOKUP($A69,平滑数据导入!$A$1:$AN$61,COLUMN(平滑数据导入!AM$1),0)</f>
        <v>34496.269946963243</v>
      </c>
      <c r="BI69" s="133">
        <f>VLOOKUP(A69,情景假设!$B$29:$S$42,18,0)/情景假设!S$28*BI$56</f>
        <v>34441.290621773478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K$77*'增加值 (2001-2022, 当年价) '!K70</f>
        <v>20738.631195312271</v>
      </c>
      <c r="L70" s="25">
        <f>L$77*'增加值 (2001-2022, 当年价) '!L70</f>
        <v>21289.323639356655</v>
      </c>
      <c r="M70" s="26">
        <f>M$77*'增加值 (2001-2022, 当年价) '!M70</f>
        <v>23139.718384670832</v>
      </c>
      <c r="N70" s="26">
        <f>N$77*'增加值 (2001-2022, 当年价) '!N70</f>
        <v>24450.409640985366</v>
      </c>
      <c r="O70" s="26">
        <f>O$77*'增加值 (2001-2022, 当年价) '!O70</f>
        <v>27104.108731221386</v>
      </c>
      <c r="P70" s="27">
        <f>P$77*'增加值 (2001-2022, 当年价) '!P70</f>
        <v>31717.662775723042</v>
      </c>
      <c r="Q70" s="25">
        <f>Q$77*'增加值 (2001-2022, 当年价) '!Q70</f>
        <v>37197.627670673319</v>
      </c>
      <c r="R70" s="26">
        <f>R$77*'增加值 (2001-2022, 当年价) '!R70</f>
        <v>40941.789861161691</v>
      </c>
      <c r="S70" s="26">
        <f>S$77*'增加值 (2001-2022, 当年价) '!S70</f>
        <v>44703.37925914779</v>
      </c>
      <c r="T70" s="26">
        <f>T$77*'增加值 (2001-2022, 当年价) '!T70</f>
        <v>48044.022263810512</v>
      </c>
      <c r="U70" s="26">
        <f>U$77*'增加值 (2001-2022, 当年价) '!U70</f>
        <v>49261.9</v>
      </c>
      <c r="V70" s="91">
        <f>V$77*'增加值 (2001-2022, 当年价) '!V70</f>
        <v>52591.181833510003</v>
      </c>
      <c r="W70" s="92">
        <f>W$77*'增加值 (2001-2022, 当年价) '!W70</f>
        <v>54218.036905075918</v>
      </c>
      <c r="X70" s="92">
        <f>VLOOKUP($A70,平滑数据导入!$A$1:$AN$61,COLUMN(平滑数据导入!C$1),0)</f>
        <v>58654.100692136359</v>
      </c>
      <c r="Y70" s="92">
        <f>VLOOKUP($A70,平滑数据导入!$A$1:$AN$61,COLUMN(平滑数据导入!D$1),0)</f>
        <v>63402.246474804997</v>
      </c>
      <c r="Z70" s="134">
        <f>VLOOKUP(A70,情景假设!$B$29:$S$42,14,0)/情景假设!O$28*Z$56</f>
        <v>68450.168841519495</v>
      </c>
      <c r="AA70" s="92">
        <f>VLOOKUP($A70,平滑数据导入!$A$1:$AN$61,COLUMN(平滑数据导入!F$1),0)</f>
        <v>73776.823226541135</v>
      </c>
      <c r="AB70" s="92">
        <f>VLOOKUP($A70,平滑数据导入!$A$1:$AN$61,COLUMN(平滑数据导入!G$1),0)</f>
        <v>79351.084265990212</v>
      </c>
      <c r="AC70" s="92">
        <f>VLOOKUP($A70,平滑数据导入!$A$1:$AN$61,COLUMN(平滑数据导入!H$1),0)</f>
        <v>85130.50406926428</v>
      </c>
      <c r="AD70" s="92">
        <f>VLOOKUP($A70,平滑数据导入!$A$1:$AN$61,COLUMN(平滑数据导入!I$1),0)</f>
        <v>91060.264439171515</v>
      </c>
      <c r="AE70" s="142">
        <f>VLOOKUP(A70,情景假设!$B$29:$S$42,15,0)/情景假设!P$28*AE$56</f>
        <v>97072.431893769215</v>
      </c>
      <c r="AF70" s="91">
        <f>VLOOKUP($A70,平滑数据导入!$A$1:$AN$61,COLUMN(平滑数据导入!K$1),0)</f>
        <v>103102.02799276319</v>
      </c>
      <c r="AG70" s="92">
        <f>VLOOKUP($A70,平滑数据导入!$A$1:$AN$61,COLUMN(平滑数据导入!L$1),0)</f>
        <v>109144.0397731656</v>
      </c>
      <c r="AH70" s="92">
        <f>VLOOKUP($A70,平滑数据导入!$A$1:$AN$61,COLUMN(平滑数据导入!M$1),0)</f>
        <v>115218.08160981339</v>
      </c>
      <c r="AI70" s="92">
        <f>VLOOKUP($A70,平滑数据导入!$A$1:$AN$61,COLUMN(平滑数据导入!N$1),0)</f>
        <v>121354.3462023053</v>
      </c>
      <c r="AJ70" s="134">
        <f>VLOOKUP(A70,情景假设!$B$29:$S$42,16,0)/情景假设!Q$28*AJ$56</f>
        <v>127594.04025556547</v>
      </c>
      <c r="AK70" s="92">
        <f>VLOOKUP($A70,平滑数据导入!$A$1:$AN$61,COLUMN(平滑数据导入!P$1),0)</f>
        <v>133976.7322028424</v>
      </c>
      <c r="AL70" s="92">
        <f>VLOOKUP($A70,平滑数据导入!$A$1:$AN$61,COLUMN(平滑数据导入!Q$1),0)</f>
        <v>140496.3593394951</v>
      </c>
      <c r="AM70" s="92">
        <f>VLOOKUP($A70,平滑数据导入!$A$1:$AN$61,COLUMN(平滑数据导入!R$1),0)</f>
        <v>147132.12830674011</v>
      </c>
      <c r="AN70" s="92">
        <f>VLOOKUP($A70,平滑数据导入!$A$1:$AN$61,COLUMN(平滑数据导入!S$1),0)</f>
        <v>153860.37230673761</v>
      </c>
      <c r="AO70" s="92">
        <f>VLOOKUP($A70,平滑数据导入!$A$1:$AN$61,COLUMN(平滑数据导入!T$1),0)</f>
        <v>160654.50719107149</v>
      </c>
      <c r="AP70" s="91">
        <f>VLOOKUP($A70,平滑数据导入!$A$1:$AN$61,COLUMN(平滑数据导入!U$1),0)</f>
        <v>167485.02458620351</v>
      </c>
      <c r="AQ70" s="92">
        <f>VLOOKUP($A70,平滑数据导入!$A$1:$AN$61,COLUMN(平滑数据导入!V$1),0)</f>
        <v>174319.52688385249</v>
      </c>
      <c r="AR70" s="92">
        <f>VLOOKUP($A70,平滑数据导入!$A$1:$AN$61,COLUMN(平滑数据导入!W$1),0)</f>
        <v>181122.80866928541</v>
      </c>
      <c r="AS70" s="92">
        <f>VLOOKUP($A70,平滑数据导入!$A$1:$AN$61,COLUMN(平滑数据导入!X$1),0)</f>
        <v>187856.98875015709</v>
      </c>
      <c r="AT70" s="102">
        <f>VLOOKUP($A70,平滑数据导入!$A$1:$AN$61,COLUMN(平滑数据导入!Y$1),0)</f>
        <v>194481.69637112881</v>
      </c>
      <c r="AU70" s="92">
        <f>VLOOKUP($A70,平滑数据导入!$A$1:$AN$61,COLUMN(平滑数据导入!Z$1),0)</f>
        <v>200954.3144469258</v>
      </c>
      <c r="AV70" s="92">
        <f>VLOOKUP($A70,平滑数据导入!$A$1:$AN$61,COLUMN(平滑数据导入!AA$1),0)</f>
        <v>207230.28171569211</v>
      </c>
      <c r="AW70" s="92">
        <f>VLOOKUP($A70,平滑数据导入!$A$1:$AN$61,COLUMN(平滑数据导入!AB$1),0)</f>
        <v>213263.45460782989</v>
      </c>
      <c r="AX70" s="92">
        <f>VLOOKUP($A70,平滑数据导入!$A$1:$AN$61,COLUMN(平滑数据导入!AC$1),0)</f>
        <v>219006.5283520917</v>
      </c>
      <c r="AY70" s="142">
        <f>VLOOKUP(A70,情景假设!$B$29:$S$42,17,0)/情景假设!R$28*AY$56</f>
        <v>224411.51541666625</v>
      </c>
      <c r="AZ70" s="91">
        <f>VLOOKUP($A70,平滑数据导入!$A$1:$AN$61,COLUMN(平滑数据导入!AE$1),0)</f>
        <v>229430.27783246481</v>
      </c>
      <c r="BA70" s="92">
        <f>VLOOKUP($A70,平滑数据导入!$A$1:$AN$61,COLUMN(平滑数据导入!AF$1),0)</f>
        <v>234015.1083006656</v>
      </c>
      <c r="BB70" s="92">
        <f>VLOOKUP($A70,平滑数据导入!$A$1:$AN$61,COLUMN(平滑数据导入!AG$1),0)</f>
        <v>238119.35328675251</v>
      </c>
      <c r="BC70" s="92">
        <f>VLOOKUP($A70,平滑数据导入!$A$1:$AN$61,COLUMN(平滑数据导入!AH$1),0)</f>
        <v>241698.06959612231</v>
      </c>
      <c r="BD70" s="102">
        <f>VLOOKUP($A70,平滑数据导入!$A$1:$AN$61,COLUMN(平滑数据导入!AI$1),0)</f>
        <v>244708.70426585939</v>
      </c>
      <c r="BE70" s="92">
        <f>VLOOKUP($A70,平滑数据导入!$A$1:$AN$61,COLUMN(平滑数据导入!AJ$1),0)</f>
        <v>247111.78605276029</v>
      </c>
      <c r="BF70" s="92">
        <f>VLOOKUP($A70,平滑数据导入!$A$1:$AN$61,COLUMN(平滑数据导入!AK$1),0)</f>
        <v>248871.61541222059</v>
      </c>
      <c r="BG70" s="92">
        <f>VLOOKUP($A70,平滑数据导入!$A$1:$AN$61,COLUMN(平滑数据导入!AL$1),0)</f>
        <v>249956.9387105153</v>
      </c>
      <c r="BH70" s="92">
        <f>VLOOKUP($A70,平滑数据导入!$A$1:$AN$61,COLUMN(平滑数据导入!AM$1),0)</f>
        <v>250341.59155794251</v>
      </c>
      <c r="BI70" s="134">
        <f>VLOOKUP(A70,情景假设!$B$29:$S$42,18,0)/情景假设!S$28*BI$56</f>
        <v>250005.09565189292</v>
      </c>
    </row>
    <row r="74" spans="1:61" x14ac:dyDescent="0.2">
      <c r="A74" s="143" t="s">
        <v>202</v>
      </c>
      <c r="B74" s="122">
        <v>1.083</v>
      </c>
      <c r="C74" s="122">
        <v>1.091</v>
      </c>
      <c r="D74" s="122">
        <v>1.1000000000000001</v>
      </c>
      <c r="E74" s="122">
        <v>1.101</v>
      </c>
      <c r="F74" s="122">
        <v>1.1140000000000001</v>
      </c>
      <c r="G74" s="122">
        <v>1.127</v>
      </c>
      <c r="H74" s="122">
        <v>1.1420000000000001</v>
      </c>
      <c r="I74" s="122">
        <v>1.097</v>
      </c>
      <c r="J74" s="122">
        <v>1.0940000000000001</v>
      </c>
      <c r="K74" s="122">
        <v>1.1059999999999999</v>
      </c>
      <c r="L74" s="122">
        <v>1.0959999999999999</v>
      </c>
      <c r="M74" s="122">
        <v>1.079</v>
      </c>
      <c r="N74" s="122">
        <v>1.0780000000000001</v>
      </c>
      <c r="O74" s="122">
        <v>1.0740000000000001</v>
      </c>
      <c r="P74" s="122">
        <v>1.07</v>
      </c>
      <c r="Q74" s="122">
        <v>1.0680000000000001</v>
      </c>
      <c r="R74" s="122">
        <v>1.069</v>
      </c>
      <c r="S74" s="122">
        <v>1.0669999999999999</v>
      </c>
      <c r="T74" s="122">
        <v>1.06</v>
      </c>
      <c r="U74" s="122">
        <v>1.022</v>
      </c>
      <c r="V74" s="122">
        <v>1.0840000000000001</v>
      </c>
      <c r="W74" s="122">
        <v>1.03</v>
      </c>
    </row>
    <row r="75" spans="1:61" x14ac:dyDescent="0.2">
      <c r="A75" s="5" t="s">
        <v>203</v>
      </c>
      <c r="B75" s="144">
        <f t="shared" ref="B75:S75" si="13">C75/C74</f>
        <v>0.20569891495237672</v>
      </c>
      <c r="C75" s="144">
        <f t="shared" si="13"/>
        <v>0.22441751621304298</v>
      </c>
      <c r="D75" s="144">
        <f t="shared" si="13"/>
        <v>0.24685926783434731</v>
      </c>
      <c r="E75" s="144">
        <f t="shared" si="13"/>
        <v>0.27179205388561639</v>
      </c>
      <c r="F75" s="144">
        <f t="shared" si="13"/>
        <v>0.30277634802857667</v>
      </c>
      <c r="G75" s="144">
        <f t="shared" si="13"/>
        <v>0.34122894422820593</v>
      </c>
      <c r="H75" s="144">
        <f t="shared" si="13"/>
        <v>0.38968345430861123</v>
      </c>
      <c r="I75" s="144">
        <f t="shared" si="13"/>
        <v>0.42748274937654651</v>
      </c>
      <c r="J75" s="144">
        <f t="shared" si="13"/>
        <v>0.46766612781794192</v>
      </c>
      <c r="K75" s="144">
        <f t="shared" si="13"/>
        <v>0.51723873736664372</v>
      </c>
      <c r="L75" s="144">
        <f t="shared" si="13"/>
        <v>0.56689365615384146</v>
      </c>
      <c r="M75" s="144">
        <f t="shared" si="13"/>
        <v>0.61167825498999495</v>
      </c>
      <c r="N75" s="144">
        <f t="shared" si="13"/>
        <v>0.65938915887921457</v>
      </c>
      <c r="O75" s="144">
        <f t="shared" si="13"/>
        <v>0.70818395663627653</v>
      </c>
      <c r="P75" s="144">
        <f t="shared" si="13"/>
        <v>0.75775683360081592</v>
      </c>
      <c r="Q75" s="144">
        <f t="shared" si="13"/>
        <v>0.8092842982856715</v>
      </c>
      <c r="R75" s="144">
        <f t="shared" si="13"/>
        <v>0.86512491486738274</v>
      </c>
      <c r="S75" s="144">
        <f t="shared" si="13"/>
        <v>0.92308828416349731</v>
      </c>
      <c r="T75" s="144">
        <f>U75/U74</f>
        <v>0.97847358121330719</v>
      </c>
      <c r="U75">
        <v>1</v>
      </c>
      <c r="V75">
        <f>U75*V74</f>
        <v>1.0840000000000001</v>
      </c>
      <c r="W75">
        <f>V75*W74</f>
        <v>1.1165200000000002</v>
      </c>
    </row>
    <row r="76" spans="1:61" x14ac:dyDescent="0.2">
      <c r="A76" s="5" t="s">
        <v>204</v>
      </c>
      <c r="B76" s="145">
        <f>$U$76*B75</f>
        <v>208489.63213153562</v>
      </c>
      <c r="C76" s="145">
        <f t="shared" ref="C76:S76" si="14">$U$76*C75</f>
        <v>227462.18865550534</v>
      </c>
      <c r="D76" s="145">
        <f t="shared" si="14"/>
        <v>250208.40752105589</v>
      </c>
      <c r="E76" s="145">
        <f t="shared" si="14"/>
        <v>275479.45668068255</v>
      </c>
      <c r="F76" s="145">
        <f t="shared" si="14"/>
        <v>306884.11474228039</v>
      </c>
      <c r="G76" s="145">
        <f t="shared" si="14"/>
        <v>345858.39731455001</v>
      </c>
      <c r="H76" s="145">
        <f t="shared" si="14"/>
        <v>394970.28973321617</v>
      </c>
      <c r="I76" s="145">
        <f t="shared" si="14"/>
        <v>433282.40783733811</v>
      </c>
      <c r="J76" s="145">
        <f t="shared" si="14"/>
        <v>474010.95417404792</v>
      </c>
      <c r="K76" s="145">
        <f t="shared" si="14"/>
        <v>524256.11531649699</v>
      </c>
      <c r="L76" s="145">
        <f t="shared" si="14"/>
        <v>574584.70238688064</v>
      </c>
      <c r="M76" s="145">
        <f t="shared" si="14"/>
        <v>619976.89387544419</v>
      </c>
      <c r="N76" s="145">
        <f t="shared" si="14"/>
        <v>668335.0915977289</v>
      </c>
      <c r="O76" s="145">
        <f t="shared" si="14"/>
        <v>717791.88837596087</v>
      </c>
      <c r="P76" s="145">
        <f t="shared" si="14"/>
        <v>768037.32056227815</v>
      </c>
      <c r="Q76" s="145">
        <f t="shared" si="14"/>
        <v>820263.85836051323</v>
      </c>
      <c r="R76" s="145">
        <f t="shared" si="14"/>
        <v>876862.06458738854</v>
      </c>
      <c r="S76" s="145">
        <f t="shared" si="14"/>
        <v>935611.82291474345</v>
      </c>
      <c r="T76" s="145">
        <f>$U$76*T75</f>
        <v>991748.53228962817</v>
      </c>
      <c r="U76" s="20">
        <f>'增加值 (2001-2022, 当年价) '!U2</f>
        <v>1013567</v>
      </c>
      <c r="V76" s="145">
        <f>$U$76*V75</f>
        <v>1098706.628</v>
      </c>
      <c r="W76" s="145">
        <f>$U$76*W75</f>
        <v>1131667.8268400002</v>
      </c>
    </row>
    <row r="77" spans="1:61" x14ac:dyDescent="0.2">
      <c r="A77" s="5" t="s">
        <v>205</v>
      </c>
      <c r="B77" s="146">
        <f>B76/'增加值 (2001-2022, 当年价) '!B2</f>
        <v>1.880604386234334</v>
      </c>
      <c r="C77" s="146">
        <f>C76/'增加值 (2001-2022, 当年价) '!C2</f>
        <v>1.8687729827905077</v>
      </c>
      <c r="D77" s="146">
        <f>D76/'增加值 (2001-2022, 当年价) '!D2</f>
        <v>1.8207303599209435</v>
      </c>
      <c r="E77" s="146">
        <f>E76/'增加值 (2001-2022, 当年价) '!E2</f>
        <v>1.7021695269820634</v>
      </c>
      <c r="F77" s="146">
        <f>F76/'增加值 (2001-2022, 当年价) '!F2</f>
        <v>1.6382976557212348</v>
      </c>
      <c r="G77" s="146">
        <f>G76/'增加值 (2001-2022, 当年价) '!G2</f>
        <v>1.5761062772236869</v>
      </c>
      <c r="H77" s="146">
        <f>H76/'增加值 (2001-2022, 当年价) '!H2</f>
        <v>1.462353016850966</v>
      </c>
      <c r="I77" s="146">
        <f>I76/'增加值 (2001-2022, 当年价) '!I2</f>
        <v>1.3572113916330555</v>
      </c>
      <c r="J77" s="146">
        <f>J76/'增加值 (2001-2022, 当年价) '!J2</f>
        <v>1.3600771328803327</v>
      </c>
      <c r="K77" s="146">
        <f>K76/'增加值 (2001-2022, 当年价) '!K2</f>
        <v>1.2720979466782969</v>
      </c>
      <c r="L77" s="146">
        <f>L76/'增加值 (2001-2022, 当年价) '!L2</f>
        <v>1.1775719696530038</v>
      </c>
      <c r="M77" s="146">
        <f>M76/'增加值 (2001-2022, 当年价) '!M2</f>
        <v>1.1511324109239931</v>
      </c>
      <c r="N77" s="146">
        <f>N76/'增加值 (2001-2022, 当年价) '!N2</f>
        <v>1.1271105721193642</v>
      </c>
      <c r="O77" s="146">
        <f>O76/'增加值 (2001-2022, 当年价) '!O2</f>
        <v>1.1153403425024848</v>
      </c>
      <c r="P77" s="146">
        <f>P76/'增加值 (2001-2022, 当年价) '!P2</f>
        <v>1.1149425535796456</v>
      </c>
      <c r="Q77" s="146">
        <f>Q76/'增加值 (2001-2022, 当年价) '!Q2</f>
        <v>1.0989673677660976</v>
      </c>
      <c r="R77" s="146">
        <f>R76/'增加值 (2001-2022, 当年价) '!R2</f>
        <v>1.0538752770011348</v>
      </c>
      <c r="S77" s="146">
        <f>S76/'增加值 (2001-2022, 当年价) '!S2</f>
        <v>1.0177646673196517</v>
      </c>
      <c r="T77" s="146">
        <f>T76/'增加值 (2001-2022, 当年价) '!T2</f>
        <v>1.0053048673650729</v>
      </c>
      <c r="U77" s="146">
        <f>U76/'增加值 (2001-2022, 当年价) '!U2</f>
        <v>1</v>
      </c>
      <c r="V77" s="146">
        <f>V76/'增加值 (2001-2022, 当年价) '!V2</f>
        <v>0.95603137385935189</v>
      </c>
      <c r="W77" s="146">
        <f>W76/'增加值 (2001-2022, 当年价) '!W2</f>
        <v>0.93510254016006533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FFCC-DCB5-438D-B47B-3BD7C6D0FC4B}">
  <dimension ref="A1:AA70"/>
  <sheetViews>
    <sheetView workbookViewId="0"/>
  </sheetViews>
  <sheetFormatPr defaultRowHeight="14.25" x14ac:dyDescent="0.2"/>
  <cols>
    <col min="1" max="1" width="34.25" customWidth="1"/>
    <col min="2" max="23" width="9.875" customWidth="1"/>
    <col min="25" max="25" width="9.5" customWidth="1"/>
    <col min="26" max="26" width="14.375" customWidth="1"/>
    <col min="27" max="27" width="12.5" customWidth="1"/>
    <col min="28" max="28" width="11.75" customWidth="1"/>
  </cols>
  <sheetData>
    <row r="1" spans="1:27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3">
        <v>2022</v>
      </c>
      <c r="Z1" s="57"/>
    </row>
    <row r="2" spans="1:27" s="9" customFormat="1" x14ac:dyDescent="0.2">
      <c r="A2" s="4" t="s">
        <v>0</v>
      </c>
      <c r="B2" s="6">
        <v>110863.1</v>
      </c>
      <c r="C2" s="7">
        <v>121717.4</v>
      </c>
      <c r="D2" s="7">
        <v>137422</v>
      </c>
      <c r="E2" s="7">
        <v>161840.20000000001</v>
      </c>
      <c r="F2" s="7">
        <v>187318.9</v>
      </c>
      <c r="G2" s="6">
        <v>219438.5</v>
      </c>
      <c r="H2" s="7">
        <v>270092.3</v>
      </c>
      <c r="I2" s="7">
        <v>319244.59999999998</v>
      </c>
      <c r="J2" s="7">
        <v>348517.7</v>
      </c>
      <c r="K2" s="8">
        <v>412119.3</v>
      </c>
      <c r="L2" s="6">
        <v>487940.2</v>
      </c>
      <c r="M2" s="7">
        <v>538580</v>
      </c>
      <c r="N2" s="7">
        <v>592963.19999999995</v>
      </c>
      <c r="O2" s="7">
        <v>643563.1</v>
      </c>
      <c r="P2" s="8">
        <v>688858.2</v>
      </c>
      <c r="Q2" s="6">
        <v>746395.1</v>
      </c>
      <c r="R2" s="7">
        <v>832035.9</v>
      </c>
      <c r="S2" s="7">
        <v>919281.1</v>
      </c>
      <c r="T2" s="7">
        <v>986515.2</v>
      </c>
      <c r="U2" s="8">
        <v>1013567</v>
      </c>
      <c r="V2" s="6">
        <v>1149237</v>
      </c>
      <c r="W2" s="8">
        <v>1210207.2</v>
      </c>
    </row>
    <row r="3" spans="1:27" x14ac:dyDescent="0.2">
      <c r="A3" s="10" t="s">
        <v>1</v>
      </c>
      <c r="B3" s="11">
        <v>15780</v>
      </c>
      <c r="C3" s="12">
        <v>16535.7</v>
      </c>
      <c r="D3" s="12">
        <v>17380.599999999999</v>
      </c>
      <c r="E3" s="12">
        <v>21410.7</v>
      </c>
      <c r="F3" s="13">
        <v>22416.2</v>
      </c>
      <c r="G3" s="11">
        <v>24036.400000000001</v>
      </c>
      <c r="H3" s="12">
        <v>28483.7</v>
      </c>
      <c r="I3" s="12">
        <v>33428.1</v>
      </c>
      <c r="J3" s="12">
        <v>34659.699999999997</v>
      </c>
      <c r="K3" s="13">
        <v>39619</v>
      </c>
      <c r="L3" s="11">
        <v>46122.6</v>
      </c>
      <c r="M3" s="12">
        <v>50581.2</v>
      </c>
      <c r="N3" s="12">
        <v>54692.4</v>
      </c>
      <c r="O3" s="12">
        <v>57472.2</v>
      </c>
      <c r="P3" s="13">
        <v>59852.6</v>
      </c>
      <c r="Q3" s="11">
        <v>62451</v>
      </c>
      <c r="R3" s="12">
        <v>64660</v>
      </c>
      <c r="S3" s="12">
        <v>67558.7</v>
      </c>
      <c r="T3" s="12">
        <v>73576.899999999994</v>
      </c>
      <c r="U3" s="13">
        <v>81396.5</v>
      </c>
      <c r="V3" s="11">
        <v>86775</v>
      </c>
      <c r="W3" s="13">
        <v>92582.399999999994</v>
      </c>
      <c r="Y3" s="153">
        <f>U3/U$2</f>
        <v>8.0306975266558597E-2</v>
      </c>
      <c r="Z3" s="153">
        <f t="shared" ref="Z3:AA5" si="0">V3/V$2</f>
        <v>7.5506618739215672E-2</v>
      </c>
      <c r="AA3" s="153">
        <f t="shared" si="0"/>
        <v>7.6501280111372666E-2</v>
      </c>
    </row>
    <row r="4" spans="1:27" x14ac:dyDescent="0.2">
      <c r="A4" s="14" t="s">
        <v>2</v>
      </c>
      <c r="B4" s="11">
        <v>43854.3</v>
      </c>
      <c r="C4" s="12">
        <v>47774.9</v>
      </c>
      <c r="D4" s="12">
        <v>55362.2</v>
      </c>
      <c r="E4" s="12">
        <v>65774.899999999994</v>
      </c>
      <c r="F4" s="13">
        <v>77958.3</v>
      </c>
      <c r="G4" s="11">
        <v>92235.8</v>
      </c>
      <c r="H4" s="12">
        <v>111690.8</v>
      </c>
      <c r="I4" s="12">
        <v>131724</v>
      </c>
      <c r="J4" s="12">
        <v>138092.6</v>
      </c>
      <c r="K4" s="13">
        <v>165123.1</v>
      </c>
      <c r="L4" s="11">
        <v>195139.1</v>
      </c>
      <c r="M4" s="12">
        <v>208901.4</v>
      </c>
      <c r="N4" s="12">
        <v>222333.2</v>
      </c>
      <c r="O4" s="12">
        <v>233197.4</v>
      </c>
      <c r="P4" s="13">
        <v>234968.9</v>
      </c>
      <c r="Q4" s="11">
        <v>245406.4</v>
      </c>
      <c r="R4" s="12">
        <v>275119.3</v>
      </c>
      <c r="S4" s="12">
        <v>301089.3</v>
      </c>
      <c r="T4" s="12">
        <v>311858.7</v>
      </c>
      <c r="U4" s="13">
        <v>312902.90000000002</v>
      </c>
      <c r="V4" s="11">
        <v>372575.3</v>
      </c>
      <c r="W4" s="13">
        <v>401644.3</v>
      </c>
      <c r="Y4" s="153">
        <f t="shared" ref="Y4:Y5" si="1">U4/U$2</f>
        <v>0.30871456943645564</v>
      </c>
      <c r="Z4" s="153">
        <f t="shared" si="0"/>
        <v>0.32419361715642636</v>
      </c>
      <c r="AA4" s="153">
        <f t="shared" si="0"/>
        <v>0.33188060689111748</v>
      </c>
    </row>
    <row r="5" spans="1:27" x14ac:dyDescent="0.2">
      <c r="A5" s="14" t="s">
        <v>3</v>
      </c>
      <c r="B5" s="11">
        <v>5945.5</v>
      </c>
      <c r="C5" s="12">
        <v>6482.1</v>
      </c>
      <c r="D5" s="12">
        <v>7510.8</v>
      </c>
      <c r="E5" s="12">
        <v>8720.5</v>
      </c>
      <c r="F5" s="13">
        <v>10400.5</v>
      </c>
      <c r="G5" s="11">
        <v>12450.1</v>
      </c>
      <c r="H5" s="12">
        <v>15348</v>
      </c>
      <c r="I5" s="12">
        <v>18807.599999999999</v>
      </c>
      <c r="J5" s="12">
        <v>22681.5</v>
      </c>
      <c r="K5" s="13">
        <v>27259.3</v>
      </c>
      <c r="L5" s="11">
        <v>32926.5</v>
      </c>
      <c r="M5" s="12">
        <v>36896.1</v>
      </c>
      <c r="N5" s="12">
        <v>40896.800000000003</v>
      </c>
      <c r="O5" s="12">
        <v>45401.7</v>
      </c>
      <c r="P5" s="13">
        <v>47761.3</v>
      </c>
      <c r="Q5" s="11">
        <v>51498.9</v>
      </c>
      <c r="R5" s="12">
        <v>57905.599999999999</v>
      </c>
      <c r="S5" s="12">
        <v>65493</v>
      </c>
      <c r="T5" s="12">
        <v>70648.100000000006</v>
      </c>
      <c r="U5" s="13">
        <v>72444.7</v>
      </c>
      <c r="V5" s="11">
        <v>80138.5</v>
      </c>
      <c r="W5" s="13">
        <v>83383.100000000006</v>
      </c>
      <c r="Y5" s="153">
        <f t="shared" si="1"/>
        <v>7.1474998692735658E-2</v>
      </c>
      <c r="Z5" s="153">
        <f t="shared" si="0"/>
        <v>6.973191778545243E-2</v>
      </c>
      <c r="AA5" s="153">
        <f t="shared" si="0"/>
        <v>6.8899854504253497E-2</v>
      </c>
    </row>
    <row r="6" spans="1:27" x14ac:dyDescent="0.2">
      <c r="A6" s="14" t="s">
        <v>4</v>
      </c>
      <c r="B6" s="11">
        <v>6871.3</v>
      </c>
      <c r="C6" s="12">
        <v>7494.3</v>
      </c>
      <c r="D6" s="12">
        <v>7914.8</v>
      </c>
      <c r="E6" s="12">
        <v>9306.5</v>
      </c>
      <c r="F6" s="13">
        <v>10668.8</v>
      </c>
      <c r="G6" s="11">
        <v>12186.3</v>
      </c>
      <c r="H6" s="12">
        <v>14605.1</v>
      </c>
      <c r="I6" s="12">
        <v>16367.6</v>
      </c>
      <c r="J6" s="12">
        <v>16522.400000000001</v>
      </c>
      <c r="K6" s="13">
        <v>18783.599999999999</v>
      </c>
      <c r="L6" s="11">
        <v>21842</v>
      </c>
      <c r="M6" s="12">
        <v>23763.200000000001</v>
      </c>
      <c r="N6" s="12">
        <v>26042.7</v>
      </c>
      <c r="O6" s="12">
        <v>28534.400000000001</v>
      </c>
      <c r="P6" s="13">
        <v>30519.5</v>
      </c>
      <c r="Q6" s="11">
        <v>33028.699999999997</v>
      </c>
      <c r="R6" s="12">
        <v>37121.9</v>
      </c>
      <c r="S6" s="12">
        <v>40337.199999999997</v>
      </c>
      <c r="T6" s="12">
        <v>42466.3</v>
      </c>
      <c r="U6" s="13">
        <v>40582.9</v>
      </c>
      <c r="V6" s="11">
        <v>47061.2</v>
      </c>
      <c r="W6" s="13">
        <v>49673.7</v>
      </c>
      <c r="Y6" s="58">
        <f>1-SUM(Y3:Y5)</f>
        <v>0.53950345660425003</v>
      </c>
      <c r="Z6" s="58">
        <f t="shared" ref="Z6:AA6" si="2">1-SUM(Z3:Z5)</f>
        <v>0.53056784631890552</v>
      </c>
      <c r="AA6" s="58">
        <f t="shared" si="2"/>
        <v>0.52271825849325637</v>
      </c>
    </row>
    <row r="7" spans="1:27" x14ac:dyDescent="0.2">
      <c r="A7" s="14" t="s">
        <v>5</v>
      </c>
      <c r="B7" s="11">
        <v>9120.7999999999993</v>
      </c>
      <c r="C7" s="12">
        <v>9996.7999999999993</v>
      </c>
      <c r="D7" s="12">
        <v>11171.2</v>
      </c>
      <c r="E7" s="12">
        <v>12455.8</v>
      </c>
      <c r="F7" s="13">
        <v>13968.5</v>
      </c>
      <c r="G7" s="11">
        <v>16533.400000000001</v>
      </c>
      <c r="H7" s="12">
        <v>20941.099999999999</v>
      </c>
      <c r="I7" s="12">
        <v>26186.2</v>
      </c>
      <c r="J7" s="12">
        <v>29004.6</v>
      </c>
      <c r="K7" s="13">
        <v>35907.9</v>
      </c>
      <c r="L7" s="11">
        <v>43734.5</v>
      </c>
      <c r="M7" s="12">
        <v>49835.5</v>
      </c>
      <c r="N7" s="12">
        <v>56288.9</v>
      </c>
      <c r="O7" s="12">
        <v>63170.400000000001</v>
      </c>
      <c r="P7" s="13">
        <v>67719.600000000006</v>
      </c>
      <c r="Q7" s="11">
        <v>73724.5</v>
      </c>
      <c r="R7" s="12">
        <v>81156.600000000006</v>
      </c>
      <c r="S7" s="12">
        <v>88903.7</v>
      </c>
      <c r="T7" s="12">
        <v>95650.9</v>
      </c>
      <c r="U7" s="13">
        <v>96086.1</v>
      </c>
      <c r="V7" s="11">
        <v>110492.7</v>
      </c>
      <c r="W7" s="13">
        <v>114517.7</v>
      </c>
    </row>
    <row r="8" spans="1:27" x14ac:dyDescent="0.2">
      <c r="A8" s="14" t="s">
        <v>6</v>
      </c>
      <c r="B8" s="11">
        <v>2400.1</v>
      </c>
      <c r="C8" s="12">
        <v>2724.8</v>
      </c>
      <c r="D8" s="12">
        <v>3126.1</v>
      </c>
      <c r="E8" s="12">
        <v>3664.8</v>
      </c>
      <c r="F8" s="13">
        <v>4195.7</v>
      </c>
      <c r="G8" s="11">
        <v>4792.6000000000004</v>
      </c>
      <c r="H8" s="12">
        <v>5548.1</v>
      </c>
      <c r="I8" s="12">
        <v>6616.1</v>
      </c>
      <c r="J8" s="12">
        <v>6957</v>
      </c>
      <c r="K8" s="13">
        <v>7712</v>
      </c>
      <c r="L8" s="11">
        <v>8565.4</v>
      </c>
      <c r="M8" s="12">
        <v>9536.9</v>
      </c>
      <c r="N8" s="12">
        <v>10228.299999999999</v>
      </c>
      <c r="O8" s="12">
        <v>11228.7</v>
      </c>
      <c r="P8" s="13">
        <v>12306.1</v>
      </c>
      <c r="Q8" s="11">
        <v>13607.8</v>
      </c>
      <c r="R8" s="12">
        <v>15056</v>
      </c>
      <c r="S8" s="12">
        <v>16520.599999999999</v>
      </c>
      <c r="T8" s="12">
        <v>17903.099999999999</v>
      </c>
      <c r="U8" s="13">
        <v>15285.4</v>
      </c>
      <c r="V8" s="11">
        <v>17852.599999999999</v>
      </c>
      <c r="W8" s="13">
        <v>17855.3</v>
      </c>
    </row>
    <row r="9" spans="1:27" x14ac:dyDescent="0.2">
      <c r="A9" s="14" t="s">
        <v>7</v>
      </c>
      <c r="B9" s="11">
        <v>5202.8</v>
      </c>
      <c r="C9" s="12">
        <v>5555.8</v>
      </c>
      <c r="D9" s="12">
        <v>6045.7</v>
      </c>
      <c r="E9" s="12">
        <v>6600.2</v>
      </c>
      <c r="F9" s="13">
        <v>7486</v>
      </c>
      <c r="G9" s="11">
        <v>9972.2999999999993</v>
      </c>
      <c r="H9" s="12">
        <v>15200</v>
      </c>
      <c r="I9" s="12">
        <v>18345.599999999999</v>
      </c>
      <c r="J9" s="12">
        <v>21836.799999999999</v>
      </c>
      <c r="K9" s="13">
        <v>25733.1</v>
      </c>
      <c r="L9" s="11">
        <v>30747.200000000001</v>
      </c>
      <c r="M9" s="12">
        <v>35272.199999999997</v>
      </c>
      <c r="N9" s="12">
        <v>41293.4</v>
      </c>
      <c r="O9" s="12">
        <v>46853.4</v>
      </c>
      <c r="P9" s="13">
        <v>56299.8</v>
      </c>
      <c r="Q9" s="11">
        <v>59964</v>
      </c>
      <c r="R9" s="12">
        <v>64844.3</v>
      </c>
      <c r="S9" s="12">
        <v>70610.3</v>
      </c>
      <c r="T9" s="12">
        <v>76250.600000000006</v>
      </c>
      <c r="U9" s="13">
        <v>83617.7</v>
      </c>
      <c r="V9" s="11">
        <v>91205.6</v>
      </c>
      <c r="W9" s="13">
        <v>96811</v>
      </c>
    </row>
    <row r="10" spans="1:27" x14ac:dyDescent="0.2">
      <c r="A10" s="14" t="s">
        <v>8</v>
      </c>
      <c r="B10" s="11">
        <v>4705.8</v>
      </c>
      <c r="C10" s="12">
        <v>5334.5</v>
      </c>
      <c r="D10" s="12">
        <v>6157</v>
      </c>
      <c r="E10" s="12">
        <v>7152.1</v>
      </c>
      <c r="F10" s="13">
        <v>8482.7000000000007</v>
      </c>
      <c r="G10" s="11">
        <v>10320.9</v>
      </c>
      <c r="H10" s="12">
        <v>13714</v>
      </c>
      <c r="I10" s="12">
        <v>14600.3</v>
      </c>
      <c r="J10" s="12">
        <v>18760.5</v>
      </c>
      <c r="K10" s="13">
        <v>23326.6</v>
      </c>
      <c r="L10" s="11">
        <v>27780.7</v>
      </c>
      <c r="M10" s="12">
        <v>30751.9</v>
      </c>
      <c r="N10" s="12">
        <v>35340.400000000001</v>
      </c>
      <c r="O10" s="12">
        <v>38086.400000000001</v>
      </c>
      <c r="P10" s="13">
        <v>42573.8</v>
      </c>
      <c r="Q10" s="11">
        <v>49969.4</v>
      </c>
      <c r="R10" s="12">
        <v>57086</v>
      </c>
      <c r="S10" s="12">
        <v>64623</v>
      </c>
      <c r="T10" s="12">
        <v>70444.800000000003</v>
      </c>
      <c r="U10" s="13">
        <v>73425.3</v>
      </c>
      <c r="V10" s="11">
        <v>77560.800000000003</v>
      </c>
      <c r="W10" s="13">
        <v>73821.3</v>
      </c>
    </row>
    <row r="11" spans="1:27" x14ac:dyDescent="0.2">
      <c r="A11" s="15" t="s">
        <v>9</v>
      </c>
      <c r="B11" s="16">
        <v>16982.599999999999</v>
      </c>
      <c r="C11" s="17">
        <v>19818.599999999999</v>
      </c>
      <c r="D11" s="17">
        <v>22753.8</v>
      </c>
      <c r="E11" s="17">
        <v>26754.6</v>
      </c>
      <c r="F11" s="18">
        <v>31742.1</v>
      </c>
      <c r="G11" s="16">
        <v>36910.800000000003</v>
      </c>
      <c r="H11" s="17">
        <v>44561.5</v>
      </c>
      <c r="I11" s="17">
        <v>53169.3</v>
      </c>
      <c r="J11" s="17">
        <v>60002.6</v>
      </c>
      <c r="K11" s="18">
        <v>68654.7</v>
      </c>
      <c r="L11" s="16">
        <v>81082.2</v>
      </c>
      <c r="M11" s="17">
        <v>93041.600000000006</v>
      </c>
      <c r="N11" s="17">
        <v>105847.3</v>
      </c>
      <c r="O11" s="17">
        <v>119618.5</v>
      </c>
      <c r="P11" s="18">
        <v>136856.5</v>
      </c>
      <c r="Q11" s="16">
        <v>156744.29999999999</v>
      </c>
      <c r="R11" s="17">
        <v>179086.3</v>
      </c>
      <c r="S11" s="17">
        <v>204145.2</v>
      </c>
      <c r="T11" s="17">
        <v>227715.8</v>
      </c>
      <c r="U11" s="18">
        <v>237825.3</v>
      </c>
      <c r="V11" s="16">
        <v>260008</v>
      </c>
      <c r="W11" s="18">
        <v>279918.40000000002</v>
      </c>
    </row>
    <row r="12" spans="1:27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3"/>
    </row>
    <row r="13" spans="1:27" s="9" customFormat="1" x14ac:dyDescent="0.2">
      <c r="A13" s="4" t="s">
        <v>2</v>
      </c>
      <c r="B13" s="6">
        <f>B4</f>
        <v>43854.3</v>
      </c>
      <c r="C13" s="7">
        <f t="shared" ref="C13:W13" si="3">C4</f>
        <v>47774.9</v>
      </c>
      <c r="D13" s="7">
        <f t="shared" si="3"/>
        <v>55362.2</v>
      </c>
      <c r="E13" s="7">
        <f t="shared" si="3"/>
        <v>65774.899999999994</v>
      </c>
      <c r="F13" s="8">
        <f t="shared" si="3"/>
        <v>77958.3</v>
      </c>
      <c r="G13" s="6">
        <f t="shared" si="3"/>
        <v>92235.8</v>
      </c>
      <c r="H13" s="7">
        <f t="shared" si="3"/>
        <v>111690.8</v>
      </c>
      <c r="I13" s="7">
        <f t="shared" si="3"/>
        <v>131724</v>
      </c>
      <c r="J13" s="7">
        <f t="shared" si="3"/>
        <v>138092.6</v>
      </c>
      <c r="K13" s="8">
        <f t="shared" si="3"/>
        <v>165123.1</v>
      </c>
      <c r="L13" s="6">
        <f t="shared" si="3"/>
        <v>195139.1</v>
      </c>
      <c r="M13" s="39">
        <f t="shared" si="3"/>
        <v>208901.4</v>
      </c>
      <c r="N13" s="39">
        <f t="shared" si="3"/>
        <v>222333.2</v>
      </c>
      <c r="O13" s="39">
        <f t="shared" si="3"/>
        <v>233197.4</v>
      </c>
      <c r="P13" s="40">
        <f t="shared" si="3"/>
        <v>234968.9</v>
      </c>
      <c r="Q13" s="38">
        <f t="shared" si="3"/>
        <v>245406.4</v>
      </c>
      <c r="R13" s="39">
        <f t="shared" si="3"/>
        <v>275119.3</v>
      </c>
      <c r="S13" s="39">
        <f t="shared" si="3"/>
        <v>301089.3</v>
      </c>
      <c r="T13" s="39">
        <f t="shared" si="3"/>
        <v>311858.7</v>
      </c>
      <c r="U13" s="40">
        <f t="shared" si="3"/>
        <v>312902.90000000002</v>
      </c>
      <c r="V13" s="38">
        <f t="shared" si="3"/>
        <v>372575.3</v>
      </c>
      <c r="W13" s="40">
        <f t="shared" si="3"/>
        <v>401644.3</v>
      </c>
    </row>
    <row r="14" spans="1:27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v>8602.7065308573456</v>
      </c>
      <c r="J14" s="23">
        <v>8813.1098474423725</v>
      </c>
      <c r="K14" s="24">
        <v>10724.333438976624</v>
      </c>
      <c r="L14" s="22">
        <v>12979.900758022894</v>
      </c>
      <c r="M14" s="23">
        <v>13879.376892260501</v>
      </c>
      <c r="N14" s="23">
        <v>14233.428153652432</v>
      </c>
      <c r="O14" s="23">
        <v>14134.746448756892</v>
      </c>
      <c r="P14" s="23">
        <v>13669.399830990402</v>
      </c>
      <c r="Q14" s="22">
        <v>13330.672222464094</v>
      </c>
      <c r="R14" s="23">
        <v>13775.299188477968</v>
      </c>
      <c r="S14" s="23">
        <v>14515.154370104327</v>
      </c>
      <c r="T14" s="23">
        <v>14947.752961203312</v>
      </c>
      <c r="U14" s="24">
        <v>14783.756200003678</v>
      </c>
      <c r="V14" s="22">
        <v>17179.351501906425</v>
      </c>
      <c r="W14" s="24">
        <v>19251.430204064447</v>
      </c>
    </row>
    <row r="15" spans="1:27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v>9050.3068706590057</v>
      </c>
      <c r="J15" s="20">
        <v>8972.0194546512812</v>
      </c>
      <c r="K15" s="21">
        <v>9296.816554432462</v>
      </c>
      <c r="L15" s="19">
        <v>10142.370950361594</v>
      </c>
      <c r="M15" s="20">
        <v>10193.314991483156</v>
      </c>
      <c r="N15" s="20">
        <v>10117.090518246121</v>
      </c>
      <c r="O15" s="20">
        <v>10144.966774531002</v>
      </c>
      <c r="P15" s="20">
        <v>10032.417299100189</v>
      </c>
      <c r="Q15" s="19">
        <v>9922.8733724772756</v>
      </c>
      <c r="R15" s="20">
        <v>10190.994985123793</v>
      </c>
      <c r="S15" s="20">
        <v>10717.327020300094</v>
      </c>
      <c r="T15" s="20">
        <v>10848.433525772056</v>
      </c>
      <c r="U15" s="21">
        <v>10602.811030571023</v>
      </c>
      <c r="V15" s="19">
        <v>11997.592947184336</v>
      </c>
      <c r="W15" s="21">
        <v>13158.089316705255</v>
      </c>
    </row>
    <row r="16" spans="1:27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v>1505.3011427690797</v>
      </c>
      <c r="J16" s="20">
        <v>1784.1858104882399</v>
      </c>
      <c r="K16" s="21">
        <v>2234.091223853492</v>
      </c>
      <c r="L16" s="19">
        <v>2782.8170885006584</v>
      </c>
      <c r="M16" s="20">
        <v>3268.3475053164429</v>
      </c>
      <c r="N16" s="20">
        <v>3646.6209599717336</v>
      </c>
      <c r="O16" s="20">
        <v>3907.5126656933317</v>
      </c>
      <c r="P16" s="20">
        <v>3801.1192983568349</v>
      </c>
      <c r="Q16" s="19">
        <v>3665.5304343510165</v>
      </c>
      <c r="R16" s="20">
        <v>3760.7060865959761</v>
      </c>
      <c r="S16" s="20">
        <v>3695.1495227066553</v>
      </c>
      <c r="T16" s="20">
        <v>3862.9873022264719</v>
      </c>
      <c r="U16" s="21">
        <v>3696.6327461554224</v>
      </c>
      <c r="V16" s="147">
        <v>4162.7890113712529</v>
      </c>
      <c r="W16" s="148">
        <v>4885.3719176390277</v>
      </c>
    </row>
    <row r="17" spans="1:23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v>965.80073320027714</v>
      </c>
      <c r="J17" s="20">
        <v>1094.4853873917432</v>
      </c>
      <c r="K17" s="21">
        <v>1263.6542678009414</v>
      </c>
      <c r="L17" s="19">
        <v>1515.0004634392046</v>
      </c>
      <c r="M17" s="20">
        <v>1701.1332373090552</v>
      </c>
      <c r="N17" s="20">
        <v>1807.244893533888</v>
      </c>
      <c r="O17" s="20">
        <v>1880.5112297730902</v>
      </c>
      <c r="P17" s="20">
        <v>1861.4333047191292</v>
      </c>
      <c r="Q17" s="19">
        <v>1889.0250545824697</v>
      </c>
      <c r="R17" s="20">
        <v>1922.1224461354216</v>
      </c>
      <c r="S17" s="20">
        <v>2011.4850800506881</v>
      </c>
      <c r="T17" s="20">
        <v>2022.3477372231948</v>
      </c>
      <c r="U17" s="21">
        <v>1962.7921031386184</v>
      </c>
      <c r="V17" s="147">
        <v>2101.2870026618502</v>
      </c>
      <c r="W17" s="148">
        <v>2295.809785923595</v>
      </c>
    </row>
    <row r="18" spans="1:23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v>545.80041435153373</v>
      </c>
      <c r="J18" s="20">
        <v>620.58882009721879</v>
      </c>
      <c r="K18" s="21">
        <v>804.14070521768201</v>
      </c>
      <c r="L18" s="19">
        <v>1031.6990489512123</v>
      </c>
      <c r="M18" s="20">
        <v>1107.2122491938214</v>
      </c>
      <c r="N18" s="20">
        <v>1203.1325084532007</v>
      </c>
      <c r="O18" s="20">
        <v>1256.5705179170764</v>
      </c>
      <c r="P18" s="20">
        <v>1271.2510100937773</v>
      </c>
      <c r="Q18" s="19">
        <v>1312.7498946872574</v>
      </c>
      <c r="R18" s="20">
        <v>1380.0906985971237</v>
      </c>
      <c r="S18" s="20">
        <v>1442.830475328278</v>
      </c>
      <c r="T18" s="20">
        <v>1411.1878269692647</v>
      </c>
      <c r="U18" s="21">
        <v>1364.1405953083029</v>
      </c>
      <c r="V18" s="19">
        <v>1597.0744131292022</v>
      </c>
      <c r="W18" s="21">
        <v>1638.765774402842</v>
      </c>
    </row>
    <row r="19" spans="1:23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v>458.50034807654498</v>
      </c>
      <c r="J19" s="20">
        <v>521.25415963701107</v>
      </c>
      <c r="K19" s="21">
        <v>626.26618411819004</v>
      </c>
      <c r="L19" s="19">
        <v>762.31779115243853</v>
      </c>
      <c r="M19" s="20">
        <v>847.80976910915558</v>
      </c>
      <c r="N19" s="20">
        <v>864.50137752992862</v>
      </c>
      <c r="O19" s="20">
        <v>809.92873491075056</v>
      </c>
      <c r="P19" s="20">
        <v>677.1890952580502</v>
      </c>
      <c r="Q19" s="19">
        <v>573.24786178264799</v>
      </c>
      <c r="R19" s="20">
        <v>725.48414377325219</v>
      </c>
      <c r="S19" s="20">
        <v>926.76357095617357</v>
      </c>
      <c r="T19" s="20">
        <v>1100.9341051264412</v>
      </c>
      <c r="U19" s="21">
        <v>935.75183103419295</v>
      </c>
      <c r="V19" s="19">
        <v>1076.1731642745904</v>
      </c>
      <c r="W19" s="21">
        <v>1223.8580985832502</v>
      </c>
    </row>
    <row r="20" spans="1:23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v>3.1000023534073922</v>
      </c>
      <c r="J20" s="20">
        <v>4.1845774988797642</v>
      </c>
      <c r="K20" s="21">
        <v>5.2441173212446506</v>
      </c>
      <c r="L20" s="19">
        <v>6.6845669743072351</v>
      </c>
      <c r="M20" s="20">
        <v>6.8678688886411861</v>
      </c>
      <c r="N20" s="20">
        <v>7.502827183510365</v>
      </c>
      <c r="O20" s="20">
        <v>7.0510098450435912</v>
      </c>
      <c r="P20" s="20">
        <v>6.8523339159222463</v>
      </c>
      <c r="Q20" s="19">
        <v>6.0176719759568336</v>
      </c>
      <c r="R20" s="20">
        <v>7.2600738655111625</v>
      </c>
      <c r="S20" s="20">
        <v>7.7098865415536757</v>
      </c>
      <c r="T20" s="20">
        <v>7.8117283723092017</v>
      </c>
      <c r="U20" s="21">
        <v>7.680442047975407</v>
      </c>
      <c r="V20" s="19">
        <v>7.4611990340320693</v>
      </c>
      <c r="W20" s="148">
        <v>9.9031707646251146</v>
      </c>
    </row>
    <row r="21" spans="1:23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v>4457.8033841998304</v>
      </c>
      <c r="J21" s="20">
        <v>4887.310870278885</v>
      </c>
      <c r="K21" s="21">
        <v>5835.5436011208267</v>
      </c>
      <c r="L21" s="19">
        <v>6911.4548569209974</v>
      </c>
      <c r="M21" s="20">
        <v>7646.1720166414416</v>
      </c>
      <c r="N21" s="20">
        <v>8115.6992231973009</v>
      </c>
      <c r="O21" s="20">
        <v>8468.3010733558294</v>
      </c>
      <c r="P21" s="20">
        <v>8478.8312167853383</v>
      </c>
      <c r="Q21" s="19">
        <v>8906.718913980023</v>
      </c>
      <c r="R21" s="20">
        <v>10040.499011076579</v>
      </c>
      <c r="S21" s="20">
        <v>10962.787118472648</v>
      </c>
      <c r="T21" s="20">
        <v>10904.279075637376</v>
      </c>
      <c r="U21" s="21">
        <v>10445.304759048124</v>
      </c>
      <c r="V21" s="19">
        <v>12251.644128479631</v>
      </c>
      <c r="W21" s="21">
        <v>12813.230318340402</v>
      </c>
    </row>
    <row r="22" spans="1:23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v>2093.0015889295714</v>
      </c>
      <c r="J22" s="20">
        <v>2259.0238769767952</v>
      </c>
      <c r="K22" s="21">
        <v>2702.009141156459</v>
      </c>
      <c r="L22" s="19">
        <v>3284.3257250851011</v>
      </c>
      <c r="M22" s="20">
        <v>3575.8910859003236</v>
      </c>
      <c r="N22" s="20">
        <v>3816.2913666362542</v>
      </c>
      <c r="O22" s="20">
        <v>4015.3739178761771</v>
      </c>
      <c r="P22" s="20">
        <v>4096.5824328702329</v>
      </c>
      <c r="Q22" s="19">
        <v>4412.8276565020033</v>
      </c>
      <c r="R22" s="20">
        <v>5081.6882115949693</v>
      </c>
      <c r="S22" s="20">
        <v>5590.3906597777359</v>
      </c>
      <c r="T22" s="20">
        <v>5746.0886509559768</v>
      </c>
      <c r="U22" s="21">
        <v>5671.8703052305846</v>
      </c>
      <c r="V22" s="19">
        <v>6671.2559236630732</v>
      </c>
      <c r="W22" s="148">
        <v>7087.9072166344358</v>
      </c>
    </row>
    <row r="23" spans="1:23" x14ac:dyDescent="0.2">
      <c r="A23" s="30" t="s">
        <v>210</v>
      </c>
      <c r="B23" s="19"/>
      <c r="C23" s="20"/>
      <c r="D23" s="20"/>
      <c r="E23" s="20"/>
      <c r="F23" s="21"/>
      <c r="G23" s="19"/>
      <c r="H23" s="20"/>
      <c r="I23" s="20">
        <v>2225.4016894428423</v>
      </c>
      <c r="J23" s="20">
        <v>2412.4518267161093</v>
      </c>
      <c r="K23" s="21">
        <v>2870.4949098137049</v>
      </c>
      <c r="L23" s="19">
        <v>3542.7552369727405</v>
      </c>
      <c r="M23" s="20">
        <v>3881.4136443644743</v>
      </c>
      <c r="N23" s="20">
        <v>4149.8851711755378</v>
      </c>
      <c r="O23" s="20">
        <v>4281.9375707243807</v>
      </c>
      <c r="P23" s="20">
        <v>4376.6646858009617</v>
      </c>
      <c r="Q23" s="19">
        <v>4679.8658385035824</v>
      </c>
      <c r="R23" s="20">
        <v>5389.2018711243009</v>
      </c>
      <c r="S23" s="20">
        <v>5962.0264288111493</v>
      </c>
      <c r="T23" s="20">
        <v>6180.4515572956461</v>
      </c>
      <c r="U23" s="21">
        <v>5848.183273548666</v>
      </c>
      <c r="V23" s="19">
        <v>7044.2320771396617</v>
      </c>
      <c r="W23" s="21">
        <v>7776.8139449688724</v>
      </c>
    </row>
    <row r="24" spans="1:23" x14ac:dyDescent="0.2">
      <c r="A24" s="30" t="s">
        <v>211</v>
      </c>
      <c r="B24" s="19"/>
      <c r="C24" s="20"/>
      <c r="D24" s="20"/>
      <c r="E24" s="20"/>
      <c r="F24" s="21"/>
      <c r="G24" s="19"/>
      <c r="H24" s="20"/>
      <c r="I24" s="20">
        <v>4354.7033059300547</v>
      </c>
      <c r="J24" s="20">
        <v>4457.0904818116478</v>
      </c>
      <c r="K24" s="21">
        <v>5178.3935224540319</v>
      </c>
      <c r="L24" s="19">
        <v>6052.5161126521898</v>
      </c>
      <c r="M24" s="20">
        <v>6442.4695311329133</v>
      </c>
      <c r="N24" s="20">
        <v>6700.5694930672189</v>
      </c>
      <c r="O24" s="20">
        <v>7024.1474564585051</v>
      </c>
      <c r="P24" s="20">
        <v>6892.8908144172274</v>
      </c>
      <c r="Q24" s="19">
        <v>6258.0223166001024</v>
      </c>
      <c r="R24" s="20">
        <v>6836.6564345643601</v>
      </c>
      <c r="S24" s="20">
        <v>7471.6985881219116</v>
      </c>
      <c r="T24" s="20">
        <v>7672.4996428390778</v>
      </c>
      <c r="U24" s="21">
        <v>7700.2442564631801</v>
      </c>
      <c r="V24" s="19">
        <v>8679.6538512085281</v>
      </c>
      <c r="W24" s="21">
        <v>9645.4161959301746</v>
      </c>
    </row>
    <row r="25" spans="1:23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v>4161.3031591078006</v>
      </c>
      <c r="J25" s="20">
        <v>4270.9522222361084</v>
      </c>
      <c r="K25" s="21">
        <v>4948.8287005516922</v>
      </c>
      <c r="L25" s="19">
        <v>5563.3116715859496</v>
      </c>
      <c r="M25" s="20">
        <v>6078.8650882925831</v>
      </c>
      <c r="N25" s="20">
        <v>6410.8646235561791</v>
      </c>
      <c r="O25" s="20">
        <v>6627.2853308965241</v>
      </c>
      <c r="P25" s="20">
        <v>6729.8701869121869</v>
      </c>
      <c r="Q25" s="19">
        <v>7029.5175490771526</v>
      </c>
      <c r="R25" s="20">
        <v>7716.585225621604</v>
      </c>
      <c r="S25" s="20">
        <v>8035.5619548706381</v>
      </c>
      <c r="T25" s="20">
        <v>7945.6145359996881</v>
      </c>
      <c r="U25" s="21">
        <v>7781.1697585795664</v>
      </c>
      <c r="V25" s="19">
        <v>8592.9127006410708</v>
      </c>
      <c r="W25" s="21">
        <v>8683.3644373810675</v>
      </c>
    </row>
    <row r="26" spans="1:23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v>2550.0019358673712</v>
      </c>
      <c r="J26" s="20">
        <v>2650.9639468624891</v>
      </c>
      <c r="K26" s="21">
        <v>3165.3021687226246</v>
      </c>
      <c r="L26" s="19">
        <v>3798.1798233626464</v>
      </c>
      <c r="M26" s="20">
        <v>3965.2133968775975</v>
      </c>
      <c r="N26" s="20">
        <v>4124.0688515832608</v>
      </c>
      <c r="O26" s="20">
        <v>4283.2688632305862</v>
      </c>
      <c r="P26" s="20">
        <v>4243.8798038274035</v>
      </c>
      <c r="Q26" s="19">
        <v>4361.4088591846903</v>
      </c>
      <c r="R26" s="20">
        <v>4870.5585385394124</v>
      </c>
      <c r="S26" s="20">
        <v>5242.6273533999974</v>
      </c>
      <c r="T26" s="20">
        <v>5163.4734525339654</v>
      </c>
      <c r="U26" s="21">
        <v>4569.5272137342927</v>
      </c>
      <c r="V26" s="19">
        <v>5399.5623528281139</v>
      </c>
      <c r="W26" s="21">
        <v>5501.2623524786677</v>
      </c>
    </row>
    <row r="27" spans="1:23" ht="13.9" customHeight="1" x14ac:dyDescent="0.2">
      <c r="A27" s="30" t="s">
        <v>212</v>
      </c>
      <c r="B27" s="19"/>
      <c r="C27" s="20"/>
      <c r="D27" s="20"/>
      <c r="E27" s="20"/>
      <c r="F27" s="21"/>
      <c r="G27" s="19"/>
      <c r="H27" s="20"/>
      <c r="I27" s="20">
        <v>1697.8012889080874</v>
      </c>
      <c r="J27" s="20">
        <v>1755.3860378449449</v>
      </c>
      <c r="K27" s="21">
        <v>2123.3035148085542</v>
      </c>
      <c r="L27" s="19">
        <v>2492.7412276544087</v>
      </c>
      <c r="M27" s="20">
        <v>2614.5030749530165</v>
      </c>
      <c r="N27" s="20">
        <v>2742.0754970743087</v>
      </c>
      <c r="O27" s="20">
        <v>2821.3604122877309</v>
      </c>
      <c r="P27" s="20">
        <v>2808.8031069630865</v>
      </c>
      <c r="Q27" s="19">
        <v>2875.4658113298697</v>
      </c>
      <c r="R27" s="20">
        <v>3174.7255790545173</v>
      </c>
      <c r="S27" s="20">
        <v>3427.0670060003536</v>
      </c>
      <c r="T27" s="20">
        <v>3415.4672948781413</v>
      </c>
      <c r="U27" s="21">
        <v>2932.9101730437146</v>
      </c>
      <c r="V27" s="19">
        <v>3468.8549607972727</v>
      </c>
      <c r="W27" s="21">
        <v>3588.2299654049029</v>
      </c>
    </row>
    <row r="28" spans="1:23" ht="13.9" customHeight="1" x14ac:dyDescent="0.2">
      <c r="A28" s="30" t="s">
        <v>213</v>
      </c>
      <c r="B28" s="19"/>
      <c r="C28" s="20"/>
      <c r="D28" s="20"/>
      <c r="E28" s="20"/>
      <c r="F28" s="21"/>
      <c r="G28" s="19"/>
      <c r="H28" s="20"/>
      <c r="I28" s="20">
        <v>979.20074337307062</v>
      </c>
      <c r="J28" s="20">
        <v>1090.2191748276123</v>
      </c>
      <c r="K28" s="21">
        <v>1385.5070741671168</v>
      </c>
      <c r="L28" s="19">
        <v>1740.1898485939689</v>
      </c>
      <c r="M28" s="20">
        <v>1904.8430564949463</v>
      </c>
      <c r="N28" s="20">
        <v>2064.3195681255211</v>
      </c>
      <c r="O28" s="20">
        <v>2190.0079535742352</v>
      </c>
      <c r="P28" s="20">
        <v>2209.3585250360502</v>
      </c>
      <c r="Q28" s="19">
        <v>2336.1666635431679</v>
      </c>
      <c r="R28" s="20">
        <v>2618.7536006855421</v>
      </c>
      <c r="S28" s="20">
        <v>2775.6038109468777</v>
      </c>
      <c r="T28" s="20">
        <v>2768.9184431682488</v>
      </c>
      <c r="U28" s="21">
        <v>2641.6002604003402</v>
      </c>
      <c r="V28" s="19">
        <v>3176.0967726764525</v>
      </c>
      <c r="W28" s="21">
        <v>3282.0983887934508</v>
      </c>
    </row>
    <row r="29" spans="1:23" ht="13.9" customHeight="1" x14ac:dyDescent="0.2">
      <c r="A29" s="30" t="s">
        <v>214</v>
      </c>
      <c r="B29" s="19"/>
      <c r="C29" s="20"/>
      <c r="D29" s="20"/>
      <c r="E29" s="20"/>
      <c r="F29" s="21"/>
      <c r="G29" s="19"/>
      <c r="H29" s="20"/>
      <c r="I29" s="20">
        <v>694.4005271632559</v>
      </c>
      <c r="J29" s="20">
        <v>714.66836118218998</v>
      </c>
      <c r="K29" s="21">
        <v>888.20296794302919</v>
      </c>
      <c r="L29" s="19">
        <v>1062.1044100724307</v>
      </c>
      <c r="M29" s="20">
        <v>1150.1864749888562</v>
      </c>
      <c r="N29" s="20">
        <v>1229.7431384498705</v>
      </c>
      <c r="O29" s="20">
        <v>1295.0859613333421</v>
      </c>
      <c r="P29" s="20">
        <v>1313.90371704728</v>
      </c>
      <c r="Q29" s="19">
        <v>1386.7146977008076</v>
      </c>
      <c r="R29" s="20">
        <v>1607.1475740781318</v>
      </c>
      <c r="S29" s="20">
        <v>1749.8039730000289</v>
      </c>
      <c r="T29" s="20">
        <v>1750.7134038440061</v>
      </c>
      <c r="U29" s="21">
        <v>1627.6494522571516</v>
      </c>
      <c r="V29" s="19">
        <v>1988.8923975108025</v>
      </c>
      <c r="W29" s="21">
        <v>1927.2041407983827</v>
      </c>
    </row>
    <row r="30" spans="1:23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v>1767.901342125461</v>
      </c>
      <c r="J30" s="20">
        <v>1851.2764017040881</v>
      </c>
      <c r="K30" s="21">
        <v>2233.5254573509437</v>
      </c>
      <c r="L30" s="19">
        <v>2652.2804511754725</v>
      </c>
      <c r="M30" s="20">
        <v>2810.2476720913332</v>
      </c>
      <c r="N30" s="20">
        <v>2955.5508517473181</v>
      </c>
      <c r="O30" s="20">
        <v>3049.598654484786</v>
      </c>
      <c r="P30" s="20">
        <v>3047.6023438583661</v>
      </c>
      <c r="Q30" s="19">
        <v>3195.3661610663376</v>
      </c>
      <c r="R30" s="20">
        <v>3514.4279889072404</v>
      </c>
      <c r="S30" s="20">
        <v>3659.7021888682193</v>
      </c>
      <c r="T30" s="20">
        <v>3722.3333030256695</v>
      </c>
      <c r="U30" s="21">
        <v>3663.3945727849982</v>
      </c>
      <c r="V30" s="19">
        <v>4241.0609759775298</v>
      </c>
      <c r="W30" s="21">
        <v>4378.2009379019628</v>
      </c>
    </row>
    <row r="31" spans="1:23" ht="13.9" customHeight="1" x14ac:dyDescent="0.2">
      <c r="A31" s="30" t="s">
        <v>215</v>
      </c>
      <c r="B31" s="19"/>
      <c r="C31" s="20"/>
      <c r="D31" s="20"/>
      <c r="E31" s="20"/>
      <c r="F31" s="21"/>
      <c r="G31" s="19"/>
      <c r="H31" s="20"/>
      <c r="I31" s="20">
        <v>707.70053726013282</v>
      </c>
      <c r="J31" s="20">
        <v>728.35656568063916</v>
      </c>
      <c r="K31" s="21">
        <v>868.91557478910011</v>
      </c>
      <c r="L31" s="19">
        <v>1027.3154481748047</v>
      </c>
      <c r="M31" s="20">
        <v>1101.5073385079752</v>
      </c>
      <c r="N31" s="20">
        <v>1195.86467816087</v>
      </c>
      <c r="O31" s="20">
        <v>1274.4692669713031</v>
      </c>
      <c r="P31" s="20">
        <v>1290.5683998282011</v>
      </c>
      <c r="Q31" s="19">
        <v>1355.6974637941767</v>
      </c>
      <c r="R31" s="20">
        <v>1574.0617552970548</v>
      </c>
      <c r="S31" s="20">
        <v>1730.0103237342687</v>
      </c>
      <c r="T31" s="20">
        <v>1730.9094671658074</v>
      </c>
      <c r="U31" s="21">
        <v>1649.6368760600501</v>
      </c>
      <c r="V31" s="19">
        <v>1997.7939698123578</v>
      </c>
      <c r="W31" s="21">
        <v>2083.1435551560949</v>
      </c>
    </row>
    <row r="32" spans="1:23" ht="13.9" customHeight="1" x14ac:dyDescent="0.2">
      <c r="A32" s="30" t="s">
        <v>216</v>
      </c>
      <c r="B32" s="19"/>
      <c r="C32" s="20"/>
      <c r="D32" s="20"/>
      <c r="E32" s="20"/>
      <c r="F32" s="21"/>
      <c r="G32" s="19"/>
      <c r="H32" s="20"/>
      <c r="I32" s="20">
        <v>911.60069205360617</v>
      </c>
      <c r="J32" s="20">
        <v>926.99785509351943</v>
      </c>
      <c r="K32" s="21">
        <v>1092.4161308331393</v>
      </c>
      <c r="L32" s="19">
        <v>1272.2822677545569</v>
      </c>
      <c r="M32" s="20">
        <v>1374.077655850861</v>
      </c>
      <c r="N32" s="20">
        <v>1513.1141621834495</v>
      </c>
      <c r="O32" s="20">
        <v>1665.3467393526321</v>
      </c>
      <c r="P32" s="20">
        <v>1672.1590326007936</v>
      </c>
      <c r="Q32" s="19">
        <v>1708.5340920291119</v>
      </c>
      <c r="R32" s="20">
        <v>1967.4998052053454</v>
      </c>
      <c r="S32" s="20">
        <v>2186.7703758991765</v>
      </c>
      <c r="T32" s="20">
        <v>2158.0233059854831</v>
      </c>
      <c r="U32" s="21">
        <v>1972.7493616245627</v>
      </c>
      <c r="V32" s="19">
        <v>2468.5930080775088</v>
      </c>
      <c r="W32" s="21">
        <v>2497.1420053870911</v>
      </c>
    </row>
    <row r="33" spans="1:23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v>3408.2025873816369</v>
      </c>
      <c r="J33" s="20">
        <v>3391.6166641791879</v>
      </c>
      <c r="K33" s="21">
        <v>3859.4980708178568</v>
      </c>
      <c r="L33" s="19">
        <v>4310.6782924902254</v>
      </c>
      <c r="M33" s="20">
        <v>4462.4681978598592</v>
      </c>
      <c r="N33" s="20">
        <v>4593.6200957591973</v>
      </c>
      <c r="O33" s="20">
        <v>4690.8368641529569</v>
      </c>
      <c r="P33" s="20">
        <v>4781.2543899953389</v>
      </c>
      <c r="Q33" s="19">
        <v>5050.9450451232142</v>
      </c>
      <c r="R33" s="20">
        <v>5587.2772760826665</v>
      </c>
      <c r="S33" s="20">
        <v>6129.3098338874352</v>
      </c>
      <c r="T33" s="20">
        <v>6282.0684978630661</v>
      </c>
      <c r="U33" s="21">
        <v>6152.0529589530752</v>
      </c>
      <c r="V33" s="19">
        <v>6753.6438071886414</v>
      </c>
      <c r="W33" s="21">
        <v>6656.396030917992</v>
      </c>
    </row>
    <row r="34" spans="1:23" ht="13.9" customHeight="1" x14ac:dyDescent="0.2">
      <c r="A34" s="30" t="s">
        <v>209</v>
      </c>
      <c r="B34" s="19"/>
      <c r="C34" s="20"/>
      <c r="D34" s="20"/>
      <c r="E34" s="20"/>
      <c r="F34" s="21"/>
      <c r="G34" s="19"/>
      <c r="H34" s="20"/>
      <c r="I34" s="20">
        <v>7594.7057656203615</v>
      </c>
      <c r="J34" s="20">
        <v>8233.0582764270821</v>
      </c>
      <c r="K34" s="21">
        <v>9873.1716461249434</v>
      </c>
      <c r="L34" s="19">
        <v>11754.999587720577</v>
      </c>
      <c r="M34" s="20">
        <v>12787.099613506582</v>
      </c>
      <c r="N34" s="20">
        <v>13907.280625677899</v>
      </c>
      <c r="O34" s="20">
        <v>14861.832903527142</v>
      </c>
      <c r="P34" s="20">
        <v>15444.495754439948</v>
      </c>
      <c r="Q34" s="19">
        <v>16468.566947534313</v>
      </c>
      <c r="R34" s="20">
        <v>18043.445055433003</v>
      </c>
      <c r="S34" s="20">
        <v>19272.983068576188</v>
      </c>
      <c r="T34" s="20">
        <v>19696.878895295122</v>
      </c>
      <c r="U34" s="21">
        <v>19806.415285139785</v>
      </c>
      <c r="V34" s="19">
        <v>23231.600908935638</v>
      </c>
      <c r="W34" s="21">
        <v>25720.00992281779</v>
      </c>
    </row>
    <row r="35" spans="1:23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v>2587.4019642600924</v>
      </c>
      <c r="J35" s="20">
        <v>2809.7741352375892</v>
      </c>
      <c r="K35" s="21">
        <v>3360.7592533095376</v>
      </c>
      <c r="L35" s="19">
        <v>4112.9527578956458</v>
      </c>
      <c r="M35" s="20">
        <v>4586.2261353509812</v>
      </c>
      <c r="N35" s="20">
        <v>5050.2849579329986</v>
      </c>
      <c r="O35" s="20">
        <v>5494.779677332579</v>
      </c>
      <c r="P35" s="20">
        <v>5731.0634429073598</v>
      </c>
      <c r="Q35" s="19">
        <v>6286.9694383867254</v>
      </c>
      <c r="R35" s="20">
        <v>7458.8858149386815</v>
      </c>
      <c r="S35" s="20">
        <v>8436.2668648294366</v>
      </c>
      <c r="T35" s="20">
        <v>8778.2775298385786</v>
      </c>
      <c r="U35" s="21">
        <v>9040.5154886877699</v>
      </c>
      <c r="V35" s="19">
        <v>12287.55102553251</v>
      </c>
      <c r="W35" s="21">
        <v>12327.563531850383</v>
      </c>
    </row>
    <row r="36" spans="1:23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v>633.0004805506062</v>
      </c>
      <c r="J36" s="20">
        <v>659.85916485827727</v>
      </c>
      <c r="K36" s="21">
        <v>761.16502680923827</v>
      </c>
      <c r="L36" s="19">
        <v>877.00953952597558</v>
      </c>
      <c r="M36" s="20">
        <v>965.96897808100289</v>
      </c>
      <c r="N36" s="20">
        <v>1033.7207853614659</v>
      </c>
      <c r="O36" s="20">
        <v>1086.6448613678429</v>
      </c>
      <c r="P36" s="20">
        <v>1146.7788066038906</v>
      </c>
      <c r="Q36" s="19">
        <v>1204.6514697343941</v>
      </c>
      <c r="R36" s="20">
        <v>1345.2821533855754</v>
      </c>
      <c r="S36" s="20">
        <v>1492.4348274595486</v>
      </c>
      <c r="T36" s="20">
        <v>1630.1488233972616</v>
      </c>
      <c r="U36" s="21">
        <v>1620.1904872999933</v>
      </c>
      <c r="V36" s="19">
        <v>1891.5525786316018</v>
      </c>
      <c r="W36" s="21">
        <v>1986.1148653782011</v>
      </c>
    </row>
    <row r="37" spans="1:23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v>2883.0021886688746</v>
      </c>
      <c r="J37" s="20">
        <v>3055.7825868045834</v>
      </c>
      <c r="K37" s="21">
        <v>3727.9822164019265</v>
      </c>
      <c r="L37" s="19">
        <v>4366.9468722409565</v>
      </c>
      <c r="M37" s="20">
        <v>4682.3242414917613</v>
      </c>
      <c r="N37" s="20">
        <v>5028.9076729594299</v>
      </c>
      <c r="O37" s="20">
        <v>5291.2481688228863</v>
      </c>
      <c r="P37" s="20">
        <v>5418.3470213901046</v>
      </c>
      <c r="Q37" s="19">
        <v>5772.2543574861229</v>
      </c>
      <c r="R37" s="20">
        <v>6476.5693928703895</v>
      </c>
      <c r="S37" s="20">
        <v>6891.1934782524522</v>
      </c>
      <c r="T37" s="20">
        <v>7049.4870845267333</v>
      </c>
      <c r="U37" s="21">
        <v>6979.0004205387331</v>
      </c>
      <c r="V37" s="19">
        <v>8079.4917792260139</v>
      </c>
      <c r="W37" s="21">
        <v>8240.0589725244354</v>
      </c>
    </row>
    <row r="38" spans="1:23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v>5187.8039383893129</v>
      </c>
      <c r="J38" s="20">
        <v>5628.7581815099666</v>
      </c>
      <c r="K38" s="21">
        <v>7030.589353465095</v>
      </c>
      <c r="L38" s="19">
        <v>8640.6407221319441</v>
      </c>
      <c r="M38" s="20">
        <v>9357.2232631595507</v>
      </c>
      <c r="N38" s="20">
        <v>10122.468088555916</v>
      </c>
      <c r="O38" s="20">
        <v>10719.171559482726</v>
      </c>
      <c r="P38" s="20">
        <v>10834.230473740719</v>
      </c>
      <c r="Q38" s="19">
        <v>11423.890993970081</v>
      </c>
      <c r="R38" s="20">
        <v>12504.291953687391</v>
      </c>
      <c r="S38" s="20">
        <v>13485.296903819431</v>
      </c>
      <c r="T38" s="20">
        <v>14334.752059473703</v>
      </c>
      <c r="U38" s="21">
        <v>14330.826150726112</v>
      </c>
      <c r="V38" s="19">
        <v>16855.92295029225</v>
      </c>
      <c r="W38" s="21">
        <v>17243.425959903449</v>
      </c>
    </row>
    <row r="39" spans="1:23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v>9773.7074198380105</v>
      </c>
      <c r="J39" s="20">
        <v>10160.676991156828</v>
      </c>
      <c r="K39" s="21">
        <v>11773.358093091856</v>
      </c>
      <c r="L39" s="19">
        <v>13406.317301611809</v>
      </c>
      <c r="M39" s="20">
        <v>14296.175480235263</v>
      </c>
      <c r="N39" s="20">
        <v>15243.409609682854</v>
      </c>
      <c r="O39" s="20">
        <v>15684.160580893045</v>
      </c>
      <c r="P39" s="20">
        <v>15688.778495526043</v>
      </c>
      <c r="Q39" s="19">
        <v>15268.944689738328</v>
      </c>
      <c r="R39" s="20">
        <v>16165.020259981835</v>
      </c>
      <c r="S39" s="20">
        <v>17833.219452105724</v>
      </c>
      <c r="T39" s="20">
        <v>19130.628559013832</v>
      </c>
      <c r="U39" s="21">
        <v>19850.963290163178</v>
      </c>
      <c r="V39" s="19">
        <v>21878.606289058018</v>
      </c>
      <c r="W39" s="21">
        <v>22995.081561035015</v>
      </c>
    </row>
    <row r="40" spans="1:23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v>4117.9031261600967</v>
      </c>
      <c r="J40" s="20">
        <v>4393.9068331972139</v>
      </c>
      <c r="K40" s="21">
        <v>5164.2919321286736</v>
      </c>
      <c r="L40" s="19">
        <v>6089.6401343905618</v>
      </c>
      <c r="M40" s="20">
        <v>6713.2730674121904</v>
      </c>
      <c r="N40" s="20">
        <v>7464.2037789643146</v>
      </c>
      <c r="O40" s="20">
        <v>8128.3883045910716</v>
      </c>
      <c r="P40" s="20">
        <v>8585.9201863013168</v>
      </c>
      <c r="Q40" s="19">
        <v>9027.7128435209761</v>
      </c>
      <c r="R40" s="20">
        <v>9671.8616819739964</v>
      </c>
      <c r="S40" s="20">
        <v>10749.754866546331</v>
      </c>
      <c r="T40" s="20">
        <v>11458.373971382749</v>
      </c>
      <c r="U40" s="21">
        <v>11421.806149839256</v>
      </c>
      <c r="V40" s="19">
        <v>12924.32549371184</v>
      </c>
      <c r="W40" s="21">
        <v>14120.771178491113</v>
      </c>
    </row>
    <row r="41" spans="1:23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v>4414.8033515557918</v>
      </c>
      <c r="J41" s="20">
        <v>4593.7744458846264</v>
      </c>
      <c r="K41" s="21">
        <v>5675.839976340555</v>
      </c>
      <c r="L41" s="19">
        <v>6940.2952440407098</v>
      </c>
      <c r="M41" s="20">
        <v>7583.4540561368804</v>
      </c>
      <c r="N41" s="20">
        <v>8269.855635603004</v>
      </c>
      <c r="O41" s="20">
        <v>8941.631470254466</v>
      </c>
      <c r="P41" s="20">
        <v>9113.9845530728253</v>
      </c>
      <c r="Q41" s="19">
        <v>9763.4188661947501</v>
      </c>
      <c r="R41" s="20">
        <v>10985.64155785237</v>
      </c>
      <c r="S41" s="20">
        <v>11756.891253506043</v>
      </c>
      <c r="T41" s="20">
        <v>12141.712971874478</v>
      </c>
      <c r="U41" s="21">
        <v>12421.774161186662</v>
      </c>
      <c r="V41" s="19">
        <v>15692.75421460315</v>
      </c>
      <c r="W41" s="21">
        <v>16232.794841220792</v>
      </c>
    </row>
    <row r="42" spans="1:23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v>5121.6038881326776</v>
      </c>
      <c r="J42" s="20">
        <v>5377.6753964490099</v>
      </c>
      <c r="K42" s="21">
        <v>6795.144177719093</v>
      </c>
      <c r="L42" s="19">
        <v>8280.7426125211587</v>
      </c>
      <c r="M42" s="20">
        <v>8741.6784005320806</v>
      </c>
      <c r="N42" s="20">
        <v>9261.5147032889799</v>
      </c>
      <c r="O42" s="20">
        <v>9789.5203764338039</v>
      </c>
      <c r="P42" s="20">
        <v>9560.1351051725105</v>
      </c>
      <c r="Q42" s="19">
        <v>10023.660820399446</v>
      </c>
      <c r="R42" s="20">
        <v>11691.088254870228</v>
      </c>
      <c r="S42" s="20">
        <v>12921.693853572104</v>
      </c>
      <c r="T42" s="20">
        <v>13155.445171239578</v>
      </c>
      <c r="U42" s="21">
        <v>13446.095523164235</v>
      </c>
      <c r="V42" s="19">
        <v>16459.629600550139</v>
      </c>
      <c r="W42" s="21">
        <v>16889.305486949375</v>
      </c>
    </row>
    <row r="43" spans="1:23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v>3406.5025860910582</v>
      </c>
      <c r="J43" s="20">
        <v>3641.2691801942542</v>
      </c>
      <c r="K43" s="21">
        <v>4559.4620646232306</v>
      </c>
      <c r="L43" s="19">
        <v>5669.8678628897787</v>
      </c>
      <c r="M43" s="20">
        <v>6013.0812828759626</v>
      </c>
      <c r="N43" s="20">
        <v>6329.8201392924193</v>
      </c>
      <c r="O43" s="20">
        <v>6555.7701511259147</v>
      </c>
      <c r="P43" s="20">
        <v>6433.2658356391921</v>
      </c>
      <c r="Q43" s="19">
        <v>6796.1395788676937</v>
      </c>
      <c r="R43" s="20">
        <v>8019.9265656389625</v>
      </c>
      <c r="S43" s="20">
        <v>9170.0490954685556</v>
      </c>
      <c r="T43" s="20">
        <v>9568.6607926516044</v>
      </c>
      <c r="U43" s="21">
        <v>9891.7322198258898</v>
      </c>
      <c r="V43" s="19">
        <v>12130.209340963274</v>
      </c>
      <c r="W43" s="21">
        <v>13051.57249487105</v>
      </c>
    </row>
    <row r="44" spans="1:23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v>6336.6048105165419</v>
      </c>
      <c r="J44" s="20">
        <v>7096.9859246358001</v>
      </c>
      <c r="K44" s="21">
        <v>9019.2178149885876</v>
      </c>
      <c r="L44" s="19">
        <v>10485.506431569675</v>
      </c>
      <c r="M44" s="20">
        <v>11069.167269236703</v>
      </c>
      <c r="N44" s="20">
        <v>12339.556077785224</v>
      </c>
      <c r="O44" s="20">
        <v>13365.831541295836</v>
      </c>
      <c r="P44" s="20">
        <v>13534.66911416065</v>
      </c>
      <c r="Q44" s="19">
        <v>15477.328479211192</v>
      </c>
      <c r="R44" s="20">
        <v>18329.691478817189</v>
      </c>
      <c r="S44" s="20">
        <v>19824.414348227318</v>
      </c>
      <c r="T44" s="20">
        <v>19699.261141267809</v>
      </c>
      <c r="U44" s="21">
        <v>20421.849410489154</v>
      </c>
      <c r="V44" s="19">
        <v>23464.163891077344</v>
      </c>
      <c r="W44" s="21">
        <v>25904.376084846514</v>
      </c>
    </row>
    <row r="45" spans="1:23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v>2349.1017833513883</v>
      </c>
      <c r="J45" s="20">
        <v>2630.9897477451559</v>
      </c>
      <c r="K45" s="21">
        <v>3343.5982339408652</v>
      </c>
      <c r="L45" s="19">
        <v>3887.1797428274335</v>
      </c>
      <c r="M45" s="20">
        <v>3959.7025606471234</v>
      </c>
      <c r="N45" s="20">
        <v>4026.1356587651371</v>
      </c>
      <c r="O45" s="20">
        <v>4396.0939347552294</v>
      </c>
      <c r="P45" s="20">
        <v>4455.7976163754547</v>
      </c>
      <c r="Q45" s="19">
        <v>4552.7261380867694</v>
      </c>
      <c r="R45" s="20">
        <v>5103.4321108613012</v>
      </c>
      <c r="S45" s="20">
        <v>5540.6464176237805</v>
      </c>
      <c r="T45" s="20">
        <v>5808.5336622749837</v>
      </c>
      <c r="U45" s="21">
        <v>5631.8307687185261</v>
      </c>
      <c r="V45" s="19">
        <v>6648.6953373342867</v>
      </c>
      <c r="W45" s="21">
        <v>7070.8427354944824</v>
      </c>
    </row>
    <row r="46" spans="1:23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v>6512.5049440534312</v>
      </c>
      <c r="J46" s="20">
        <v>6899.7238232314576</v>
      </c>
      <c r="K46" s="21">
        <v>8503.4652257388989</v>
      </c>
      <c r="L46" s="19">
        <v>10106.573522269047</v>
      </c>
      <c r="M46" s="20">
        <v>10797.092557320457</v>
      </c>
      <c r="N46" s="20">
        <v>11617.23909183791</v>
      </c>
      <c r="O46" s="20">
        <v>12313.312260181528</v>
      </c>
      <c r="P46" s="20">
        <v>12538.969773687946</v>
      </c>
      <c r="Q46" s="19">
        <v>13469.701340250633</v>
      </c>
      <c r="R46" s="20">
        <v>15724.592211839945</v>
      </c>
      <c r="S46" s="20">
        <v>17395.977473322848</v>
      </c>
      <c r="T46" s="20">
        <v>18797.420235572485</v>
      </c>
      <c r="U46" s="21">
        <v>19907.377761640477</v>
      </c>
      <c r="V46" s="19">
        <v>25322.959175346121</v>
      </c>
      <c r="W46" s="21">
        <v>29429.259198386615</v>
      </c>
    </row>
    <row r="47" spans="1:23" x14ac:dyDescent="0.2">
      <c r="A47" s="30" t="s">
        <v>217</v>
      </c>
      <c r="B47" s="19"/>
      <c r="C47" s="20"/>
      <c r="D47" s="20"/>
      <c r="E47" s="20"/>
      <c r="F47" s="21"/>
      <c r="G47" s="19"/>
      <c r="H47" s="20"/>
      <c r="I47" s="20">
        <v>9128.6069301015214</v>
      </c>
      <c r="J47" s="20">
        <v>9092.8179728635132</v>
      </c>
      <c r="K47" s="21">
        <v>11036.376858495349</v>
      </c>
      <c r="L47" s="19">
        <v>13277.382624866073</v>
      </c>
      <c r="M47" s="20">
        <v>14494.87052903469</v>
      </c>
      <c r="N47" s="20">
        <v>15652.15218653846</v>
      </c>
      <c r="O47" s="20">
        <v>17014.592899814572</v>
      </c>
      <c r="P47" s="20">
        <v>17843.131690910417</v>
      </c>
      <c r="Q47" s="19">
        <v>19432.565429085258</v>
      </c>
      <c r="R47" s="20">
        <v>23342.034091913429</v>
      </c>
      <c r="S47" s="20">
        <v>27218.928636852241</v>
      </c>
      <c r="T47" s="20">
        <v>29039.757274750104</v>
      </c>
      <c r="U47" s="21">
        <v>30415.615726595752</v>
      </c>
      <c r="V47" s="19">
        <v>38325.473220416563</v>
      </c>
      <c r="W47" s="21">
        <v>42828.669797851893</v>
      </c>
    </row>
    <row r="48" spans="1:23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v>935.80071042536667</v>
      </c>
      <c r="J48" s="20">
        <v>902.91976759742204</v>
      </c>
      <c r="K48" s="21">
        <v>1121.2277926370361</v>
      </c>
      <c r="L48" s="19">
        <v>1353.5555442426646</v>
      </c>
      <c r="M48" s="20">
        <v>1484.2625498000748</v>
      </c>
      <c r="N48" s="20">
        <v>1607.0873453524314</v>
      </c>
      <c r="O48" s="20">
        <v>1703.3796202588117</v>
      </c>
      <c r="P48" s="20">
        <v>1703.8811492780646</v>
      </c>
      <c r="Q48" s="19">
        <v>1845.5380043238597</v>
      </c>
      <c r="R48" s="20">
        <v>2191.5017087998513</v>
      </c>
      <c r="S48" s="20">
        <v>2399.5845298647796</v>
      </c>
      <c r="T48" s="20">
        <v>2588.213657339672</v>
      </c>
      <c r="U48" s="21">
        <v>2602.606982377547</v>
      </c>
      <c r="V48" s="19">
        <v>3174.5645895868765</v>
      </c>
      <c r="W48" s="21">
        <v>3448.6620729459401</v>
      </c>
    </row>
    <row r="49" spans="1:23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v>391.50029721257863</v>
      </c>
      <c r="J49" s="20">
        <v>392.18743453880273</v>
      </c>
      <c r="K49" s="21">
        <v>477.23776185446434</v>
      </c>
      <c r="L49" s="19">
        <v>587.02373809841094</v>
      </c>
      <c r="M49" s="20">
        <v>611.69608142307857</v>
      </c>
      <c r="N49" s="20">
        <v>607.12188631318668</v>
      </c>
      <c r="O49" s="20">
        <v>618.79425438386795</v>
      </c>
      <c r="P49" s="20">
        <v>623.08729631946562</v>
      </c>
      <c r="Q49" s="19">
        <v>650.21334748826462</v>
      </c>
      <c r="R49" s="20">
        <v>726.80538906210836</v>
      </c>
      <c r="S49" s="20">
        <v>774.08416484508427</v>
      </c>
      <c r="T49" s="20">
        <v>775.99767505502462</v>
      </c>
      <c r="U49" s="21">
        <v>726.7325868770115</v>
      </c>
      <c r="V49" s="19">
        <v>864.2807243734494</v>
      </c>
      <c r="W49" s="21">
        <v>970.32073025940758</v>
      </c>
    </row>
    <row r="50" spans="1:23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v>204.70015540080419</v>
      </c>
      <c r="J50" s="20">
        <v>249.98274546210359</v>
      </c>
      <c r="K50" s="21">
        <v>329.88995949018982</v>
      </c>
      <c r="L50" s="19">
        <v>399.27320048521921</v>
      </c>
      <c r="M50" s="20">
        <v>447.55018573714801</v>
      </c>
      <c r="N50" s="20">
        <v>501.08581374340338</v>
      </c>
      <c r="O50" s="20">
        <v>565.5782196946501</v>
      </c>
      <c r="P50" s="20">
        <v>646.25870172844986</v>
      </c>
      <c r="Q50" s="19">
        <v>692.30909534191903</v>
      </c>
      <c r="R50" s="20">
        <v>740.9762543299646</v>
      </c>
      <c r="S50" s="20">
        <v>796.81650625592272</v>
      </c>
      <c r="T50" s="20">
        <v>879.67595284519336</v>
      </c>
      <c r="U50" s="21">
        <v>878.57955136179089</v>
      </c>
      <c r="V50" s="19">
        <v>1245.8037379199884</v>
      </c>
      <c r="W50" s="21">
        <v>1586.2618828929353</v>
      </c>
    </row>
    <row r="51" spans="1:23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v>120.10009117555731</v>
      </c>
      <c r="J51" s="20">
        <v>124.96881193955414</v>
      </c>
      <c r="K51" s="21">
        <v>154.405268904254</v>
      </c>
      <c r="L51" s="19">
        <v>188.80344722508136</v>
      </c>
      <c r="M51" s="20">
        <v>205.1966995536396</v>
      </c>
      <c r="N51" s="20">
        <v>229.94126299297713</v>
      </c>
      <c r="O51" s="20">
        <v>249.73370977544215</v>
      </c>
      <c r="P51" s="20">
        <v>257.86553734734042</v>
      </c>
      <c r="Q51" s="19">
        <v>271.90004836037383</v>
      </c>
      <c r="R51" s="20">
        <v>315.12141887486052</v>
      </c>
      <c r="S51" s="20">
        <v>362.58667589721591</v>
      </c>
      <c r="T51" s="20">
        <v>403.12279649782153</v>
      </c>
      <c r="U51" s="21">
        <v>379.09823240746709</v>
      </c>
      <c r="V51" s="19">
        <v>435.57382474173647</v>
      </c>
      <c r="W51" s="21">
        <v>507.562372919393</v>
      </c>
    </row>
    <row r="52" spans="1:23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v>7846.7059569296052</v>
      </c>
      <c r="J52" s="20">
        <v>7867.9005619927739</v>
      </c>
      <c r="K52" s="21">
        <v>9067.6626591607474</v>
      </c>
      <c r="L52" s="19">
        <v>10362.992571172948</v>
      </c>
      <c r="M52" s="20">
        <v>10596.702528659802</v>
      </c>
      <c r="N52" s="20">
        <v>10918.420513808534</v>
      </c>
      <c r="O52" s="20">
        <v>10810.987274413699</v>
      </c>
      <c r="P52" s="20">
        <v>10311.424311223325</v>
      </c>
      <c r="Q52" s="19">
        <v>10699.077012689037</v>
      </c>
      <c r="R52" s="20">
        <v>12173.946049591737</v>
      </c>
      <c r="S52" s="20">
        <v>13756.617118794198</v>
      </c>
      <c r="T52" s="20">
        <v>14300.889496692394</v>
      </c>
      <c r="U52" s="21">
        <v>14171.804811655176</v>
      </c>
      <c r="V52" s="19">
        <v>17116.47234304051</v>
      </c>
      <c r="W52" s="21">
        <v>18683.221705164229</v>
      </c>
    </row>
    <row r="53" spans="1:23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v>468.20035544043242</v>
      </c>
      <c r="J53" s="20">
        <v>507.55367361754389</v>
      </c>
      <c r="K53" s="21">
        <v>621.31135986434469</v>
      </c>
      <c r="L53" s="19">
        <v>729.4145331283554</v>
      </c>
      <c r="M53" s="20">
        <v>793.45781554895825</v>
      </c>
      <c r="N53" s="20">
        <v>903.76703485373821</v>
      </c>
      <c r="O53" s="20">
        <v>1020.0866529680699</v>
      </c>
      <c r="P53" s="20">
        <v>1075.5692179555595</v>
      </c>
      <c r="Q53" s="19">
        <v>1217.1692376485112</v>
      </c>
      <c r="R53" s="20">
        <v>1445.3392224683976</v>
      </c>
      <c r="S53" s="20">
        <v>1753.9450142791297</v>
      </c>
      <c r="T53" s="20">
        <v>1908.9415668830491</v>
      </c>
      <c r="U53" s="21">
        <v>1856.4384809055559</v>
      </c>
      <c r="V53" s="19">
        <v>2387.7453833454315</v>
      </c>
      <c r="W53" s="21">
        <v>2636.0647109423239</v>
      </c>
    </row>
    <row r="54" spans="1:23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v>569.20043211596362</v>
      </c>
      <c r="J54" s="20">
        <v>565.89200205548332</v>
      </c>
      <c r="K54" s="21">
        <v>620.45599866135126</v>
      </c>
      <c r="L54" s="25">
        <v>691.0559692480598</v>
      </c>
      <c r="M54" s="26">
        <v>703.27595673917983</v>
      </c>
      <c r="N54" s="26">
        <v>728.03917140253634</v>
      </c>
      <c r="O54" s="26">
        <v>757.5541325005787</v>
      </c>
      <c r="P54" s="26">
        <v>759.21508784252694</v>
      </c>
      <c r="Q54" s="25">
        <v>804.29428092632736</v>
      </c>
      <c r="R54" s="26">
        <v>922.80687840791347</v>
      </c>
      <c r="S54" s="26">
        <v>1016.1359081234936</v>
      </c>
      <c r="T54" s="26">
        <v>1070.2248640426317</v>
      </c>
      <c r="U54" s="27">
        <v>1091.7883404123318</v>
      </c>
      <c r="V54" s="25">
        <v>1301.9974257508991</v>
      </c>
      <c r="W54" s="27">
        <v>1388.7221350779319</v>
      </c>
    </row>
    <row r="55" spans="1:23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7"/>
    </row>
    <row r="56" spans="1:23" s="9" customFormat="1" x14ac:dyDescent="0.2">
      <c r="A56" s="4" t="s">
        <v>35</v>
      </c>
      <c r="B56" s="6">
        <f>B2-B3-B4-B5</f>
        <v>45283.3</v>
      </c>
      <c r="C56" s="7">
        <f t="shared" ref="C56:W56" si="4">C2-C3-C4-C5</f>
        <v>50924.7</v>
      </c>
      <c r="D56" s="7">
        <f t="shared" si="4"/>
        <v>57168.399999999994</v>
      </c>
      <c r="E56" s="7">
        <f t="shared" si="4"/>
        <v>65934.100000000006</v>
      </c>
      <c r="F56" s="8">
        <f t="shared" si="4"/>
        <v>76543.89999999998</v>
      </c>
      <c r="G56" s="6">
        <f t="shared" si="4"/>
        <v>90716.2</v>
      </c>
      <c r="H56" s="7">
        <f t="shared" si="4"/>
        <v>114569.79999999997</v>
      </c>
      <c r="I56" s="7">
        <f t="shared" si="4"/>
        <v>135284.9</v>
      </c>
      <c r="J56" s="7">
        <f t="shared" si="4"/>
        <v>153083.9</v>
      </c>
      <c r="K56" s="8">
        <f t="shared" si="4"/>
        <v>180117.9</v>
      </c>
      <c r="L56" s="6">
        <f t="shared" si="4"/>
        <v>213752.00000000003</v>
      </c>
      <c r="M56" s="7">
        <f t="shared" si="4"/>
        <v>242201.30000000002</v>
      </c>
      <c r="N56" s="7">
        <f t="shared" si="4"/>
        <v>275040.79999999993</v>
      </c>
      <c r="O56" s="7">
        <f t="shared" si="4"/>
        <v>307491.8</v>
      </c>
      <c r="P56" s="8">
        <f t="shared" si="4"/>
        <v>346275.39999999997</v>
      </c>
      <c r="Q56" s="6">
        <f t="shared" si="4"/>
        <v>387038.79999999993</v>
      </c>
      <c r="R56" s="7">
        <f t="shared" si="4"/>
        <v>434351.00000000006</v>
      </c>
      <c r="S56" s="7">
        <f t="shared" si="4"/>
        <v>485140.10000000009</v>
      </c>
      <c r="T56" s="7">
        <f t="shared" si="4"/>
        <v>530431.49999999988</v>
      </c>
      <c r="U56" s="8">
        <f t="shared" si="4"/>
        <v>546822.9</v>
      </c>
      <c r="V56" s="6">
        <f>V2-V3-V4-V5</f>
        <v>609748.19999999995</v>
      </c>
      <c r="W56" s="8">
        <f t="shared" si="4"/>
        <v>632597.4</v>
      </c>
    </row>
    <row r="57" spans="1:23" s="9" customFormat="1" x14ac:dyDescent="0.2">
      <c r="A57" s="10" t="s">
        <v>4</v>
      </c>
      <c r="B57" s="22">
        <f>B6</f>
        <v>6871.3</v>
      </c>
      <c r="C57" s="23">
        <f t="shared" ref="C57:W61" si="5">C6</f>
        <v>7494.3</v>
      </c>
      <c r="D57" s="23">
        <f t="shared" si="5"/>
        <v>7914.8</v>
      </c>
      <c r="E57" s="23">
        <f t="shared" si="5"/>
        <v>9306.5</v>
      </c>
      <c r="F57" s="24">
        <f t="shared" si="5"/>
        <v>10668.8</v>
      </c>
      <c r="G57" s="22">
        <f t="shared" si="5"/>
        <v>12186.3</v>
      </c>
      <c r="H57" s="23">
        <f t="shared" si="5"/>
        <v>14605.1</v>
      </c>
      <c r="I57" s="23">
        <f t="shared" si="5"/>
        <v>16367.6</v>
      </c>
      <c r="J57" s="23">
        <f t="shared" si="5"/>
        <v>16522.400000000001</v>
      </c>
      <c r="K57" s="24">
        <f t="shared" si="5"/>
        <v>18783.599999999999</v>
      </c>
      <c r="L57" s="22">
        <f t="shared" si="5"/>
        <v>21842</v>
      </c>
      <c r="M57" s="23">
        <f t="shared" si="5"/>
        <v>23763.200000000001</v>
      </c>
      <c r="N57" s="23">
        <f t="shared" si="5"/>
        <v>26042.7</v>
      </c>
      <c r="O57" s="23">
        <f t="shared" si="5"/>
        <v>28534.400000000001</v>
      </c>
      <c r="P57" s="24">
        <f t="shared" si="5"/>
        <v>30519.5</v>
      </c>
      <c r="Q57" s="22">
        <f t="shared" si="5"/>
        <v>33028.699999999997</v>
      </c>
      <c r="R57" s="23">
        <f t="shared" si="5"/>
        <v>37121.9</v>
      </c>
      <c r="S57" s="23">
        <f t="shared" si="5"/>
        <v>40337.199999999997</v>
      </c>
      <c r="T57" s="23">
        <f t="shared" si="5"/>
        <v>42466.3</v>
      </c>
      <c r="U57" s="23">
        <f t="shared" si="5"/>
        <v>40582.9</v>
      </c>
      <c r="V57" s="22">
        <f t="shared" si="5"/>
        <v>47061.2</v>
      </c>
      <c r="W57" s="24">
        <f t="shared" si="5"/>
        <v>49673.7</v>
      </c>
    </row>
    <row r="58" spans="1:23" s="9" customFormat="1" x14ac:dyDescent="0.2">
      <c r="A58" s="14" t="s">
        <v>5</v>
      </c>
      <c r="B58" s="19">
        <f>B7</f>
        <v>9120.7999999999993</v>
      </c>
      <c r="C58" s="20">
        <f t="shared" si="5"/>
        <v>9996.7999999999993</v>
      </c>
      <c r="D58" s="20">
        <f t="shared" si="5"/>
        <v>11171.2</v>
      </c>
      <c r="E58" s="20">
        <f t="shared" si="5"/>
        <v>12455.8</v>
      </c>
      <c r="F58" s="21">
        <f t="shared" si="5"/>
        <v>13968.5</v>
      </c>
      <c r="G58" s="19">
        <f t="shared" si="5"/>
        <v>16533.400000000001</v>
      </c>
      <c r="H58" s="20">
        <f t="shared" si="5"/>
        <v>20941.099999999999</v>
      </c>
      <c r="I58" s="20">
        <f t="shared" si="5"/>
        <v>26186.2</v>
      </c>
      <c r="J58" s="20">
        <f t="shared" si="5"/>
        <v>29004.6</v>
      </c>
      <c r="K58" s="21">
        <f t="shared" si="5"/>
        <v>35907.9</v>
      </c>
      <c r="L58" s="19">
        <f t="shared" si="5"/>
        <v>43734.5</v>
      </c>
      <c r="M58" s="20">
        <f t="shared" si="5"/>
        <v>49835.5</v>
      </c>
      <c r="N58" s="20">
        <f t="shared" si="5"/>
        <v>56288.9</v>
      </c>
      <c r="O58" s="20">
        <f t="shared" si="5"/>
        <v>63170.400000000001</v>
      </c>
      <c r="P58" s="21">
        <f t="shared" si="5"/>
        <v>67719.600000000006</v>
      </c>
      <c r="Q58" s="19">
        <f t="shared" si="5"/>
        <v>73724.5</v>
      </c>
      <c r="R58" s="20">
        <f t="shared" si="5"/>
        <v>81156.600000000006</v>
      </c>
      <c r="S58" s="20">
        <f t="shared" si="5"/>
        <v>88903.7</v>
      </c>
      <c r="T58" s="20">
        <f t="shared" si="5"/>
        <v>95650.9</v>
      </c>
      <c r="U58" s="20">
        <f t="shared" si="5"/>
        <v>96086.1</v>
      </c>
      <c r="V58" s="19">
        <f>V7</f>
        <v>110492.7</v>
      </c>
      <c r="W58" s="21">
        <f t="shared" si="5"/>
        <v>114517.7</v>
      </c>
    </row>
    <row r="59" spans="1:23" s="9" customFormat="1" x14ac:dyDescent="0.2">
      <c r="A59" s="14" t="s">
        <v>6</v>
      </c>
      <c r="B59" s="19">
        <f t="shared" ref="B59:B61" si="6">B8</f>
        <v>2400.1</v>
      </c>
      <c r="C59" s="20">
        <f t="shared" si="5"/>
        <v>2724.8</v>
      </c>
      <c r="D59" s="20">
        <f t="shared" si="5"/>
        <v>3126.1</v>
      </c>
      <c r="E59" s="20">
        <f t="shared" si="5"/>
        <v>3664.8</v>
      </c>
      <c r="F59" s="21">
        <f t="shared" si="5"/>
        <v>4195.7</v>
      </c>
      <c r="G59" s="19">
        <f t="shared" si="5"/>
        <v>4792.6000000000004</v>
      </c>
      <c r="H59" s="20">
        <f t="shared" si="5"/>
        <v>5548.1</v>
      </c>
      <c r="I59" s="20">
        <f t="shared" si="5"/>
        <v>6616.1</v>
      </c>
      <c r="J59" s="20">
        <f t="shared" si="5"/>
        <v>6957</v>
      </c>
      <c r="K59" s="21">
        <f t="shared" si="5"/>
        <v>7712</v>
      </c>
      <c r="L59" s="19">
        <f t="shared" si="5"/>
        <v>8565.4</v>
      </c>
      <c r="M59" s="20">
        <f t="shared" si="5"/>
        <v>9536.9</v>
      </c>
      <c r="N59" s="20">
        <f t="shared" si="5"/>
        <v>10228.299999999999</v>
      </c>
      <c r="O59" s="20">
        <f t="shared" si="5"/>
        <v>11228.7</v>
      </c>
      <c r="P59" s="21">
        <f t="shared" si="5"/>
        <v>12306.1</v>
      </c>
      <c r="Q59" s="19">
        <f t="shared" si="5"/>
        <v>13607.8</v>
      </c>
      <c r="R59" s="20">
        <f t="shared" si="5"/>
        <v>15056</v>
      </c>
      <c r="S59" s="20">
        <f t="shared" si="5"/>
        <v>16520.599999999999</v>
      </c>
      <c r="T59" s="20">
        <f t="shared" si="5"/>
        <v>17903.099999999999</v>
      </c>
      <c r="U59" s="20">
        <f t="shared" si="5"/>
        <v>15285.4</v>
      </c>
      <c r="V59" s="19">
        <f t="shared" si="5"/>
        <v>17852.599999999999</v>
      </c>
      <c r="W59" s="21">
        <f t="shared" si="5"/>
        <v>17855.3</v>
      </c>
    </row>
    <row r="60" spans="1:23" s="9" customFormat="1" x14ac:dyDescent="0.2">
      <c r="A60" s="14" t="s">
        <v>7</v>
      </c>
      <c r="B60" s="19">
        <f t="shared" si="6"/>
        <v>5202.8</v>
      </c>
      <c r="C60" s="20">
        <f t="shared" si="5"/>
        <v>5555.8</v>
      </c>
      <c r="D60" s="20">
        <f t="shared" si="5"/>
        <v>6045.7</v>
      </c>
      <c r="E60" s="20">
        <f t="shared" si="5"/>
        <v>6600.2</v>
      </c>
      <c r="F60" s="21">
        <f t="shared" si="5"/>
        <v>7486</v>
      </c>
      <c r="G60" s="19">
        <f t="shared" si="5"/>
        <v>9972.2999999999993</v>
      </c>
      <c r="H60" s="20">
        <f t="shared" si="5"/>
        <v>15200</v>
      </c>
      <c r="I60" s="20">
        <f t="shared" si="5"/>
        <v>18345.599999999999</v>
      </c>
      <c r="J60" s="20">
        <f t="shared" si="5"/>
        <v>21836.799999999999</v>
      </c>
      <c r="K60" s="21">
        <f t="shared" si="5"/>
        <v>25733.1</v>
      </c>
      <c r="L60" s="19">
        <f t="shared" si="5"/>
        <v>30747.200000000001</v>
      </c>
      <c r="M60" s="20">
        <f t="shared" si="5"/>
        <v>35272.199999999997</v>
      </c>
      <c r="N60" s="20">
        <f t="shared" si="5"/>
        <v>41293.4</v>
      </c>
      <c r="O60" s="20">
        <f t="shared" si="5"/>
        <v>46853.4</v>
      </c>
      <c r="P60" s="21">
        <f t="shared" si="5"/>
        <v>56299.8</v>
      </c>
      <c r="Q60" s="19">
        <f t="shared" si="5"/>
        <v>59964</v>
      </c>
      <c r="R60" s="20">
        <f t="shared" si="5"/>
        <v>64844.3</v>
      </c>
      <c r="S60" s="20">
        <f t="shared" si="5"/>
        <v>70610.3</v>
      </c>
      <c r="T60" s="20">
        <f t="shared" si="5"/>
        <v>76250.600000000006</v>
      </c>
      <c r="U60" s="20">
        <f t="shared" si="5"/>
        <v>83617.7</v>
      </c>
      <c r="V60" s="19">
        <f t="shared" si="5"/>
        <v>91205.6</v>
      </c>
      <c r="W60" s="21">
        <f t="shared" si="5"/>
        <v>96811</v>
      </c>
    </row>
    <row r="61" spans="1:23" s="9" customFormat="1" x14ac:dyDescent="0.2">
      <c r="A61" s="14" t="s">
        <v>8</v>
      </c>
      <c r="B61" s="19">
        <f t="shared" si="6"/>
        <v>4705.8</v>
      </c>
      <c r="C61" s="20">
        <f t="shared" si="5"/>
        <v>5334.5</v>
      </c>
      <c r="D61" s="20">
        <f t="shared" si="5"/>
        <v>6157</v>
      </c>
      <c r="E61" s="20">
        <f t="shared" si="5"/>
        <v>7152.1</v>
      </c>
      <c r="F61" s="21">
        <f t="shared" si="5"/>
        <v>8482.7000000000007</v>
      </c>
      <c r="G61" s="19">
        <f t="shared" si="5"/>
        <v>10320.9</v>
      </c>
      <c r="H61" s="20">
        <f t="shared" si="5"/>
        <v>13714</v>
      </c>
      <c r="I61" s="20">
        <f t="shared" si="5"/>
        <v>14600.3</v>
      </c>
      <c r="J61" s="20">
        <f t="shared" si="5"/>
        <v>18760.5</v>
      </c>
      <c r="K61" s="21">
        <f t="shared" si="5"/>
        <v>23326.6</v>
      </c>
      <c r="L61" s="19">
        <f t="shared" si="5"/>
        <v>27780.7</v>
      </c>
      <c r="M61" s="20">
        <f t="shared" si="5"/>
        <v>30751.9</v>
      </c>
      <c r="N61" s="20">
        <f t="shared" si="5"/>
        <v>35340.400000000001</v>
      </c>
      <c r="O61" s="20">
        <f t="shared" si="5"/>
        <v>38086.400000000001</v>
      </c>
      <c r="P61" s="21">
        <f t="shared" si="5"/>
        <v>42573.8</v>
      </c>
      <c r="Q61" s="19">
        <f t="shared" si="5"/>
        <v>49969.4</v>
      </c>
      <c r="R61" s="20">
        <f t="shared" si="5"/>
        <v>57086</v>
      </c>
      <c r="S61" s="20">
        <f t="shared" si="5"/>
        <v>64623</v>
      </c>
      <c r="T61" s="20">
        <f t="shared" si="5"/>
        <v>70444.800000000003</v>
      </c>
      <c r="U61" s="20">
        <f t="shared" si="5"/>
        <v>73425.3</v>
      </c>
      <c r="V61" s="19">
        <f t="shared" si="5"/>
        <v>77560.800000000003</v>
      </c>
      <c r="W61" s="21">
        <f t="shared" si="5"/>
        <v>73821.3</v>
      </c>
    </row>
    <row r="62" spans="1:23" x14ac:dyDescent="0.2">
      <c r="A62" s="33" t="s">
        <v>207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统计资料!I13</f>
        <v>9049.7000000000007</v>
      </c>
      <c r="L62" s="19">
        <f>统计资料!J13</f>
        <v>10304.799999999999</v>
      </c>
      <c r="M62" s="20">
        <f>统计资料!K13</f>
        <v>11928.7</v>
      </c>
      <c r="N62" s="20">
        <f>统计资料!L13</f>
        <v>13729.7</v>
      </c>
      <c r="O62" s="20">
        <f>统计资料!M13</f>
        <v>15470.6</v>
      </c>
      <c r="P62" s="21">
        <f>统计资料!N13</f>
        <v>17516.8</v>
      </c>
      <c r="Q62" s="19">
        <f>统计资料!O13</f>
        <v>20124.099999999999</v>
      </c>
      <c r="R62" s="20">
        <f>统计资料!P13</f>
        <v>23808.9</v>
      </c>
      <c r="S62" s="20">
        <f>统计资料!Q13</f>
        <v>28733.5</v>
      </c>
      <c r="T62" s="20">
        <f>统计资料!R13</f>
        <v>33391.800000000003</v>
      </c>
      <c r="U62" s="20">
        <f>统计资料!S13</f>
        <v>38244.1</v>
      </c>
      <c r="V62" s="89">
        <f>$U62/SUM($U$62:$U$70)*($V$56-SUM($V$57:$V$61))</f>
        <v>42706.509066655221</v>
      </c>
      <c r="W62" s="101">
        <f>$U62/SUM($U$62:$U$70)*($W$56-SUM($W$57:$W$61))</f>
        <v>45012.987606617135</v>
      </c>
    </row>
    <row r="63" spans="1:23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统计资料!I16</f>
        <v>7259.8</v>
      </c>
      <c r="L63" s="19">
        <f>统计资料!J16</f>
        <v>9150.2000000000007</v>
      </c>
      <c r="M63" s="20">
        <f>统计资料!K16</f>
        <v>10887.4</v>
      </c>
      <c r="N63" s="20">
        <f>统计资料!L16</f>
        <v>12904.9</v>
      </c>
      <c r="O63" s="20">
        <f>统计资料!M16</f>
        <v>15451.3</v>
      </c>
      <c r="P63" s="21">
        <f>统计资料!N16</f>
        <v>18089.7</v>
      </c>
      <c r="Q63" s="19">
        <f>统计资料!O16</f>
        <v>21528.6</v>
      </c>
      <c r="R63" s="20">
        <f>统计资料!P16</f>
        <v>25273.3</v>
      </c>
      <c r="S63" s="20">
        <f>统计资料!Q16</f>
        <v>29468.5</v>
      </c>
      <c r="T63" s="20">
        <f>统计资料!R16</f>
        <v>32638</v>
      </c>
      <c r="U63" s="20">
        <f>统计资料!S16</f>
        <v>32467.599999999999</v>
      </c>
      <c r="V63" s="89">
        <f t="shared" ref="V63:V70" si="7">$U63/SUM($U$62:$U$70)*($V$56-SUM($V$57:$V$61))</f>
        <v>36255.993833624932</v>
      </c>
      <c r="W63" s="101">
        <f t="shared" ref="W63:W70" si="8">$U63/SUM($U$62:$U$70)*($W$56-SUM($W$57:$W$61))</f>
        <v>38214.095152366055</v>
      </c>
    </row>
    <row r="64" spans="1:23" x14ac:dyDescent="0.2">
      <c r="A64" s="33" t="s">
        <v>218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统计资料!I17</f>
        <v>6464.3</v>
      </c>
      <c r="L64" s="19">
        <f>统计资料!J17</f>
        <v>7944.8</v>
      </c>
      <c r="M64" s="20">
        <f>统计资料!K17</f>
        <v>9456.1</v>
      </c>
      <c r="N64" s="20">
        <f>统计资料!L17</f>
        <v>11023.2</v>
      </c>
      <c r="O64" s="20">
        <f>统计资料!M17</f>
        <v>12476</v>
      </c>
      <c r="P64" s="21">
        <f>统计资料!N17</f>
        <v>13887.2</v>
      </c>
      <c r="Q64" s="19">
        <f>统计资料!O17</f>
        <v>15394.2</v>
      </c>
      <c r="R64" s="20">
        <f>统计资料!P17</f>
        <v>17444.7</v>
      </c>
      <c r="S64" s="20">
        <f>统计资料!Q17</f>
        <v>20175.3</v>
      </c>
      <c r="T64" s="20">
        <f>统计资料!R17</f>
        <v>22624.3</v>
      </c>
      <c r="U64" s="20">
        <f>统计资料!S17</f>
        <v>24166.2</v>
      </c>
      <c r="V64" s="89">
        <f t="shared" si="7"/>
        <v>26985.967493197735</v>
      </c>
      <c r="W64" s="101">
        <f>$U64/SUM($U$62:$U$70)*($W$56-SUM($W$57:$W$61))</f>
        <v>28443.41639884403</v>
      </c>
    </row>
    <row r="65" spans="1:23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统计资料!I18</f>
        <v>2035.1</v>
      </c>
      <c r="L65" s="19">
        <f>统计资料!J18</f>
        <v>2499.3000000000002</v>
      </c>
      <c r="M65" s="20">
        <f>统计资料!K18</f>
        <v>3024.7</v>
      </c>
      <c r="N65" s="20">
        <f>统计资料!L18</f>
        <v>3665.1</v>
      </c>
      <c r="O65" s="20">
        <f>统计资料!M18</f>
        <v>3940.9</v>
      </c>
      <c r="P65" s="21">
        <f>统计资料!N18</f>
        <v>4128.6000000000004</v>
      </c>
      <c r="Q65" s="19">
        <f>统计资料!O18</f>
        <v>4354.6000000000004</v>
      </c>
      <c r="R65" s="20">
        <f>统计资料!P18</f>
        <v>4602.6000000000004</v>
      </c>
      <c r="S65" s="20">
        <f>统计资料!Q18</f>
        <v>5096.1000000000004</v>
      </c>
      <c r="T65" s="20">
        <f>统计资料!R18</f>
        <v>5861.3</v>
      </c>
      <c r="U65" s="20">
        <f>统计资料!S18</f>
        <v>5863.1</v>
      </c>
      <c r="V65" s="89">
        <f t="shared" si="7"/>
        <v>6547.2199191170994</v>
      </c>
      <c r="W65" s="101">
        <f t="shared" si="8"/>
        <v>6900.8199339599296</v>
      </c>
    </row>
    <row r="66" spans="1:23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统计资料!I19</f>
        <v>6458</v>
      </c>
      <c r="L66" s="19">
        <f>统计资料!J19</f>
        <v>7574.7</v>
      </c>
      <c r="M66" s="20">
        <f>统计资料!K19</f>
        <v>8227.7999999999993</v>
      </c>
      <c r="N66" s="20">
        <f>统计资料!L19</f>
        <v>8707.7000000000007</v>
      </c>
      <c r="O66" s="20">
        <f>统计资料!M19</f>
        <v>9633.5</v>
      </c>
      <c r="P66" s="21">
        <f>统计资料!N19</f>
        <v>10586.7</v>
      </c>
      <c r="Q66" s="19">
        <f>统计资料!O19</f>
        <v>12183.5</v>
      </c>
      <c r="R66" s="20">
        <f>统计资料!P19</f>
        <v>13725.4</v>
      </c>
      <c r="S66" s="20">
        <f>统计资料!Q19</f>
        <v>14793.3</v>
      </c>
      <c r="T66" s="20">
        <f>统计资料!R19</f>
        <v>16983.400000000001</v>
      </c>
      <c r="U66" s="20">
        <f>统计资料!S19</f>
        <v>16353.2</v>
      </c>
      <c r="V66" s="89">
        <f>$U66/SUM($U$62:$U$70)*($V$56-SUM($V$57:$V$61))</f>
        <v>18261.328781925218</v>
      </c>
      <c r="W66" s="101">
        <f t="shared" si="8"/>
        <v>19247.580383079519</v>
      </c>
    </row>
    <row r="67" spans="1:23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统计资料!I20</f>
        <v>12367.9</v>
      </c>
      <c r="L67" s="19">
        <f>统计资料!J20</f>
        <v>14774.6</v>
      </c>
      <c r="M67" s="20">
        <f>统计资料!K20</f>
        <v>16645.7</v>
      </c>
      <c r="N67" s="20">
        <f>统计资料!L20</f>
        <v>18951.400000000001</v>
      </c>
      <c r="O67" s="20">
        <f>统计资料!M20</f>
        <v>21211</v>
      </c>
      <c r="P67" s="21">
        <f>统计资料!N20</f>
        <v>24370.5</v>
      </c>
      <c r="Q67" s="19">
        <f>统计资料!O20</f>
        <v>26964.9</v>
      </c>
      <c r="R67" s="20">
        <f>统计资料!P20</f>
        <v>30208.400000000001</v>
      </c>
      <c r="S67" s="20">
        <f>统计资料!Q20</f>
        <v>34001.4</v>
      </c>
      <c r="T67" s="20">
        <f>统计资料!R20</f>
        <v>37934.1</v>
      </c>
      <c r="U67" s="20">
        <f>统计资料!S20</f>
        <v>40091.9</v>
      </c>
      <c r="V67" s="89">
        <f t="shared" si="7"/>
        <v>44769.914597269504</v>
      </c>
      <c r="W67" s="101">
        <f t="shared" si="8"/>
        <v>47187.832837633352</v>
      </c>
    </row>
    <row r="68" spans="1:23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统计资料!I21</f>
        <v>5889.4</v>
      </c>
      <c r="L68" s="19">
        <f>统计资料!J21</f>
        <v>7428.8</v>
      </c>
      <c r="M68" s="20">
        <f>统计资料!K21</f>
        <v>9011.2000000000007</v>
      </c>
      <c r="N68" s="20">
        <f>统计资料!L21</f>
        <v>11034.4</v>
      </c>
      <c r="O68" s="20">
        <f>统计资料!M21</f>
        <v>12653.3</v>
      </c>
      <c r="P68" s="21">
        <f>统计资料!N21</f>
        <v>14765.4</v>
      </c>
      <c r="Q68" s="19">
        <f>统计资料!O21</f>
        <v>16766.8</v>
      </c>
      <c r="R68" s="20">
        <f>统计资料!P21</f>
        <v>18548.8</v>
      </c>
      <c r="S68" s="20">
        <f>统计资料!Q21</f>
        <v>20652.599999999999</v>
      </c>
      <c r="T68" s="20">
        <f>统计资料!R21</f>
        <v>22354.6</v>
      </c>
      <c r="U68" s="20">
        <f>统计资料!S21</f>
        <v>24396.1</v>
      </c>
      <c r="V68" s="89">
        <f t="shared" si="7"/>
        <v>27242.692751065588</v>
      </c>
      <c r="W68" s="101">
        <f t="shared" si="8"/>
        <v>28714.006786662318</v>
      </c>
    </row>
    <row r="69" spans="1:23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统计资料!I22</f>
        <v>2827.7</v>
      </c>
      <c r="L69" s="19">
        <f>统计资料!J22</f>
        <v>3325.9</v>
      </c>
      <c r="M69" s="20">
        <f>统计资料!K22</f>
        <v>3758.2</v>
      </c>
      <c r="N69" s="20">
        <f>统计资料!L22</f>
        <v>4137.8999999999996</v>
      </c>
      <c r="O69" s="20">
        <f>统计资料!M22</f>
        <v>4480.7</v>
      </c>
      <c r="P69" s="21">
        <f>统计资料!N22</f>
        <v>5063.8</v>
      </c>
      <c r="Q69" s="19">
        <f>统计资料!O22</f>
        <v>5579.8</v>
      </c>
      <c r="R69" s="20">
        <f>统计资料!P22</f>
        <v>6625.4</v>
      </c>
      <c r="S69" s="20">
        <f>统计资料!Q22</f>
        <v>7301.3</v>
      </c>
      <c r="T69" s="20">
        <f>统计资料!R22</f>
        <v>8137.8</v>
      </c>
      <c r="U69" s="20">
        <f>统计资料!S22</f>
        <v>6981.2</v>
      </c>
      <c r="V69" s="89">
        <f t="shared" si="7"/>
        <v>7795.7823846327528</v>
      </c>
      <c r="W69" s="101">
        <f t="shared" si="8"/>
        <v>8216.8143342192798</v>
      </c>
    </row>
    <row r="70" spans="1:23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统计资料!I23</f>
        <v>16302.7</v>
      </c>
      <c r="L70" s="25">
        <f>统计资料!J23</f>
        <v>18079</v>
      </c>
      <c r="M70" s="26">
        <f>统计资料!K23</f>
        <v>20101.7</v>
      </c>
      <c r="N70" s="26">
        <f>统计资料!L23</f>
        <v>21693</v>
      </c>
      <c r="O70" s="26">
        <f>统计资料!M23</f>
        <v>24301.200000000001</v>
      </c>
      <c r="P70" s="27">
        <f>统计资料!N23</f>
        <v>28447.8</v>
      </c>
      <c r="Q70" s="25">
        <f>统计资料!O23</f>
        <v>33847.800000000003</v>
      </c>
      <c r="R70" s="26">
        <f>统计资料!P23</f>
        <v>38848.800000000003</v>
      </c>
      <c r="S70" s="26">
        <f>统计资料!Q23</f>
        <v>43923.1</v>
      </c>
      <c r="T70" s="26">
        <f>统计资料!R23</f>
        <v>47790.5</v>
      </c>
      <c r="U70" s="26">
        <f>统计资料!S23</f>
        <v>49261.9</v>
      </c>
      <c r="V70" s="91">
        <f t="shared" si="7"/>
        <v>55009.891172511918</v>
      </c>
      <c r="W70" s="102">
        <f t="shared" si="8"/>
        <v>57980.846566618457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B0F-7AA7-44FD-A0E7-1AA990A52865}">
  <dimension ref="A1:T126"/>
  <sheetViews>
    <sheetView topLeftCell="A80" zoomScale="90" zoomScaleNormal="90" workbookViewId="0">
      <selection activeCell="F20" sqref="F20"/>
    </sheetView>
  </sheetViews>
  <sheetFormatPr defaultRowHeight="14.25" x14ac:dyDescent="0.2"/>
  <cols>
    <col min="1" max="1" width="18.375" customWidth="1"/>
    <col min="2" max="2" width="24.875" style="124" customWidth="1"/>
    <col min="3" max="4" width="15.625" style="124" customWidth="1"/>
    <col min="5" max="10" width="17" style="124" customWidth="1"/>
    <col min="11" max="18" width="17" customWidth="1"/>
    <col min="19" max="19" width="16.25" customWidth="1"/>
    <col min="20" max="20" width="10.5" bestFit="1" customWidth="1"/>
  </cols>
  <sheetData>
    <row r="1" spans="1:7" x14ac:dyDescent="0.2">
      <c r="A1" s="180" t="s">
        <v>159</v>
      </c>
      <c r="B1" s="181"/>
      <c r="C1" s="151"/>
      <c r="D1" s="151"/>
    </row>
    <row r="2" spans="1:7" x14ac:dyDescent="0.2">
      <c r="A2" s="149"/>
      <c r="B2" s="150" t="s">
        <v>201</v>
      </c>
    </row>
    <row r="3" spans="1:7" x14ac:dyDescent="0.2">
      <c r="A3" s="62" t="s">
        <v>161</v>
      </c>
      <c r="B3" s="126">
        <v>5.3999999999999999E-2</v>
      </c>
    </row>
    <row r="4" spans="1:7" x14ac:dyDescent="0.2">
      <c r="A4" s="62" t="s">
        <v>199</v>
      </c>
      <c r="B4" s="126">
        <v>5.0999999999999997E-2</v>
      </c>
    </row>
    <row r="5" spans="1:7" x14ac:dyDescent="0.2">
      <c r="A5" s="62" t="s">
        <v>200</v>
      </c>
      <c r="B5" s="126">
        <v>3.7999999999999999E-2</v>
      </c>
    </row>
    <row r="6" spans="1:7" x14ac:dyDescent="0.2">
      <c r="A6" s="62" t="s">
        <v>162</v>
      </c>
      <c r="B6" s="126">
        <v>2.9000000000000001E-2</v>
      </c>
    </row>
    <row r="7" spans="1:7" x14ac:dyDescent="0.2">
      <c r="A7" s="62" t="s">
        <v>208</v>
      </c>
      <c r="B7" s="126">
        <v>2.1999999999999999E-2</v>
      </c>
    </row>
    <row r="8" spans="1:7" x14ac:dyDescent="0.2">
      <c r="A8" s="93" t="s">
        <v>160</v>
      </c>
    </row>
    <row r="9" spans="1:7" x14ac:dyDescent="0.2">
      <c r="A9" s="94" t="s">
        <v>187</v>
      </c>
    </row>
    <row r="10" spans="1:7" x14ac:dyDescent="0.2">
      <c r="A10" s="94" t="s">
        <v>191</v>
      </c>
    </row>
    <row r="11" spans="1:7" x14ac:dyDescent="0.2">
      <c r="A11" s="95" t="s">
        <v>163</v>
      </c>
    </row>
    <row r="13" spans="1:7" x14ac:dyDescent="0.2">
      <c r="A13" s="177" t="s">
        <v>164</v>
      </c>
      <c r="B13" s="178"/>
      <c r="C13" s="178"/>
      <c r="D13" s="178"/>
      <c r="E13" s="178"/>
      <c r="F13" s="179"/>
      <c r="G13" s="130"/>
    </row>
    <row r="14" spans="1:7" x14ac:dyDescent="0.2">
      <c r="A14" s="62"/>
      <c r="B14" s="125" t="s">
        <v>165</v>
      </c>
      <c r="C14" s="125" t="s">
        <v>166</v>
      </c>
      <c r="D14" s="125" t="s">
        <v>168</v>
      </c>
      <c r="E14" s="125" t="s">
        <v>169</v>
      </c>
      <c r="F14" s="125" t="s">
        <v>167</v>
      </c>
    </row>
    <row r="15" spans="1:7" x14ac:dyDescent="0.2">
      <c r="A15" s="97">
        <v>2025</v>
      </c>
      <c r="B15" s="126">
        <f>1-C15-F15</f>
        <v>7.2999999999999954E-2</v>
      </c>
      <c r="C15" s="126">
        <f>SUM(D15:E15)</f>
        <v>0.38300000000000001</v>
      </c>
      <c r="D15" s="126">
        <v>0.315</v>
      </c>
      <c r="E15" s="126">
        <v>6.8000000000000005E-2</v>
      </c>
      <c r="F15" s="126">
        <v>0.54400000000000004</v>
      </c>
      <c r="G15" s="152"/>
    </row>
    <row r="16" spans="1:7" x14ac:dyDescent="0.2">
      <c r="A16" s="97">
        <v>2030</v>
      </c>
      <c r="B16" s="126">
        <f t="shared" ref="B16:B17" si="0">1-C16-F16</f>
        <v>7.1000000000000063E-2</v>
      </c>
      <c r="C16" s="126">
        <f>SUM(D16:E16)</f>
        <v>0.35599999999999998</v>
      </c>
      <c r="D16" s="126">
        <v>0.29099999999999998</v>
      </c>
      <c r="E16" s="126">
        <v>6.5000000000000002E-2</v>
      </c>
      <c r="F16" s="126">
        <v>0.57299999999999995</v>
      </c>
      <c r="G16" s="152"/>
    </row>
    <row r="17" spans="1:20" x14ac:dyDescent="0.2">
      <c r="A17" s="97">
        <v>2035</v>
      </c>
      <c r="B17" s="126">
        <f t="shared" si="0"/>
        <v>6.3999999999999946E-2</v>
      </c>
      <c r="C17" s="126">
        <f t="shared" ref="C17:C18" si="1">SUM(D17:E17)</f>
        <v>0.33200000000000002</v>
      </c>
      <c r="D17" s="126">
        <v>0.27200000000000002</v>
      </c>
      <c r="E17" s="126">
        <v>0.06</v>
      </c>
      <c r="F17" s="126">
        <v>0.60399999999999998</v>
      </c>
      <c r="G17" s="152"/>
    </row>
    <row r="18" spans="1:20" x14ac:dyDescent="0.2">
      <c r="A18" s="97">
        <v>2050</v>
      </c>
      <c r="B18" s="126">
        <f t="shared" ref="B18" si="2">1-C18-F18</f>
        <v>5.699999999999994E-2</v>
      </c>
      <c r="C18" s="126">
        <f t="shared" si="1"/>
        <v>0.26200000000000001</v>
      </c>
      <c r="D18" s="126">
        <v>0.21</v>
      </c>
      <c r="E18" s="126">
        <v>5.1999999999999998E-2</v>
      </c>
      <c r="F18" s="126">
        <v>0.68100000000000005</v>
      </c>
      <c r="G18" s="152"/>
    </row>
    <row r="19" spans="1:20" x14ac:dyDescent="0.2">
      <c r="A19" s="97">
        <v>2060</v>
      </c>
      <c r="B19" s="126">
        <f>1-C19-F19</f>
        <v>5.1000000000000045E-2</v>
      </c>
      <c r="C19" s="126">
        <f>SUM(D19:E19)</f>
        <v>0.24099999999999999</v>
      </c>
      <c r="D19" s="126">
        <v>0.191</v>
      </c>
      <c r="E19" s="126">
        <v>0.05</v>
      </c>
      <c r="F19" s="126">
        <v>0.70799999999999996</v>
      </c>
      <c r="G19" s="152"/>
    </row>
    <row r="20" spans="1:20" x14ac:dyDescent="0.2">
      <c r="A20" s="94" t="s">
        <v>160</v>
      </c>
    </row>
    <row r="21" spans="1:20" x14ac:dyDescent="0.2">
      <c r="A21" s="94" t="s">
        <v>190</v>
      </c>
    </row>
    <row r="22" spans="1:20" x14ac:dyDescent="0.2">
      <c r="A22" s="94" t="s">
        <v>188</v>
      </c>
    </row>
    <row r="23" spans="1:20" x14ac:dyDescent="0.2">
      <c r="A23" s="94" t="s">
        <v>189</v>
      </c>
    </row>
    <row r="26" spans="1:20" x14ac:dyDescent="0.2">
      <c r="A26" s="182" t="s">
        <v>219</v>
      </c>
      <c r="B26" s="182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8"/>
      <c r="O26" s="154"/>
      <c r="P26" s="154"/>
      <c r="Q26" s="154"/>
      <c r="R26" s="154"/>
      <c r="S26" s="154"/>
    </row>
    <row r="27" spans="1:20" x14ac:dyDescent="0.2">
      <c r="A27" s="62"/>
      <c r="B27" s="97"/>
      <c r="C27" s="170" t="s">
        <v>274</v>
      </c>
      <c r="D27" s="171" t="s">
        <v>275</v>
      </c>
      <c r="E27" s="171" t="s">
        <v>276</v>
      </c>
      <c r="F27" s="171" t="s">
        <v>277</v>
      </c>
      <c r="G27" s="171" t="s">
        <v>278</v>
      </c>
      <c r="H27" s="171" t="s">
        <v>279</v>
      </c>
      <c r="I27" s="171" t="s">
        <v>280</v>
      </c>
      <c r="J27" s="171" t="s">
        <v>281</v>
      </c>
      <c r="K27" s="171" t="s">
        <v>282</v>
      </c>
      <c r="L27" s="171" t="s">
        <v>283</v>
      </c>
      <c r="M27" s="171" t="s">
        <v>284</v>
      </c>
      <c r="N27" s="171" t="s">
        <v>285</v>
      </c>
      <c r="O27" s="171" t="s">
        <v>220</v>
      </c>
      <c r="P27" s="171" t="s">
        <v>221</v>
      </c>
      <c r="Q27" s="171" t="s">
        <v>222</v>
      </c>
      <c r="R27" s="171" t="s">
        <v>223</v>
      </c>
      <c r="S27" s="171" t="s">
        <v>224</v>
      </c>
    </row>
    <row r="28" spans="1:20" x14ac:dyDescent="0.2">
      <c r="A28" s="62"/>
      <c r="B28" s="97" t="s">
        <v>167</v>
      </c>
      <c r="C28" s="166">
        <f>(VLOOKUP($B28,'增加值 (2001-2060, 2020RMB)'!$A$56:$W$70,20,0)/VLOOKUP($B28,'增加值 (2001-2060, 2020RMB)'!$A$56:$W$70,17,0))^(1/3)-1</f>
        <v>7.8274323441529514E-2</v>
      </c>
      <c r="D28" s="166">
        <f>(VLOOKUP($B28,'增加值 (2001-2060, 2020RMB)'!$A$56:$W$70,23,0)/VLOOKUP($B28,'增加值 (2001-2060, 2020RMB)'!$A$56:$W$70,20,0))^(1/3)-1</f>
        <v>3.5189477967090044E-2</v>
      </c>
      <c r="E28" s="166"/>
      <c r="F28" s="166"/>
      <c r="G28" s="166"/>
      <c r="H28" s="166"/>
      <c r="I28" s="166"/>
      <c r="J28" s="166">
        <f>('增加值 (2001-2060, 2020RMB)'!Z56/'增加值 (2001-2060, 2020RMB)'!W56)^(1/3)-1</f>
        <v>6.8114196442928598E-2</v>
      </c>
      <c r="K28" s="166">
        <f>('增加值 (2001-2060, 2020RMB)'!AE56/'增加值 (2001-2060, 2020RMB)'!Z56)^0.2-1</f>
        <v>6.1973942075421951E-2</v>
      </c>
      <c r="L28" s="166">
        <f>('增加值 (2001-2060, 2020RMB)'!AJ56/'增加值 (2001-2060, 2020RMB)'!AE56)^0.2-1</f>
        <v>4.8995963008424015E-2</v>
      </c>
      <c r="M28" s="166">
        <f>('增加值 (2001-2060, 2020RMB)'!AY56/'增加值 (2001-2060, 2020RMB)'!AJ56)^(1/15)-1</f>
        <v>3.7264193655365263E-2</v>
      </c>
      <c r="N28" s="166">
        <f>('增加值 (2001-2060, 2020RMB)'!BI56/'增加值 (2001-2060, 2020RMB)'!AY56)^0.1-1</f>
        <v>1.5530080461360729E-2</v>
      </c>
      <c r="O28" s="169">
        <f>SUM(O29:O42)</f>
        <v>719511.25958403014</v>
      </c>
      <c r="P28" s="169">
        <f>SUM(P29:P42)</f>
        <v>988782.06432777469</v>
      </c>
      <c r="Q28" s="169">
        <f>SUM(Q29:Q42)</f>
        <v>1299895.7329035264</v>
      </c>
      <c r="R28" s="169">
        <f>SUM(R29:R42)</f>
        <v>2657231.4289327245</v>
      </c>
      <c r="S28" s="169">
        <f>SUM(S29:S42)</f>
        <v>3772766.3600214575</v>
      </c>
      <c r="T28" s="175"/>
    </row>
    <row r="29" spans="1:20" x14ac:dyDescent="0.2">
      <c r="A29" s="62" t="s">
        <v>272</v>
      </c>
      <c r="B29" s="62" t="s">
        <v>193</v>
      </c>
      <c r="C29" s="166">
        <f>(VLOOKUP($B29,'增加值 (2001-2060, 2020RMB)'!$A$56:$W$70,20,0)/VLOOKUP($B29,'增加值 (2001-2060, 2020RMB)'!$A$56:$W$70,17,0))^(1/3)-1</f>
        <v>5.8758080155827841E-2</v>
      </c>
      <c r="D29" s="166">
        <f>(VLOOKUP($B29,'增加值 (2001-2060, 2020RMB)'!$A$56:$W$70,23,0)/VLOOKUP($B29,'增加值 (2001-2060, 2020RMB)'!$A$56:$W$70,20,0))^(1/3)-1</f>
        <v>3.6529505831279563E-2</v>
      </c>
      <c r="E29" s="167">
        <v>0.75</v>
      </c>
      <c r="F29" s="167">
        <v>0.64999999999999991</v>
      </c>
      <c r="G29" s="167">
        <v>0.55000000000000004</v>
      </c>
      <c r="H29" s="167">
        <v>0.45</v>
      </c>
      <c r="I29" s="167">
        <v>0.4</v>
      </c>
      <c r="J29" s="129">
        <f>$C29*E29</f>
        <v>4.4068560116870881E-2</v>
      </c>
      <c r="K29" s="129">
        <f t="shared" ref="K29:N42" si="3">$C29*F29</f>
        <v>3.8192752101288092E-2</v>
      </c>
      <c r="L29" s="129">
        <f t="shared" si="3"/>
        <v>3.2316944085705318E-2</v>
      </c>
      <c r="M29" s="129">
        <f t="shared" si="3"/>
        <v>2.644113607012253E-2</v>
      </c>
      <c r="N29" s="129">
        <f t="shared" si="3"/>
        <v>2.3503232062331139E-2</v>
      </c>
      <c r="O29" s="169">
        <f>VLOOKUP($B29,'增加值 (2001-2060, 2020RMB)'!$A$56:$BI$70,23,0)*(1+J29)^3</f>
        <v>121876.2009059352</v>
      </c>
      <c r="P29" s="169">
        <f>VLOOKUP($B29,'增加值 (2001-2060, 2020RMB)'!$A$56:$BI$70,26,0)*(1+K29)^5</f>
        <v>147268.87800307662</v>
      </c>
      <c r="Q29" s="169">
        <f>VLOOKUP($B29,'增加值 (2001-2060, 2020RMB)'!$A$56:$BI$70,31,0)*(1+L29)^5</f>
        <v>170013.99816228118</v>
      </c>
      <c r="R29" s="169">
        <f>VLOOKUP($B29,'增加值 (2001-2060, 2020RMB)'!$A$56:$BI$70,36,0)*(1+M29)^15</f>
        <v>239257.18062313949</v>
      </c>
      <c r="S29" s="169">
        <f>VLOOKUP($B29,'增加值 (2001-2060, 2020RMB)'!$A$56:$BI$70,51,0)*(1+N29)^10</f>
        <v>243190.53458853986</v>
      </c>
    </row>
    <row r="30" spans="1:20" x14ac:dyDescent="0.2">
      <c r="A30" s="62"/>
      <c r="B30" s="62" t="s">
        <v>194</v>
      </c>
      <c r="C30" s="166">
        <f>(VLOOKUP($B30,'增加值 (2001-2060, 2020RMB)'!$A$56:$W$70,20,0)/VLOOKUP($B30,'增加值 (2001-2060, 2020RMB)'!$A$56:$W$70,17,0))^(1/3)-1</f>
        <v>6.3696595965439418E-2</v>
      </c>
      <c r="D30" s="166">
        <f>(VLOOKUP($B30,'增加值 (2001-2060, 2020RMB)'!$A$56:$W$70,23,0)/VLOOKUP($B30,'增加值 (2001-2060, 2020RMB)'!$A$56:$W$70,20,0))^(1/3)-1</f>
        <v>-2.4710709867632796E-2</v>
      </c>
      <c r="E30" s="167">
        <v>0.75</v>
      </c>
      <c r="F30" s="167">
        <v>0.64999999999999991</v>
      </c>
      <c r="G30" s="167">
        <v>0.55000000000000004</v>
      </c>
      <c r="H30" s="167">
        <v>0.45</v>
      </c>
      <c r="I30" s="167">
        <v>0.4</v>
      </c>
      <c r="J30" s="129">
        <f t="shared" ref="J30:J42" si="4">$C30*E30</f>
        <v>4.7772446974079563E-2</v>
      </c>
      <c r="K30" s="129">
        <f t="shared" si="3"/>
        <v>4.1402787377535617E-2</v>
      </c>
      <c r="L30" s="129">
        <f t="shared" si="3"/>
        <v>3.5033127780991685E-2</v>
      </c>
      <c r="M30" s="129">
        <f t="shared" si="3"/>
        <v>2.8663468184447739E-2</v>
      </c>
      <c r="N30" s="129">
        <f t="shared" si="3"/>
        <v>2.547863838617577E-2</v>
      </c>
      <c r="O30" s="169">
        <f>VLOOKUP($B30,'增加值 (2001-2060, 2020RMB)'!$A$56:$BI$70,23,0)*(1+J30)^3</f>
        <v>19205.574790347018</v>
      </c>
      <c r="P30" s="169">
        <f>VLOOKUP($B30,'增加值 (2001-2060, 2020RMB)'!$A$56:$BI$70,26,0)*(1+K30)^5</f>
        <v>23568.019838332926</v>
      </c>
      <c r="Q30" s="169">
        <f>VLOOKUP($B30,'增加值 (2001-2060, 2020RMB)'!$A$56:$BI$70,31,0)*(1+L30)^5</f>
        <v>27567.841943856653</v>
      </c>
      <c r="R30" s="169">
        <f>VLOOKUP($B30,'增加值 (2001-2060, 2020RMB)'!$A$56:$BI$70,36,0)*(1+M30)^15</f>
        <v>40074.866991440547</v>
      </c>
      <c r="S30" s="169">
        <f>VLOOKUP($B30,'增加值 (2001-2060, 2020RMB)'!$A$56:$BI$70,51,0)*(1+N30)^10</f>
        <v>41526.73367201809</v>
      </c>
    </row>
    <row r="31" spans="1:20" x14ac:dyDescent="0.2">
      <c r="B31" s="62" t="s">
        <v>206</v>
      </c>
      <c r="C31" s="166">
        <f>(VLOOKUP($B31,'增加值 (2001-2060, 2020RMB)'!$A$56:$W$70,20,0)/VLOOKUP($B31,'增加值 (2001-2060, 2020RMB)'!$A$56:$W$70,17,0))^(1/3)-1</f>
        <v>5.5573901176045437E-2</v>
      </c>
      <c r="D31" s="166">
        <f>(VLOOKUP($B31,'增加值 (2001-2060, 2020RMB)'!$A$56:$W$70,23,0)/VLOOKUP($B31,'增加值 (2001-2060, 2020RMB)'!$A$56:$W$70,20,0))^(1/3)-1</f>
        <v>2.8524195486400394E-2</v>
      </c>
      <c r="E31" s="167">
        <v>0.75</v>
      </c>
      <c r="F31" s="167">
        <v>0.64999999999999991</v>
      </c>
      <c r="G31" s="167">
        <v>0.55000000000000004</v>
      </c>
      <c r="H31" s="167">
        <v>0.45</v>
      </c>
      <c r="I31" s="167">
        <v>0.4</v>
      </c>
      <c r="J31" s="129">
        <f t="shared" si="4"/>
        <v>4.1680425882034078E-2</v>
      </c>
      <c r="K31" s="129">
        <f t="shared" si="3"/>
        <v>3.6123035764429531E-2</v>
      </c>
      <c r="L31" s="129">
        <f t="shared" si="3"/>
        <v>3.0565645646824992E-2</v>
      </c>
      <c r="M31" s="129">
        <f t="shared" si="3"/>
        <v>2.5008255529220449E-2</v>
      </c>
      <c r="N31" s="129">
        <f t="shared" si="3"/>
        <v>2.2229560470418176E-2</v>
      </c>
      <c r="O31" s="169">
        <f>VLOOKUP($B31,'增加值 (2001-2060, 2020RMB)'!$A$56:$BI$70,23,0)*(1+J31)^3</f>
        <v>52503.621110000997</v>
      </c>
      <c r="P31" s="169">
        <f>VLOOKUP($B31,'增加值 (2001-2060, 2020RMB)'!$A$56:$BI$70,26,0)*(1+K31)^5</f>
        <v>62812.779373809542</v>
      </c>
      <c r="Q31" s="169">
        <f>VLOOKUP($B31,'增加值 (2001-2060, 2020RMB)'!$A$56:$BI$70,31,0)*(1+L31)^5</f>
        <v>71900.968340816267</v>
      </c>
      <c r="R31" s="169">
        <f>VLOOKUP($B31,'增加值 (2001-2060, 2020RMB)'!$A$56:$BI$70,36,0)*(1+M31)^15</f>
        <v>99086.561605285868</v>
      </c>
      <c r="S31" s="169">
        <f>VLOOKUP($B31,'增加值 (2001-2060, 2020RMB)'!$A$56:$BI$70,51,0)*(1+N31)^10</f>
        <v>99469.197994640082</v>
      </c>
    </row>
    <row r="32" spans="1:20" x14ac:dyDescent="0.2">
      <c r="A32" s="62" t="s">
        <v>273</v>
      </c>
      <c r="B32" s="62" t="s">
        <v>58</v>
      </c>
      <c r="C32" s="166">
        <f>(VLOOKUP($B32,'增加值 (2001-2060, 2020RMB)'!$A$56:$W$70,20,0)/VLOOKUP($B32,'增加值 (2001-2060, 2020RMB)'!$A$56:$W$70,17,0))^(1/3)-1</f>
        <v>5.1691957445564096E-2</v>
      </c>
      <c r="D32" s="166">
        <f>(VLOOKUP($B32,'增加值 (2001-2060, 2020RMB)'!$A$56:$W$70,23,0)/VLOOKUP($B32,'增加值 (2001-2060, 2020RMB)'!$A$56:$W$70,20,0))^(1/3)-1</f>
        <v>5.7014546537245137E-2</v>
      </c>
      <c r="E32" s="167">
        <v>1</v>
      </c>
      <c r="F32" s="167">
        <v>1</v>
      </c>
      <c r="G32" s="167">
        <v>0.8</v>
      </c>
      <c r="H32" s="167">
        <v>0.5</v>
      </c>
      <c r="I32" s="167">
        <v>0.5</v>
      </c>
      <c r="J32" s="129">
        <f t="shared" si="4"/>
        <v>5.1691957445564096E-2</v>
      </c>
      <c r="K32" s="129">
        <f t="shared" si="3"/>
        <v>5.1691957445564096E-2</v>
      </c>
      <c r="L32" s="129">
        <f t="shared" si="3"/>
        <v>4.1353565956451281E-2</v>
      </c>
      <c r="M32" s="129">
        <f t="shared" si="3"/>
        <v>2.5845978722782048E-2</v>
      </c>
      <c r="N32" s="129">
        <f t="shared" si="3"/>
        <v>2.5845978722782048E-2</v>
      </c>
      <c r="O32" s="169">
        <f>VLOOKUP($B32,'增加值 (2001-2060, 2020RMB)'!$A$56:$BI$70,23,0)*(1+J32)^3</f>
        <v>105305.14760304173</v>
      </c>
      <c r="P32" s="169">
        <f>VLOOKUP($B32,'增加值 (2001-2060, 2020RMB)'!$A$56:$BI$70,26,0)*(1+K32)^5</f>
        <v>135735.8203244796</v>
      </c>
      <c r="Q32" s="169">
        <f>VLOOKUP($B32,'增加值 (2001-2060, 2020RMB)'!$A$56:$BI$70,31,0)*(1+L32)^5</f>
        <v>163679.36761879071</v>
      </c>
      <c r="R32" s="169">
        <f>VLOOKUP($B32,'增加值 (2001-2060, 2020RMB)'!$A$56:$BI$70,36,0)*(1+M32)^15</f>
        <v>228347.31745653634</v>
      </c>
      <c r="S32" s="169">
        <f>VLOOKUP($B32,'增加值 (2001-2060, 2020RMB)'!$A$56:$BI$70,51,0)*(1+N32)^10</f>
        <v>237469.05286603159</v>
      </c>
    </row>
    <row r="33" spans="1:20" x14ac:dyDescent="0.2">
      <c r="A33" s="62"/>
      <c r="B33" s="62" t="s">
        <v>195</v>
      </c>
      <c r="C33" s="166">
        <f>(VLOOKUP($B33,'增加值 (2001-2060, 2020RMB)'!$A$56:$W$70,20,0)/VLOOKUP($B33,'增加值 (2001-2060, 2020RMB)'!$A$56:$W$70,17,0))^(1/3)-1</f>
        <v>8.8477020211982893E-2</v>
      </c>
      <c r="D33" s="166">
        <f>(VLOOKUP($B33,'增加值 (2001-2060, 2020RMB)'!$A$56:$W$70,23,0)/VLOOKUP($B33,'增加值 (2001-2060, 2020RMB)'!$A$56:$W$70,20,0))^(1/3)-1</f>
        <v>-8.4877901632879338E-3</v>
      </c>
      <c r="E33" s="167">
        <v>0.6</v>
      </c>
      <c r="F33" s="167">
        <v>0.5</v>
      </c>
      <c r="G33" s="167">
        <v>0.4</v>
      </c>
      <c r="H33" s="167">
        <v>0.4</v>
      </c>
      <c r="I33" s="167">
        <v>0.4</v>
      </c>
      <c r="J33" s="129">
        <f t="shared" si="4"/>
        <v>5.3086212127189732E-2</v>
      </c>
      <c r="K33" s="129">
        <f t="shared" si="3"/>
        <v>4.4238510105991447E-2</v>
      </c>
      <c r="L33" s="129">
        <f t="shared" si="3"/>
        <v>3.5390808084793161E-2</v>
      </c>
      <c r="M33" s="129">
        <f t="shared" si="3"/>
        <v>3.5390808084793161E-2</v>
      </c>
      <c r="N33" s="129">
        <f t="shared" si="3"/>
        <v>3.5390808084793161E-2</v>
      </c>
      <c r="O33" s="169">
        <f>VLOOKUP($B33,'增加值 (2001-2060, 2020RMB)'!$A$56:$BI$70,23,0)*(1+J33)^3</f>
        <v>80618.127305617847</v>
      </c>
      <c r="P33" s="169">
        <f>VLOOKUP($B33,'增加值 (2001-2060, 2020RMB)'!$A$56:$BI$70,26,0)*(1+K33)^5</f>
        <v>100284.39050016439</v>
      </c>
      <c r="Q33" s="169">
        <f>VLOOKUP($B33,'增加值 (2001-2060, 2020RMB)'!$A$56:$BI$70,31,0)*(1+L33)^5</f>
        <v>117506.87824282834</v>
      </c>
      <c r="R33" s="169">
        <f>VLOOKUP($B33,'增加值 (2001-2060, 2020RMB)'!$A$56:$BI$70,36,0)*(1+M33)^15</f>
        <v>188363.79661699352</v>
      </c>
      <c r="S33" s="169">
        <f>VLOOKUP($B33,'增加值 (2001-2060, 2020RMB)'!$A$56:$BI$70,51,0)*(1+N33)^10</f>
        <v>214896.81996470041</v>
      </c>
    </row>
    <row r="34" spans="1:20" x14ac:dyDescent="0.2">
      <c r="A34" s="62"/>
      <c r="B34" s="62" t="s">
        <v>207</v>
      </c>
      <c r="C34" s="166">
        <f>(VLOOKUP($B34,'增加值 (2001-2060, 2020RMB)'!$A$56:$W$70,20,0)/VLOOKUP($B34,'增加值 (2001-2060, 2020RMB)'!$A$56:$W$70,17,0))^(1/3)-1</f>
        <v>0.14924366218699059</v>
      </c>
      <c r="D34" s="166">
        <f>(VLOOKUP($B34,'增加值 (2001-2060, 2020RMB)'!$A$56:$W$70,23,0)/VLOOKUP($B34,'增加值 (2001-2060, 2020RMB)'!$A$56:$W$70,20,0))^(1/3)-1</f>
        <v>7.8333638749526591E-2</v>
      </c>
      <c r="E34" s="167">
        <v>0.9</v>
      </c>
      <c r="F34" s="167">
        <v>0.85000000000000009</v>
      </c>
      <c r="G34" s="167">
        <v>0.75</v>
      </c>
      <c r="H34" s="167">
        <v>0.6</v>
      </c>
      <c r="I34" s="167">
        <v>0.6</v>
      </c>
      <c r="J34" s="129">
        <f t="shared" si="4"/>
        <v>0.13431929596829154</v>
      </c>
      <c r="K34" s="129">
        <f t="shared" si="3"/>
        <v>0.12685711285894202</v>
      </c>
      <c r="L34" s="129">
        <f t="shared" si="3"/>
        <v>0.11193274664024294</v>
      </c>
      <c r="M34" s="129">
        <f t="shared" si="3"/>
        <v>8.9546197312194348E-2</v>
      </c>
      <c r="N34" s="129">
        <f t="shared" si="3"/>
        <v>8.9546197312194348E-2</v>
      </c>
      <c r="O34" s="169">
        <f>VLOOKUP($B34,'增加值 (2001-2060, 2020RMB)'!$A$56:$BI$70,23,0)*(1+J34)^3</f>
        <v>61433.185516590151</v>
      </c>
      <c r="P34" s="169">
        <f>VLOOKUP($B34,'增加值 (2001-2060, 2020RMB)'!$A$56:$BI$70,26,0)*(1+K34)^5</f>
        <v>111827.70038657961</v>
      </c>
      <c r="Q34" s="169">
        <f>VLOOKUP($B34,'增加值 (2001-2060, 2020RMB)'!$A$56:$BI$70,31,0)*(1+L34)^5</f>
        <v>187176.1113361615</v>
      </c>
      <c r="R34" s="169">
        <f>VLOOKUP($B34,'增加值 (2001-2060, 2020RMB)'!$A$56:$BI$70,36,0)*(1+M34)^15</f>
        <v>644621.41559170838</v>
      </c>
      <c r="S34" s="169">
        <f>VLOOKUP($B34,'增加值 (2001-2060, 2020RMB)'!$A$56:$BI$70,51,0)*(1+N34)^10</f>
        <v>1224477.2613111292</v>
      </c>
    </row>
    <row r="35" spans="1:20" x14ac:dyDescent="0.2">
      <c r="A35" s="62"/>
      <c r="B35" s="62" t="s">
        <v>37</v>
      </c>
      <c r="C35" s="166">
        <f>(VLOOKUP($B35,'增加值 (2001-2060, 2020RMB)'!$A$56:$W$70,20,0)/VLOOKUP($B35,'增加值 (2001-2060, 2020RMB)'!$A$56:$W$70,17,0))^(1/3)-1</f>
        <v>0.11516786438456816</v>
      </c>
      <c r="D35" s="166">
        <f>(VLOOKUP($B35,'增加值 (2001-2060, 2020RMB)'!$A$56:$W$70,23,0)/VLOOKUP($B35,'增加值 (2001-2060, 2020RMB)'!$A$56:$W$70,20,0))^(1/3)-1</f>
        <v>2.8854191814652763E-2</v>
      </c>
      <c r="E35" s="167">
        <v>0.9</v>
      </c>
      <c r="F35" s="167">
        <v>0.85000000000000009</v>
      </c>
      <c r="G35" s="167">
        <v>0.75</v>
      </c>
      <c r="H35" s="167">
        <v>0.6</v>
      </c>
      <c r="I35" s="167">
        <v>0.6</v>
      </c>
      <c r="J35" s="129">
        <f t="shared" si="4"/>
        <v>0.10365107794611135</v>
      </c>
      <c r="K35" s="129">
        <f t="shared" si="3"/>
        <v>9.789268472688295E-2</v>
      </c>
      <c r="L35" s="129">
        <f t="shared" si="3"/>
        <v>8.6375898288426123E-2</v>
      </c>
      <c r="M35" s="129">
        <f t="shared" si="3"/>
        <v>6.9100718630740895E-2</v>
      </c>
      <c r="N35" s="129">
        <f t="shared" si="3"/>
        <v>6.9100718630740895E-2</v>
      </c>
      <c r="O35" s="169">
        <f>VLOOKUP($B35,'增加值 (2001-2060, 2020RMB)'!$A$56:$BI$70,23,0)*(1+J35)^3</f>
        <v>48037.256141527272</v>
      </c>
      <c r="P35" s="169">
        <f>VLOOKUP($B35,'增加值 (2001-2060, 2020RMB)'!$A$56:$BI$70,26,0)*(1+K35)^5</f>
        <v>76767.916975683504</v>
      </c>
      <c r="Q35" s="169">
        <f>VLOOKUP($B35,'增加值 (2001-2060, 2020RMB)'!$A$56:$BI$70,31,0)*(1+L35)^5</f>
        <v>114390.19242742796</v>
      </c>
      <c r="R35" s="169">
        <f>VLOOKUP($B35,'增加值 (2001-2060, 2020RMB)'!$A$56:$BI$70,36,0)*(1+M35)^15</f>
        <v>296508.86514036474</v>
      </c>
      <c r="S35" s="169">
        <f>VLOOKUP($B35,'增加值 (2001-2060, 2020RMB)'!$A$56:$BI$70,51,0)*(1+N35)^10</f>
        <v>466029.49025589711</v>
      </c>
    </row>
    <row r="36" spans="1:20" x14ac:dyDescent="0.2">
      <c r="A36" s="62"/>
      <c r="B36" s="62" t="s">
        <v>38</v>
      </c>
      <c r="C36" s="166">
        <f>(VLOOKUP($B36,'增加值 (2001-2060, 2020RMB)'!$A$56:$W$70,20,0)/VLOOKUP($B36,'增加值 (2001-2060, 2020RMB)'!$A$56:$W$70,17,0))^(1/3)-1</f>
        <v>0.10368126786441612</v>
      </c>
      <c r="D36" s="166">
        <f>(VLOOKUP($B36,'增加值 (2001-2060, 2020RMB)'!$A$56:$W$70,23,0)/VLOOKUP($B36,'增加值 (2001-2060, 2020RMB)'!$A$56:$W$70,20,0))^(1/3)-1</f>
        <v>5.3552106832185586E-2</v>
      </c>
      <c r="E36" s="167">
        <v>0.9</v>
      </c>
      <c r="F36" s="167">
        <v>0.85000000000000009</v>
      </c>
      <c r="G36" s="167">
        <v>0.75</v>
      </c>
      <c r="H36" s="167">
        <v>0.6</v>
      </c>
      <c r="I36" s="167">
        <v>0.6</v>
      </c>
      <c r="J36" s="129">
        <f t="shared" si="4"/>
        <v>9.3313141077974504E-2</v>
      </c>
      <c r="K36" s="129">
        <f t="shared" si="3"/>
        <v>8.8129077684753712E-2</v>
      </c>
      <c r="L36" s="129">
        <f t="shared" si="3"/>
        <v>7.7760950898312087E-2</v>
      </c>
      <c r="M36" s="129">
        <f t="shared" si="3"/>
        <v>6.2208760718649669E-2</v>
      </c>
      <c r="N36" s="129">
        <f t="shared" si="3"/>
        <v>6.2208760718649669E-2</v>
      </c>
      <c r="O36" s="169">
        <f>VLOOKUP($B36,'增加值 (2001-2060, 2020RMB)'!$A$56:$BI$70,23,0)*(1+J36)^3</f>
        <v>34759.594418240617</v>
      </c>
      <c r="P36" s="169">
        <f>VLOOKUP($B36,'增加值 (2001-2060, 2020RMB)'!$A$56:$BI$70,26,0)*(1+K36)^5</f>
        <v>53122.546704857225</v>
      </c>
      <c r="Q36" s="169">
        <f>VLOOKUP($B36,'增加值 (2001-2060, 2020RMB)'!$A$56:$BI$70,31,0)*(1+L36)^5</f>
        <v>76067.568178006622</v>
      </c>
      <c r="R36" s="169">
        <f>VLOOKUP($B36,'增加值 (2001-2060, 2020RMB)'!$A$56:$BI$70,36,0)*(1+M36)^15</f>
        <v>178944.0603119939</v>
      </c>
      <c r="S36" s="169">
        <f>VLOOKUP($B36,'增加值 (2001-2060, 2020RMB)'!$A$56:$BI$70,51,0)*(1+N36)^10</f>
        <v>263636.52574146137</v>
      </c>
    </row>
    <row r="37" spans="1:20" x14ac:dyDescent="0.2">
      <c r="A37" s="62"/>
      <c r="B37" s="62" t="s">
        <v>39</v>
      </c>
      <c r="C37" s="166">
        <f>(VLOOKUP($B37,'增加值 (2001-2060, 2020RMB)'!$A$56:$W$70,20,0)/VLOOKUP($B37,'增加值 (2001-2060, 2020RMB)'!$A$56:$W$70,17,0))^(1/3)-1</f>
        <v>7.181432431626944E-2</v>
      </c>
      <c r="D37" s="166">
        <f>(VLOOKUP($B37,'增加值 (2001-2060, 2020RMB)'!$A$56:$W$70,23,0)/VLOOKUP($B37,'增加值 (2001-2060, 2020RMB)'!$A$56:$W$70,20,0))^(1/3)-1</f>
        <v>3.075646025990264E-2</v>
      </c>
      <c r="E37" s="167">
        <v>0.9</v>
      </c>
      <c r="F37" s="167">
        <v>0.85000000000000009</v>
      </c>
      <c r="G37" s="167">
        <v>0.75</v>
      </c>
      <c r="H37" s="167">
        <v>0.6</v>
      </c>
      <c r="I37" s="167">
        <v>0.6</v>
      </c>
      <c r="J37" s="129">
        <f t="shared" si="4"/>
        <v>6.4632891884642496E-2</v>
      </c>
      <c r="K37" s="129">
        <f t="shared" si="3"/>
        <v>6.1042175668829031E-2</v>
      </c>
      <c r="L37" s="129">
        <f t="shared" si="3"/>
        <v>5.386074323720208E-2</v>
      </c>
      <c r="M37" s="129">
        <f t="shared" si="3"/>
        <v>4.3088594589761664E-2</v>
      </c>
      <c r="N37" s="129">
        <f t="shared" si="3"/>
        <v>4.3088594589761664E-2</v>
      </c>
      <c r="O37" s="169">
        <f>VLOOKUP($B37,'增加值 (2001-2060, 2020RMB)'!$A$56:$BI$70,23,0)*(1+J37)^3</f>
        <v>7786.8098727277329</v>
      </c>
      <c r="P37" s="169">
        <f>VLOOKUP($B37,'增加值 (2001-2060, 2020RMB)'!$A$56:$BI$70,26,0)*(1+K37)^5</f>
        <v>10491.193890827084</v>
      </c>
      <c r="Q37" s="169">
        <f>VLOOKUP($B37,'增加值 (2001-2060, 2020RMB)'!$A$56:$BI$70,31,0)*(1+L37)^5</f>
        <v>13429.179320012283</v>
      </c>
      <c r="R37" s="169">
        <f>VLOOKUP($B37,'增加值 (2001-2060, 2020RMB)'!$A$56:$BI$70,36,0)*(1+M37)^15</f>
        <v>24056.752161850651</v>
      </c>
      <c r="S37" s="169">
        <f>VLOOKUP($B37,'增加值 (2001-2060, 2020RMB)'!$A$56:$BI$70,51,0)*(1+N37)^10</f>
        <v>29555.510401755288</v>
      </c>
    </row>
    <row r="38" spans="1:20" x14ac:dyDescent="0.2">
      <c r="A38" s="62"/>
      <c r="B38" s="62" t="s">
        <v>40</v>
      </c>
      <c r="C38" s="166">
        <f>(VLOOKUP($B38,'增加值 (2001-2060, 2020RMB)'!$A$56:$W$70,20,0)/VLOOKUP($B38,'增加值 (2001-2060, 2020RMB)'!$A$56:$W$70,17,0))^(1/3)-1</f>
        <v>8.439753008648565E-2</v>
      </c>
      <c r="D38" s="166">
        <f>(VLOOKUP($B38,'增加值 (2001-2060, 2020RMB)'!$A$56:$W$70,23,0)/VLOOKUP($B38,'增加值 (2001-2060, 2020RMB)'!$A$56:$W$70,20,0))^(1/3)-1</f>
        <v>1.7741893187910973E-2</v>
      </c>
      <c r="E38" s="167">
        <v>0.9</v>
      </c>
      <c r="F38" s="167">
        <v>0.85000000000000009</v>
      </c>
      <c r="G38" s="167">
        <v>0.75</v>
      </c>
      <c r="H38" s="167">
        <v>0.6</v>
      </c>
      <c r="I38" s="167">
        <v>0.6</v>
      </c>
      <c r="J38" s="129">
        <f t="shared" si="4"/>
        <v>7.5957777077837088E-2</v>
      </c>
      <c r="K38" s="129">
        <f t="shared" si="3"/>
        <v>7.1737900573512814E-2</v>
      </c>
      <c r="L38" s="129">
        <f t="shared" si="3"/>
        <v>6.3298147564864238E-2</v>
      </c>
      <c r="M38" s="129">
        <f t="shared" si="3"/>
        <v>5.0638518051891387E-2</v>
      </c>
      <c r="N38" s="129">
        <f t="shared" si="3"/>
        <v>5.0638518051891387E-2</v>
      </c>
      <c r="O38" s="169">
        <f>VLOOKUP($B38,'增加值 (2001-2060, 2020RMB)'!$A$56:$BI$70,23,0)*(1+J38)^3</f>
        <v>22419.249272701731</v>
      </c>
      <c r="P38" s="169">
        <f>VLOOKUP($B38,'增加值 (2001-2060, 2020RMB)'!$A$56:$BI$70,26,0)*(1+K38)^5</f>
        <v>31758.948775905632</v>
      </c>
      <c r="Q38" s="169">
        <f>VLOOKUP($B38,'增加值 (2001-2060, 2020RMB)'!$A$56:$BI$70,31,0)*(1+L38)^5</f>
        <v>42505.959974225341</v>
      </c>
      <c r="R38" s="169">
        <f>VLOOKUP($B38,'增加值 (2001-2060, 2020RMB)'!$A$56:$BI$70,36,0)*(1+M38)^15</f>
        <v>84843.617819986204</v>
      </c>
      <c r="S38" s="169">
        <f>VLOOKUP($B38,'增加值 (2001-2060, 2020RMB)'!$A$56:$BI$70,51,0)*(1+N38)^10</f>
        <v>112031.94298314674</v>
      </c>
    </row>
    <row r="39" spans="1:20" x14ac:dyDescent="0.2">
      <c r="A39" s="62"/>
      <c r="B39" s="62" t="s">
        <v>41</v>
      </c>
      <c r="C39" s="166">
        <f>(VLOOKUP($B39,'增加值 (2001-2060, 2020RMB)'!$A$56:$W$70,20,0)/VLOOKUP($B39,'增加值 (2001-2060, 2020RMB)'!$A$56:$W$70,17,0))^(1/3)-1</f>
        <v>8.7713836318461524E-2</v>
      </c>
      <c r="D39" s="166">
        <f>(VLOOKUP($B39,'增加值 (2001-2060, 2020RMB)'!$A$56:$W$70,23,0)/VLOOKUP($B39,'增加值 (2001-2060, 2020RMB)'!$A$56:$W$70,20,0))^(1/3)-1</f>
        <v>4.9833837021771021E-2</v>
      </c>
      <c r="E39" s="167">
        <v>0.9</v>
      </c>
      <c r="F39" s="167">
        <v>0.85000000000000009</v>
      </c>
      <c r="G39" s="167">
        <v>0.75</v>
      </c>
      <c r="H39" s="167">
        <v>0.6</v>
      </c>
      <c r="I39" s="167">
        <v>0.6</v>
      </c>
      <c r="J39" s="129">
        <f t="shared" si="4"/>
        <v>7.8942452686615372E-2</v>
      </c>
      <c r="K39" s="129">
        <f t="shared" si="3"/>
        <v>7.455676087069231E-2</v>
      </c>
      <c r="L39" s="129">
        <f t="shared" si="3"/>
        <v>6.5785377238846143E-2</v>
      </c>
      <c r="M39" s="129">
        <f t="shared" si="3"/>
        <v>5.2628301791076915E-2</v>
      </c>
      <c r="N39" s="129">
        <f t="shared" si="3"/>
        <v>5.2628301791076915E-2</v>
      </c>
      <c r="O39" s="169">
        <f>VLOOKUP($B39,'增加值 (2001-2060, 2020RMB)'!$A$56:$BI$70,23,0)*(1+J39)^3</f>
        <v>55422.24492894506</v>
      </c>
      <c r="P39" s="169">
        <f>VLOOKUP($B39,'增加值 (2001-2060, 2020RMB)'!$A$56:$BI$70,26,0)*(1+K39)^5</f>
        <v>79548.688722725245</v>
      </c>
      <c r="Q39" s="169">
        <f>VLOOKUP($B39,'增加值 (2001-2060, 2020RMB)'!$A$56:$BI$70,31,0)*(1+L39)^5</f>
        <v>107718.48475501277</v>
      </c>
      <c r="R39" s="169">
        <f>VLOOKUP($B39,'增加值 (2001-2060, 2020RMB)'!$A$56:$BI$70,36,0)*(1+M39)^15</f>
        <v>221200.16417193419</v>
      </c>
      <c r="S39" s="169">
        <f>VLOOKUP($B39,'增加值 (2001-2060, 2020RMB)'!$A$56:$BI$70,51,0)*(1+N39)^10</f>
        <v>297663.35571496253</v>
      </c>
    </row>
    <row r="40" spans="1:20" x14ac:dyDescent="0.2">
      <c r="A40" s="62"/>
      <c r="B40" s="62" t="s">
        <v>42</v>
      </c>
      <c r="C40" s="166">
        <f>(VLOOKUP($B40,'增加值 (2001-2060, 2020RMB)'!$A$56:$W$70,20,0)/VLOOKUP($B40,'增加值 (2001-2060, 2020RMB)'!$A$56:$W$70,17,0))^(1/3)-1</f>
        <v>6.8423018137201419E-2</v>
      </c>
      <c r="D40" s="166">
        <f>(VLOOKUP($B40,'增加值 (2001-2060, 2020RMB)'!$A$56:$W$70,23,0)/VLOOKUP($B40,'增加值 (2001-2060, 2020RMB)'!$A$56:$W$70,20,0))^(1/3)-1</f>
        <v>6.1115802628005866E-2</v>
      </c>
      <c r="E40" s="167">
        <v>0.9</v>
      </c>
      <c r="F40" s="167">
        <v>0.85000000000000009</v>
      </c>
      <c r="G40" s="167">
        <v>0.75</v>
      </c>
      <c r="H40" s="167">
        <v>0.6</v>
      </c>
      <c r="I40" s="167">
        <v>0.6</v>
      </c>
      <c r="J40" s="129">
        <f t="shared" si="4"/>
        <v>6.1580716323481277E-2</v>
      </c>
      <c r="K40" s="129">
        <f t="shared" si="3"/>
        <v>5.8159565416621213E-2</v>
      </c>
      <c r="L40" s="129">
        <f t="shared" si="3"/>
        <v>5.1317263602901064E-2</v>
      </c>
      <c r="M40" s="129">
        <f t="shared" si="3"/>
        <v>4.1053810882320851E-2</v>
      </c>
      <c r="N40" s="129">
        <f t="shared" si="3"/>
        <v>4.1053810882320851E-2</v>
      </c>
      <c r="O40" s="169">
        <f>VLOOKUP($B40,'增加值 (2001-2060, 2020RMB)'!$A$56:$BI$70,23,0)*(1+J40)^3</f>
        <v>32122.704178408349</v>
      </c>
      <c r="P40" s="169">
        <f>VLOOKUP($B40,'增加值 (2001-2060, 2020RMB)'!$A$56:$BI$70,26,0)*(1+K40)^5</f>
        <v>42694.311659341889</v>
      </c>
      <c r="Q40" s="169">
        <f>VLOOKUP($B40,'增加值 (2001-2060, 2020RMB)'!$A$56:$BI$70,31,0)*(1+L40)^5</f>
        <v>53994.238402406081</v>
      </c>
      <c r="R40" s="169">
        <f>VLOOKUP($B40,'增加值 (2001-2060, 2020RMB)'!$A$56:$BI$70,36,0)*(1+M40)^15</f>
        <v>93932.236711605976</v>
      </c>
      <c r="S40" s="169">
        <f>VLOOKUP($B40,'增加值 (2001-2060, 2020RMB)'!$A$56:$BI$70,51,0)*(1+N40)^10</f>
        <v>113171.20730370958</v>
      </c>
    </row>
    <row r="41" spans="1:20" x14ac:dyDescent="0.2">
      <c r="A41" s="62"/>
      <c r="B41" s="62" t="s">
        <v>43</v>
      </c>
      <c r="C41" s="166">
        <f>(VLOOKUP($B41,'增加值 (2001-2060, 2020RMB)'!$A$56:$W$70,20,0)/VLOOKUP($B41,'增加值 (2001-2060, 2020RMB)'!$A$56:$W$70,17,0))^(1/3)-1</f>
        <v>0.10086430289678239</v>
      </c>
      <c r="D41" s="166">
        <f>(VLOOKUP($B41,'增加值 (2001-2060, 2020RMB)'!$A$56:$W$70,23,0)/VLOOKUP($B41,'增加值 (2001-2060, 2020RMB)'!$A$56:$W$70,20,0))^(1/3)-1</f>
        <v>-2.069199526272103E-2</v>
      </c>
      <c r="E41" s="167">
        <v>0.8</v>
      </c>
      <c r="F41" s="167">
        <v>0.8</v>
      </c>
      <c r="G41" s="167">
        <v>0.7</v>
      </c>
      <c r="H41" s="167">
        <v>0.5</v>
      </c>
      <c r="I41" s="167">
        <v>0.5</v>
      </c>
      <c r="J41" s="129">
        <f t="shared" si="4"/>
        <v>8.0691442317425921E-2</v>
      </c>
      <c r="K41" s="129">
        <f t="shared" si="3"/>
        <v>8.0691442317425921E-2</v>
      </c>
      <c r="L41" s="129">
        <f t="shared" si="3"/>
        <v>7.060501202774766E-2</v>
      </c>
      <c r="M41" s="129">
        <f t="shared" si="3"/>
        <v>5.0432151448391194E-2</v>
      </c>
      <c r="N41" s="129">
        <f t="shared" si="3"/>
        <v>5.0432151448391194E-2</v>
      </c>
      <c r="O41" s="169">
        <f>VLOOKUP($B41,'增加值 (2001-2060, 2020RMB)'!$A$56:$BI$70,23,0)*(1+J41)^3</f>
        <v>9697.6799668559506</v>
      </c>
      <c r="P41" s="169">
        <f>VLOOKUP($B41,'增加值 (2001-2060, 2020RMB)'!$A$56:$BI$70,26,0)*(1+K41)^5</f>
        <v>14321.17055455668</v>
      </c>
      <c r="Q41" s="169">
        <f>VLOOKUP($B41,'增加值 (2001-2060, 2020RMB)'!$A$56:$BI$70,31,0)*(1+L41)^5</f>
        <v>19835.050095819337</v>
      </c>
      <c r="R41" s="169">
        <f>VLOOKUP($B41,'增加值 (2001-2060, 2020RMB)'!$A$56:$BI$70,36,0)*(1+M41)^15</f>
        <v>39475.074933885444</v>
      </c>
      <c r="S41" s="169">
        <f>VLOOKUP($B41,'增加值 (2001-2060, 2020RMB)'!$A$56:$BI$70,51,0)*(1+N41)^10</f>
        <v>52022.656618817535</v>
      </c>
    </row>
    <row r="42" spans="1:20" x14ac:dyDescent="0.2">
      <c r="A42" s="62"/>
      <c r="B42" s="62" t="s">
        <v>44</v>
      </c>
      <c r="C42" s="166">
        <f>(VLOOKUP($B42,'增加值 (2001-2060, 2020RMB)'!$A$56:$W$70,20,0)/VLOOKUP($B42,'增加值 (2001-2060, 2020RMB)'!$A$56:$W$70,17,0))^(1/3)-1</f>
        <v>8.9033832957701176E-2</v>
      </c>
      <c r="D42" s="166">
        <f>(VLOOKUP($B42,'增加值 (2001-2060, 2020RMB)'!$A$56:$W$70,23,0)/VLOOKUP($B42,'增加值 (2001-2060, 2020RMB)'!$A$56:$W$70,20,0))^(1/3)-1</f>
        <v>4.1121647025851304E-2</v>
      </c>
      <c r="E42" s="167">
        <v>0.9</v>
      </c>
      <c r="F42" s="167">
        <v>0.85000000000000009</v>
      </c>
      <c r="G42" s="167">
        <v>0.75</v>
      </c>
      <c r="H42" s="167">
        <v>0.6</v>
      </c>
      <c r="I42" s="167">
        <v>0.6</v>
      </c>
      <c r="J42" s="129">
        <f t="shared" si="4"/>
        <v>8.0130449661931058E-2</v>
      </c>
      <c r="K42" s="129">
        <f t="shared" si="3"/>
        <v>7.5678758014046013E-2</v>
      </c>
      <c r="L42" s="129">
        <f t="shared" si="3"/>
        <v>6.6775374718275882E-2</v>
      </c>
      <c r="M42" s="129">
        <f t="shared" si="3"/>
        <v>5.3420299774620705E-2</v>
      </c>
      <c r="N42" s="129">
        <f t="shared" si="3"/>
        <v>5.3420299774620705E-2</v>
      </c>
      <c r="O42" s="169">
        <f>VLOOKUP($B42,'增加值 (2001-2060, 2020RMB)'!$A$56:$BI$70,23,0)*(1+J42)^3</f>
        <v>68323.863573090479</v>
      </c>
      <c r="P42" s="169">
        <f>VLOOKUP($B42,'增加值 (2001-2060, 2020RMB)'!$A$56:$BI$70,26,0)*(1+K42)^5</f>
        <v>98579.698617434566</v>
      </c>
      <c r="Q42" s="169">
        <f>VLOOKUP($B42,'增加值 (2001-2060, 2020RMB)'!$A$56:$BI$70,31,0)*(1+L42)^5</f>
        <v>134109.89410588131</v>
      </c>
      <c r="R42" s="169">
        <f>VLOOKUP($B42,'增加值 (2001-2060, 2020RMB)'!$A$56:$BI$70,36,0)*(1+M42)^15</f>
        <v>278519.51879599929</v>
      </c>
      <c r="S42" s="169">
        <f>VLOOKUP($B42,'增加值 (2001-2060, 2020RMB)'!$A$56:$BI$70,51,0)*(1+N42)^10</f>
        <v>377626.07060464873</v>
      </c>
    </row>
    <row r="43" spans="1:20" x14ac:dyDescent="0.2">
      <c r="B43"/>
      <c r="E43" s="168"/>
      <c r="F43" s="168"/>
      <c r="G43" s="168"/>
      <c r="H43" s="168"/>
      <c r="I43" s="168"/>
      <c r="K43" s="124"/>
      <c r="L43" s="124"/>
      <c r="M43" s="124"/>
      <c r="N43" s="124"/>
    </row>
    <row r="44" spans="1:20" x14ac:dyDescent="0.2">
      <c r="B44"/>
      <c r="K44" s="124"/>
      <c r="L44" s="124"/>
      <c r="M44" s="124"/>
      <c r="N44" s="124"/>
    </row>
    <row r="45" spans="1:20" x14ac:dyDescent="0.2">
      <c r="A45" s="182" t="s">
        <v>271</v>
      </c>
      <c r="B45" s="182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30"/>
    </row>
    <row r="46" spans="1:20" x14ac:dyDescent="0.2">
      <c r="A46" s="114"/>
      <c r="C46" s="162" t="s">
        <v>274</v>
      </c>
      <c r="D46" s="162" t="s">
        <v>275</v>
      </c>
      <c r="E46" s="171" t="s">
        <v>276</v>
      </c>
      <c r="F46" s="171" t="s">
        <v>277</v>
      </c>
      <c r="G46" s="171" t="s">
        <v>278</v>
      </c>
      <c r="H46" s="171" t="s">
        <v>279</v>
      </c>
      <c r="I46" s="171" t="s">
        <v>280</v>
      </c>
      <c r="J46" s="171" t="s">
        <v>281</v>
      </c>
      <c r="K46" s="171" t="s">
        <v>282</v>
      </c>
      <c r="L46" s="171" t="s">
        <v>283</v>
      </c>
      <c r="M46" s="171" t="s">
        <v>284</v>
      </c>
      <c r="N46" s="171" t="s">
        <v>285</v>
      </c>
      <c r="O46" s="171" t="s">
        <v>220</v>
      </c>
      <c r="P46" s="171" t="s">
        <v>221</v>
      </c>
      <c r="Q46" s="171" t="s">
        <v>222</v>
      </c>
      <c r="R46" s="171" t="s">
        <v>223</v>
      </c>
      <c r="S46" s="171" t="s">
        <v>224</v>
      </c>
    </row>
    <row r="47" spans="1:20" x14ac:dyDescent="0.2">
      <c r="A47" s="114"/>
      <c r="B47" s="97" t="s">
        <v>168</v>
      </c>
      <c r="C47" s="161">
        <f>(VLOOKUP(B47,'增加值 (2001-2060, 2020RMB)'!$A$13:$W$54,20,0)/VLOOKUP(B47,'增加值 (2001-2060, 2020RMB)'!$A$13:$W$54,17,0))^(1/3)-1</f>
        <v>5.1465407664526452E-2</v>
      </c>
      <c r="D47" s="160">
        <f>(VLOOKUP(B47,'增加值 (2001-2060, 2020RMB)'!$A$13:$W$54,23,0)/VLOOKUP(B47,'增加值 (2001-2060, 2020RMB)'!$A$13:$W$54,20,0))^(1/3)-1</f>
        <v>6.2058400554165782E-2</v>
      </c>
      <c r="E47" s="172"/>
      <c r="F47" s="173"/>
      <c r="G47" s="173"/>
      <c r="H47" s="173"/>
      <c r="I47" s="173"/>
      <c r="J47" s="163">
        <f>('增加值 (2001-2060, 2020RMB)'!Z13/'增加值 (2001-2060, 2020RMB)'!W13)^(1/3)-1</f>
        <v>3.5818118965766255E-2</v>
      </c>
      <c r="K47" s="163">
        <f>('增加值 (2001-2060, 2020RMB)'!AE13/'增加值 (2001-2060, 2020RMB)'!Z13)^0.2-1</f>
        <v>3.4473102688138635E-2</v>
      </c>
      <c r="L47" s="163">
        <f>('增加值 (2001-2060, 2020RMB)'!AJ13/'增加值 (2001-2060, 2020RMB)'!AE13)^0.2-1</f>
        <v>2.4076821263563586E-2</v>
      </c>
      <c r="M47" s="163">
        <f>('增加值 (2001-2060, 2020RMB)'!AY13/'增加值 (2001-2060, 2020RMB)'!AJ13)^(1/15)-1</f>
        <v>1.1405709183283985E-2</v>
      </c>
      <c r="N47" s="163">
        <f>('增加值 (2001-2060, 2020RMB)'!BI13/'增加值 (2001-2060, 2020RMB)'!AY13)^0.1-1</f>
        <v>2.0412143562413831E-3</v>
      </c>
      <c r="O47" s="164">
        <f>SUM(O48:O88)</f>
        <v>435099.36028083402</v>
      </c>
      <c r="P47" s="164">
        <f t="shared" ref="P47:S47" si="5">SUM(P48:P88)</f>
        <v>522623.55717181409</v>
      </c>
      <c r="Q47" s="164">
        <f t="shared" si="5"/>
        <v>608181.49326491589</v>
      </c>
      <c r="R47" s="164">
        <f t="shared" si="5"/>
        <v>922239.46613162302</v>
      </c>
      <c r="S47" s="164">
        <f t="shared" si="5"/>
        <v>896881.26801051293</v>
      </c>
    </row>
    <row r="48" spans="1:20" x14ac:dyDescent="0.15">
      <c r="A48" s="155" t="s">
        <v>225</v>
      </c>
      <c r="B48" s="158" t="s">
        <v>226</v>
      </c>
      <c r="C48" s="161">
        <f>(VLOOKUP(B48,'增加值 (2001-2060, 2020RMB)'!$A$13:$W$54,20,0)/VLOOKUP(B48,'增加值 (2001-2060, 2020RMB)'!$A$13:$W$54,17,0))^(1/3)-1</f>
        <v>8.507076768611288E-3</v>
      </c>
      <c r="D48" s="160">
        <f>(VLOOKUP(B48,'增加值 (2001-2060, 2020RMB)'!$A$13:$W$54,23,0)/VLOOKUP(B48,'增加值 (2001-2060, 2020RMB)'!$A$13:$W$54,20,0))^(1/3)-1</f>
        <v>6.2061126117941567E-2</v>
      </c>
      <c r="E48" s="172">
        <v>0.8</v>
      </c>
      <c r="F48" s="172">
        <v>0.8</v>
      </c>
      <c r="G48" s="172">
        <v>0.5</v>
      </c>
      <c r="H48" s="172">
        <v>0.3</v>
      </c>
      <c r="I48" s="172">
        <v>0.2</v>
      </c>
      <c r="J48" s="159">
        <f>AVERAGE($C48:$D48)*E48</f>
        <v>2.8227281154621142E-2</v>
      </c>
      <c r="K48" s="159">
        <f t="shared" ref="K48:N63" si="6">AVERAGE($C48:$D48)*F48</f>
        <v>2.8227281154621142E-2</v>
      </c>
      <c r="L48" s="159">
        <f t="shared" si="6"/>
        <v>1.7642050721638214E-2</v>
      </c>
      <c r="M48" s="159">
        <f t="shared" si="6"/>
        <v>1.0585230432982928E-2</v>
      </c>
      <c r="N48" s="159">
        <f t="shared" si="6"/>
        <v>7.0568202886552855E-3</v>
      </c>
      <c r="O48" s="165">
        <f>VLOOKUP(B48,'增加值 (2001-2060, 2020RMB)'!$A$14:$W$54,23,0)*(1+J48)^3</f>
        <v>19569.944919039062</v>
      </c>
      <c r="P48" s="165">
        <f>VLOOKUP(B48,'增加值 (2001-2060, 2020RMB)'!$A$14:$AE$54,26,0)*(1+K48)^5</f>
        <v>21577.351009355316</v>
      </c>
      <c r="Q48" s="165">
        <f>VLOOKUP(B48,'增加值 (2001-2060, 2020RMB)'!$A$14:$AE$54,31,0)*(1+L48)^5</f>
        <v>22280.849142908399</v>
      </c>
      <c r="R48" s="165">
        <f>VLOOKUP(B48,'增加值 (2001-2060, 2020RMB)'!$A$14:$AJ$54,36,0)*(1+M48)^15</f>
        <v>23894.766611419338</v>
      </c>
      <c r="S48" s="165">
        <f>VLOOKUP(B48,'增加值 (2001-2060, 2020RMB)'!$A$14:$AY$54,51,0)*(1+N48)^10</f>
        <v>18352.274896475024</v>
      </c>
    </row>
    <row r="49" spans="1:19" ht="15" x14ac:dyDescent="0.25">
      <c r="A49" s="156"/>
      <c r="B49" s="158" t="s">
        <v>227</v>
      </c>
      <c r="C49" s="161">
        <f>(VLOOKUP(B49,'增加值 (2001-2060, 2020RMB)'!$A$13:$W$54,20,0)/VLOOKUP(B49,'增加值 (2001-2060, 2020RMB)'!$A$13:$W$54,17,0))^(1/3)-1</f>
        <v>3.2675207571886133E-5</v>
      </c>
      <c r="D49" s="160">
        <f>(VLOOKUP(B49,'增加值 (2001-2060, 2020RMB)'!$A$13:$W$54,23,0)/VLOOKUP(B49,'增加值 (2001-2060, 2020RMB)'!$A$13:$W$54,20,0))^(1/3)-1</f>
        <v>4.1028013857423495E-2</v>
      </c>
      <c r="E49" s="172">
        <v>0.8</v>
      </c>
      <c r="F49" s="172">
        <v>0.8</v>
      </c>
      <c r="G49" s="172">
        <v>0.5</v>
      </c>
      <c r="H49" s="172">
        <v>0.5</v>
      </c>
      <c r="I49" s="172">
        <v>0.4</v>
      </c>
      <c r="J49" s="159">
        <f t="shared" ref="J49:J88" si="7">AVERAGE($C49:$D49)*E49</f>
        <v>1.6424275625998155E-2</v>
      </c>
      <c r="K49" s="159">
        <f t="shared" si="6"/>
        <v>1.6424275625998155E-2</v>
      </c>
      <c r="L49" s="159">
        <f t="shared" si="6"/>
        <v>1.0265172266248845E-2</v>
      </c>
      <c r="M49" s="159">
        <f t="shared" si="6"/>
        <v>1.0265172266248845E-2</v>
      </c>
      <c r="N49" s="159">
        <f t="shared" si="6"/>
        <v>8.2121378129990773E-3</v>
      </c>
      <c r="O49" s="165">
        <f>VLOOKUP(B49,'增加值 (2001-2060, 2020RMB)'!$A$14:$W$54,23,0)*(1+J49)^3</f>
        <v>12920.435534597742</v>
      </c>
      <c r="P49" s="165">
        <f>VLOOKUP(B49,'增加值 (2001-2060, 2020RMB)'!$A$14:$AE$54,26,0)*(1+K49)^5</f>
        <v>13446.684306660123</v>
      </c>
      <c r="Q49" s="165">
        <f>VLOOKUP(B49,'增加值 (2001-2060, 2020RMB)'!$A$14:$AE$54,31,0)*(1+L49)^5</f>
        <v>13389.072875806112</v>
      </c>
      <c r="R49" s="165">
        <f>VLOOKUP(B49,'增加值 (2001-2060, 2020RMB)'!$A$14:$AJ$54,36,0)*(1+M49)^15</f>
        <v>14290.850630391769</v>
      </c>
      <c r="S49" s="165">
        <f>VLOOKUP(B49,'增加值 (2001-2060, 2020RMB)'!$A$14:$AY$54,51,0)*(1+N49)^10</f>
        <v>11102.599092572831</v>
      </c>
    </row>
    <row r="50" spans="1:19" ht="15" x14ac:dyDescent="0.25">
      <c r="A50" s="156"/>
      <c r="B50" s="158" t="s">
        <v>267</v>
      </c>
      <c r="C50" s="161">
        <f>(VLOOKUP(B50,'增加值 (2001-2060, 2020RMB)'!$A$13:$W$54,20,0)/VLOOKUP(B50,'增加值 (2001-2060, 2020RMB)'!$A$13:$W$54,17,0))^(1/3)-1</f>
        <v>6.9325463225565986E-2</v>
      </c>
      <c r="D50" s="160">
        <f>(VLOOKUP(B50,'增加值 (2001-2060, 2020RMB)'!$A$13:$W$54,23,0)/VLOOKUP(B50,'增加值 (2001-2060, 2020RMB)'!$A$13:$W$54,20,0))^(1/3)-1</f>
        <v>6.7128509401518821E-2</v>
      </c>
      <c r="E50" s="172">
        <v>1</v>
      </c>
      <c r="F50" s="172">
        <v>1</v>
      </c>
      <c r="G50" s="172">
        <v>0.8</v>
      </c>
      <c r="H50" s="172">
        <v>0.5</v>
      </c>
      <c r="I50" s="172">
        <v>0.5</v>
      </c>
      <c r="J50" s="159">
        <f t="shared" si="7"/>
        <v>6.8226986313542404E-2</v>
      </c>
      <c r="K50" s="159">
        <f t="shared" si="6"/>
        <v>6.8226986313542404E-2</v>
      </c>
      <c r="L50" s="159">
        <f t="shared" si="6"/>
        <v>5.4581589050833927E-2</v>
      </c>
      <c r="M50" s="159">
        <f t="shared" si="6"/>
        <v>3.4113493156771202E-2</v>
      </c>
      <c r="N50" s="159">
        <f t="shared" si="6"/>
        <v>3.4113493156771202E-2</v>
      </c>
      <c r="O50" s="165">
        <f>VLOOKUP(B50,'增加值 (2001-2060, 2020RMB)'!$A$14:$W$54,23,0)*(1+J50)^3</f>
        <v>21296.176613128999</v>
      </c>
      <c r="P50" s="165">
        <f>VLOOKUP(B50,'增加值 (2001-2060, 2020RMB)'!$A$14:$AE$54,26,0)*(1+K50)^5</f>
        <v>28417.264969778749</v>
      </c>
      <c r="Q50" s="165">
        <f>VLOOKUP(B50,'增加值 (2001-2060, 2020RMB)'!$A$14:$AE$54,31,0)*(1+L50)^5</f>
        <v>35070.47044626197</v>
      </c>
      <c r="R50" s="165">
        <f>VLOOKUP(B50,'增加值 (2001-2060, 2020RMB)'!$A$14:$AJ$54,36,0)*(1+M50)^15</f>
        <v>53117.975886612541</v>
      </c>
      <c r="S50" s="165">
        <f>VLOOKUP(B50,'增加值 (2001-2060, 2020RMB)'!$A$14:$AY$54,51,0)*(1+N50)^10</f>
        <v>53182.766896368012</v>
      </c>
    </row>
    <row r="51" spans="1:19" ht="15" x14ac:dyDescent="0.25">
      <c r="A51" s="156"/>
      <c r="B51" s="158" t="s">
        <v>228</v>
      </c>
      <c r="C51" s="161">
        <f>(VLOOKUP(B51,'增加值 (2001-2060, 2020RMB)'!$A$13:$W$54,20,0)/VLOOKUP(B51,'增加值 (2001-2060, 2020RMB)'!$A$13:$W$54,17,0))^(1/3)-1</f>
        <v>0.12785054008628594</v>
      </c>
      <c r="D51" s="160">
        <f>(VLOOKUP(B51,'增加值 (2001-2060, 2020RMB)'!$A$13:$W$54,23,0)/VLOOKUP(B51,'增加值 (2001-2060, 2020RMB)'!$A$13:$W$54,20,0))^(1/3)-1</f>
        <v>8.7030245339022816E-2</v>
      </c>
      <c r="E51" s="172">
        <v>1</v>
      </c>
      <c r="F51" s="172">
        <v>1</v>
      </c>
      <c r="G51" s="172">
        <v>0.8</v>
      </c>
      <c r="H51" s="172">
        <v>0.5</v>
      </c>
      <c r="I51" s="172">
        <v>0.5</v>
      </c>
      <c r="J51" s="159">
        <f t="shared" si="7"/>
        <v>0.10744039271265438</v>
      </c>
      <c r="K51" s="159">
        <f t="shared" si="6"/>
        <v>0.10744039271265438</v>
      </c>
      <c r="L51" s="159">
        <f t="shared" si="6"/>
        <v>8.5952314170123501E-2</v>
      </c>
      <c r="M51" s="159">
        <f t="shared" si="6"/>
        <v>5.3720196356327188E-2</v>
      </c>
      <c r="N51" s="159">
        <f t="shared" si="6"/>
        <v>5.3720196356327188E-2</v>
      </c>
      <c r="O51" s="165">
        <f>VLOOKUP(B51,'增加值 (2001-2060, 2020RMB)'!$A$14:$W$54,23,0)*(1+J51)^3</f>
        <v>3347.9301131455663</v>
      </c>
      <c r="P51" s="165">
        <f>VLOOKUP(B51,'增加值 (2001-2060, 2020RMB)'!$A$14:$AE$54,26,0)*(1+K51)^5</f>
        <v>5349.843699965767</v>
      </c>
      <c r="Q51" s="165">
        <f>VLOOKUP(B51,'增加值 (2001-2060, 2020RMB)'!$A$14:$AE$54,31,0)*(1+L51)^5</f>
        <v>7644.5734702441023</v>
      </c>
      <c r="R51" s="165">
        <f>VLOOKUP(B51,'增加值 (2001-2060, 2020RMB)'!$A$14:$AJ$54,36,0)*(1+M51)^15</f>
        <v>15346.51166306312</v>
      </c>
      <c r="S51" s="165">
        <f>VLOOKUP(B51,'增加值 (2001-2060, 2020RMB)'!$A$14:$AY$54,51,0)*(1+N51)^10</f>
        <v>18540.014835237092</v>
      </c>
    </row>
    <row r="52" spans="1:19" ht="15" x14ac:dyDescent="0.25">
      <c r="A52" s="156"/>
      <c r="B52" s="158" t="s">
        <v>229</v>
      </c>
      <c r="C52" s="161">
        <f>(VLOOKUP(B52,'增加值 (2001-2060, 2020RMB)'!$A$13:$W$54,20,0)/VLOOKUP(B52,'增加值 (2001-2060, 2020RMB)'!$A$13:$W$54,17,0))^(1/3)-1</f>
        <v>6.7720746545205213E-2</v>
      </c>
      <c r="D52" s="160">
        <f>(VLOOKUP(B52,'增加值 (2001-2060, 2020RMB)'!$A$13:$W$54,23,0)/VLOOKUP(B52,'增加值 (2001-2060, 2020RMB)'!$A$13:$W$54,20,0))^(1/3)-1</f>
        <v>6.4716352530419963E-2</v>
      </c>
      <c r="E52" s="172">
        <v>1</v>
      </c>
      <c r="F52" s="172">
        <v>1</v>
      </c>
      <c r="G52" s="172">
        <v>0.8</v>
      </c>
      <c r="H52" s="172">
        <v>0.5</v>
      </c>
      <c r="I52" s="172">
        <v>0.5</v>
      </c>
      <c r="J52" s="159">
        <f t="shared" si="7"/>
        <v>6.6218549537812588E-2</v>
      </c>
      <c r="K52" s="159">
        <f t="shared" si="6"/>
        <v>6.6218549537812588E-2</v>
      </c>
      <c r="L52" s="159">
        <f t="shared" si="6"/>
        <v>5.297483963025007E-2</v>
      </c>
      <c r="M52" s="159">
        <f t="shared" si="6"/>
        <v>3.3109274768906294E-2</v>
      </c>
      <c r="N52" s="159">
        <f t="shared" si="6"/>
        <v>3.3109274768906294E-2</v>
      </c>
      <c r="O52" s="165">
        <f>VLOOKUP(B52,'增加值 (2001-2060, 2020RMB)'!$A$14:$W$54,23,0)*(1+J52)^3</f>
        <v>1574.031053931564</v>
      </c>
      <c r="P52" s="165">
        <f>VLOOKUP(B52,'增加值 (2001-2060, 2020RMB)'!$A$14:$AE$54,26,0)*(1+K52)^5</f>
        <v>2080.6899837697815</v>
      </c>
      <c r="Q52" s="165">
        <f>VLOOKUP(B52,'增加值 (2001-2060, 2020RMB)'!$A$14:$AE$54,31,0)*(1+L52)^5</f>
        <v>2548.3304051574214</v>
      </c>
      <c r="R52" s="165">
        <f>VLOOKUP(B52,'增加值 (2001-2060, 2020RMB)'!$A$14:$AJ$54,36,0)*(1+M52)^15</f>
        <v>3803.877265599931</v>
      </c>
      <c r="S52" s="165">
        <f>VLOOKUP(B52,'增加值 (2001-2060, 2020RMB)'!$A$14:$AY$54,51,0)*(1+N52)^10</f>
        <v>3771.6941007418745</v>
      </c>
    </row>
    <row r="53" spans="1:19" x14ac:dyDescent="0.15">
      <c r="A53" s="155" t="s">
        <v>230</v>
      </c>
      <c r="B53" s="158" t="s">
        <v>231</v>
      </c>
      <c r="C53" s="161">
        <f>(VLOOKUP(B53,'增加值 (2001-2060, 2020RMB)'!$A$13:$W$54,20,0)/VLOOKUP(B53,'增加值 (2001-2060, 2020RMB)'!$A$13:$W$54,17,0))^(1/3)-1</f>
        <v>1.1202932590575365E-2</v>
      </c>
      <c r="D53" s="160">
        <f>(VLOOKUP(B53,'增加值 (2001-2060, 2020RMB)'!$A$13:$W$54,23,0)/VLOOKUP(B53,'增加值 (2001-2060, 2020RMB)'!$A$13:$W$54,20,0))^(1/3)-1</f>
        <v>5.4812951575273772E-3</v>
      </c>
      <c r="E53" s="172">
        <v>0.7</v>
      </c>
      <c r="F53" s="172">
        <v>0.57499999999999996</v>
      </c>
      <c r="G53" s="172">
        <v>0.42499999999999999</v>
      </c>
      <c r="H53" s="172">
        <v>0.25</v>
      </c>
      <c r="I53" s="172">
        <v>0.15000000000000002</v>
      </c>
      <c r="J53" s="159">
        <f t="shared" si="7"/>
        <v>5.8394797118359598E-3</v>
      </c>
      <c r="K53" s="159">
        <f t="shared" si="6"/>
        <v>4.7967154775795384E-3</v>
      </c>
      <c r="L53" s="159">
        <f t="shared" si="6"/>
        <v>3.5453983964718327E-3</v>
      </c>
      <c r="M53" s="159">
        <f t="shared" si="6"/>
        <v>2.0855284685128428E-3</v>
      </c>
      <c r="N53" s="159">
        <f t="shared" si="6"/>
        <v>1.2513170811077059E-3</v>
      </c>
      <c r="O53" s="165">
        <f>VLOOKUP(B53,'增加值 (2001-2060, 2020RMB)'!$A$14:$W$54,23,0)*(1+J53)^3</f>
        <v>8262.9152622591428</v>
      </c>
      <c r="P53" s="165">
        <f>VLOOKUP(B53,'增加值 (2001-2060, 2020RMB)'!$A$14:$AE$54,26,0)*(1+K53)^5</f>
        <v>8118.7140168900478</v>
      </c>
      <c r="Q53" s="165">
        <f>VLOOKUP(B53,'增加值 (2001-2060, 2020RMB)'!$A$14:$AE$54,31,0)*(1+L53)^5</f>
        <v>7818.6316338218658</v>
      </c>
      <c r="R53" s="165">
        <f>VLOOKUP(B53,'增加值 (2001-2060, 2020RMB)'!$A$14:$AJ$54,36,0)*(1+M53)^15</f>
        <v>7387.1932516420466</v>
      </c>
      <c r="S53" s="165">
        <f>VLOOKUP(B53,'增加值 (2001-2060, 2020RMB)'!$A$14:$AY$54,51,0)*(1+N53)^10</f>
        <v>5354.979671405762</v>
      </c>
    </row>
    <row r="54" spans="1:19" ht="15" x14ac:dyDescent="0.25">
      <c r="A54" s="156"/>
      <c r="B54" s="158" t="s">
        <v>232</v>
      </c>
      <c r="C54" s="161">
        <f>(VLOOKUP(B54,'增加值 (2001-2060, 2020RMB)'!$A$13:$W$54,20,0)/VLOOKUP(B54,'增加值 (2001-2060, 2020RMB)'!$A$13:$W$54,17,0))^(1/3)-1</f>
        <v>2.69344232492299E-2</v>
      </c>
      <c r="D54" s="160">
        <f>(VLOOKUP(B54,'增加值 (2001-2060, 2020RMB)'!$A$13:$W$54,23,0)/VLOOKUP(B54,'增加值 (2001-2060, 2020RMB)'!$A$13:$W$54,20,0))^(1/3)-1</f>
        <v>-3.0027664574899804E-3</v>
      </c>
      <c r="E54" s="172">
        <v>0.7</v>
      </c>
      <c r="F54" s="172">
        <v>0.57499999999999996</v>
      </c>
      <c r="G54" s="172">
        <v>0.42499999999999999</v>
      </c>
      <c r="H54" s="172">
        <v>0.25</v>
      </c>
      <c r="I54" s="172">
        <v>0.15000000000000002</v>
      </c>
      <c r="J54" s="159">
        <f t="shared" si="7"/>
        <v>8.3760798771089703E-3</v>
      </c>
      <c r="K54" s="159">
        <f t="shared" si="6"/>
        <v>6.8803513276252263E-3</v>
      </c>
      <c r="L54" s="159">
        <f t="shared" si="6"/>
        <v>5.0854770682447325E-3</v>
      </c>
      <c r="M54" s="159">
        <f t="shared" si="6"/>
        <v>2.9914570989674899E-3</v>
      </c>
      <c r="N54" s="159">
        <f t="shared" si="6"/>
        <v>1.7948742593804942E-3</v>
      </c>
      <c r="O54" s="165">
        <f>VLOOKUP(B54,'增加值 (2001-2060, 2020RMB)'!$A$14:$W$54,23,0)*(1+J54)^3</f>
        <v>5274.5959696496429</v>
      </c>
      <c r="P54" s="165">
        <f>VLOOKUP(B54,'增加值 (2001-2060, 2020RMB)'!$A$14:$AE$54,26,0)*(1+K54)^5</f>
        <v>5236.5039936383318</v>
      </c>
      <c r="Q54" s="165">
        <f>VLOOKUP(B54,'增加值 (2001-2060, 2020RMB)'!$A$14:$AE$54,31,0)*(1+L54)^5</f>
        <v>5081.7677990689681</v>
      </c>
      <c r="R54" s="165">
        <f>VLOOKUP(B54,'增加值 (2001-2060, 2020RMB)'!$A$14:$AJ$54,36,0)*(1+M54)^15</f>
        <v>4866.8748582001335</v>
      </c>
      <c r="S54" s="165">
        <f>VLOOKUP(B54,'增加值 (2001-2060, 2020RMB)'!$A$14:$AY$54,51,0)*(1+N54)^10</f>
        <v>3547.1993345358023</v>
      </c>
    </row>
    <row r="55" spans="1:19" ht="15" x14ac:dyDescent="0.25">
      <c r="A55" s="156"/>
      <c r="B55" s="158" t="s">
        <v>233</v>
      </c>
      <c r="C55" s="161">
        <f>(VLOOKUP(B55,'增加值 (2001-2060, 2020RMB)'!$A$13:$W$54,20,0)/VLOOKUP(B55,'增加值 (2001-2060, 2020RMB)'!$A$13:$W$54,17,0))^(1/3)-1</f>
        <v>2.1415721542173971E-2</v>
      </c>
      <c r="D55" s="160">
        <f>(VLOOKUP(B55,'增加值 (2001-2060, 2020RMB)'!$A$13:$W$54,23,0)/VLOOKUP(B55,'增加值 (2001-2060, 2020RMB)'!$A$13:$W$54,20,0))^(1/3)-1</f>
        <v>3.0419244367445586E-2</v>
      </c>
      <c r="E55" s="172">
        <v>0.7</v>
      </c>
      <c r="F55" s="172">
        <v>0.57499999999999996</v>
      </c>
      <c r="G55" s="172">
        <v>0.42499999999999999</v>
      </c>
      <c r="H55" s="172">
        <v>0.25</v>
      </c>
      <c r="I55" s="172">
        <v>0.15000000000000002</v>
      </c>
      <c r="J55" s="159">
        <f t="shared" si="7"/>
        <v>1.8142238068366845E-2</v>
      </c>
      <c r="K55" s="159">
        <f t="shared" si="6"/>
        <v>1.4902552699015621E-2</v>
      </c>
      <c r="L55" s="159">
        <f t="shared" si="6"/>
        <v>1.1014930255794156E-2</v>
      </c>
      <c r="M55" s="159">
        <f t="shared" si="6"/>
        <v>6.4793707387024446E-3</v>
      </c>
      <c r="N55" s="159">
        <f t="shared" si="6"/>
        <v>3.8876224432214672E-3</v>
      </c>
      <c r="O55" s="165">
        <f>VLOOKUP(B55,'增加值 (2001-2060, 2020RMB)'!$A$14:$W$54,23,0)*(1+J55)^3</f>
        <v>4320.9604434417843</v>
      </c>
      <c r="P55" s="165">
        <f>VLOOKUP(B55,'增加值 (2001-2060, 2020RMB)'!$A$14:$AE$54,26,0)*(1+K55)^5</f>
        <v>4463.390920122828</v>
      </c>
      <c r="Q55" s="165">
        <f>VLOOKUP(B55,'增加值 (2001-2060, 2020RMB)'!$A$14:$AE$54,31,0)*(1+L55)^5</f>
        <v>4460.783652501781</v>
      </c>
      <c r="R55" s="165">
        <f>VLOOKUP(B55,'增加值 (2001-2060, 2020RMB)'!$A$14:$AJ$54,36,0)*(1+M55)^15</f>
        <v>4500.5042969792485</v>
      </c>
      <c r="S55" s="165">
        <f>VLOOKUP(B55,'增加值 (2001-2060, 2020RMB)'!$A$14:$AY$54,51,0)*(1+N55)^10</f>
        <v>3349.3423336723954</v>
      </c>
    </row>
    <row r="56" spans="1:19" ht="15" x14ac:dyDescent="0.25">
      <c r="A56" s="156"/>
      <c r="B56" s="157" t="s">
        <v>234</v>
      </c>
      <c r="C56" s="161">
        <f>(VLOOKUP(B56,'增加值 (2001-2060, 2020RMB)'!$A$13:$W$54,20,0)/VLOOKUP(B56,'增加值 (2001-2060, 2020RMB)'!$A$13:$W$54,17,0))^(1/3)-1</f>
        <v>4.3953138286075832E-2</v>
      </c>
      <c r="D56" s="160">
        <f>(VLOOKUP(B56,'增加值 (2001-2060, 2020RMB)'!$A$13:$W$54,23,0)/VLOOKUP(B56,'增加值 (2001-2060, 2020RMB)'!$A$13:$W$54,20,0))^(1/3)-1</f>
        <v>-4.8253326651807038E-3</v>
      </c>
      <c r="E56" s="172">
        <v>0.7</v>
      </c>
      <c r="F56" s="172">
        <v>0.57499999999999996</v>
      </c>
      <c r="G56" s="172">
        <v>0.42499999999999999</v>
      </c>
      <c r="H56" s="172">
        <v>0.25</v>
      </c>
      <c r="I56" s="172">
        <v>0.15000000000000002</v>
      </c>
      <c r="J56" s="159">
        <f t="shared" si="7"/>
        <v>1.3694731967313294E-2</v>
      </c>
      <c r="K56" s="159">
        <f t="shared" si="6"/>
        <v>1.1249244116007348E-2</v>
      </c>
      <c r="L56" s="159">
        <f t="shared" si="6"/>
        <v>8.3146586944402145E-3</v>
      </c>
      <c r="M56" s="159">
        <f t="shared" si="6"/>
        <v>4.8909757026118911E-3</v>
      </c>
      <c r="N56" s="159">
        <f t="shared" si="6"/>
        <v>2.9345854215671349E-3</v>
      </c>
      <c r="O56" s="165">
        <f>VLOOKUP(B56,'增加值 (2001-2060, 2020RMB)'!$A$14:$W$54,23,0)*(1+J56)^3</f>
        <v>6483.6559051743197</v>
      </c>
      <c r="P56" s="165">
        <f>VLOOKUP(B56,'增加值 (2001-2060, 2020RMB)'!$A$14:$AE$54,26,0)*(1+K56)^5</f>
        <v>6577.6978350024528</v>
      </c>
      <c r="Q56" s="165">
        <f>VLOOKUP(B56,'增加值 (2001-2060, 2020RMB)'!$A$14:$AE$54,31,0)*(1+L56)^5</f>
        <v>6486.5342117375476</v>
      </c>
      <c r="R56" s="165">
        <f>VLOOKUP(B56,'增加值 (2001-2060, 2020RMB)'!$A$14:$AJ$54,36,0)*(1+M56)^15</f>
        <v>6391.0726981685539</v>
      </c>
      <c r="S56" s="165">
        <f>VLOOKUP(B56,'增加值 (2001-2060, 2020RMB)'!$A$14:$AY$54,51,0)*(1+N56)^10</f>
        <v>4711.3698533297402</v>
      </c>
    </row>
    <row r="57" spans="1:19" ht="15" x14ac:dyDescent="0.25">
      <c r="A57" s="156"/>
      <c r="B57" s="157" t="s">
        <v>235</v>
      </c>
      <c r="C57" s="161">
        <f>(VLOOKUP(B57,'增加值 (2001-2060, 2020RMB)'!$A$13:$W$54,20,0)/VLOOKUP(B57,'增加值 (2001-2060, 2020RMB)'!$A$13:$W$54,17,0))^(1/3)-1</f>
        <v>3.0429296625402502E-2</v>
      </c>
      <c r="D57" s="160">
        <f>(VLOOKUP(B57,'增加值 (2001-2060, 2020RMB)'!$A$13:$W$54,23,0)/VLOOKUP(B57,'增加值 (2001-2060, 2020RMB)'!$A$13:$W$54,20,0))^(1/3)-1</f>
        <v>6.6952428340167458E-2</v>
      </c>
      <c r="E57" s="172">
        <v>0.7</v>
      </c>
      <c r="F57" s="172">
        <v>0.57499999999999996</v>
      </c>
      <c r="G57" s="172">
        <v>0.42499999999999999</v>
      </c>
      <c r="H57" s="172">
        <v>0.25</v>
      </c>
      <c r="I57" s="172">
        <v>0.15000000000000002</v>
      </c>
      <c r="J57" s="159">
        <f t="shared" si="7"/>
        <v>3.4083603737949483E-2</v>
      </c>
      <c r="K57" s="159">
        <f t="shared" si="6"/>
        <v>2.7997245927601361E-2</v>
      </c>
      <c r="L57" s="159">
        <f t="shared" si="6"/>
        <v>2.0693616555183616E-2</v>
      </c>
      <c r="M57" s="159">
        <f t="shared" si="6"/>
        <v>1.2172715620696245E-2</v>
      </c>
      <c r="N57" s="159">
        <f t="shared" si="6"/>
        <v>7.3036293724177484E-3</v>
      </c>
      <c r="O57" s="165">
        <f>VLOOKUP(B57,'增加值 (2001-2060, 2020RMB)'!$A$14:$W$54,23,0)*(1+J57)^3</f>
        <v>26594.836504551084</v>
      </c>
      <c r="P57" s="165">
        <f>VLOOKUP(B57,'增加值 (2001-2060, 2020RMB)'!$A$14:$AE$54,26,0)*(1+K57)^5</f>
        <v>29290.041792708369</v>
      </c>
      <c r="Q57" s="165">
        <f>VLOOKUP(B57,'增加值 (2001-2060, 2020RMB)'!$A$14:$AE$54,31,0)*(1+L57)^5</f>
        <v>30701.201646153724</v>
      </c>
      <c r="R57" s="165">
        <f>VLOOKUP(B57,'增加值 (2001-2060, 2020RMB)'!$A$14:$AJ$54,36,0)*(1+M57)^15</f>
        <v>33709.446356091561</v>
      </c>
      <c r="S57" s="165">
        <f>VLOOKUP(B57,'增加值 (2001-2060, 2020RMB)'!$A$14:$AY$54,51,0)*(1+N57)^10</f>
        <v>25953.920462963655</v>
      </c>
    </row>
    <row r="58" spans="1:19" ht="15" x14ac:dyDescent="0.25">
      <c r="A58" s="156"/>
      <c r="B58" s="158" t="s">
        <v>236</v>
      </c>
      <c r="C58" s="161">
        <f>(VLOOKUP(B58,'增加值 (2001-2060, 2020RMB)'!$A$13:$W$54,20,0)/VLOOKUP(B58,'增加值 (2001-2060, 2020RMB)'!$A$13:$W$54,17,0))^(1/3)-1</f>
        <v>7.3724697676555095E-2</v>
      </c>
      <c r="D58" s="160">
        <f>(VLOOKUP(B58,'增加值 (2001-2060, 2020RMB)'!$A$13:$W$54,23,0)/VLOOKUP(B58,'增加值 (2001-2060, 2020RMB)'!$A$13:$W$54,20,0))^(1/3)-1</f>
        <v>4.2588314219098589E-2</v>
      </c>
      <c r="E58" s="172">
        <v>0.7</v>
      </c>
      <c r="F58" s="172">
        <v>0.57499999999999996</v>
      </c>
      <c r="G58" s="172">
        <v>0.42499999999999999</v>
      </c>
      <c r="H58" s="172">
        <v>0.25</v>
      </c>
      <c r="I58" s="172">
        <v>0.15000000000000002</v>
      </c>
      <c r="J58" s="159">
        <f t="shared" si="7"/>
        <v>4.0709554163478788E-2</v>
      </c>
      <c r="K58" s="159">
        <f t="shared" si="6"/>
        <v>3.3439990920000433E-2</v>
      </c>
      <c r="L58" s="159">
        <f t="shared" si="6"/>
        <v>2.4716515027826406E-2</v>
      </c>
      <c r="M58" s="159">
        <f t="shared" si="6"/>
        <v>1.4539126486956711E-2</v>
      </c>
      <c r="N58" s="159">
        <f t="shared" si="6"/>
        <v>8.723475892174027E-3</v>
      </c>
      <c r="O58" s="165">
        <f>VLOOKUP(B58,'增加值 (2001-2060, 2020RMB)'!$A$14:$W$54,23,0)*(1+J58)^3</f>
        <v>2093.4000175542765</v>
      </c>
      <c r="P58" s="165">
        <f>VLOOKUP(B58,'增加值 (2001-2060, 2020RMB)'!$A$14:$AE$54,26,0)*(1+K58)^5</f>
        <v>2367.2354243948653</v>
      </c>
      <c r="Q58" s="165">
        <f>VLOOKUP(B58,'增加值 (2001-2060, 2020RMB)'!$A$14:$AE$54,31,0)*(1+L58)^5</f>
        <v>2530.5709530832464</v>
      </c>
      <c r="R58" s="165">
        <f>VLOOKUP(B58,'增加值 (2001-2060, 2020RMB)'!$A$14:$AJ$54,36,0)*(1+M58)^15</f>
        <v>2877.579829124988</v>
      </c>
      <c r="S58" s="165">
        <f>VLOOKUP(B58,'增加值 (2001-2060, 2020RMB)'!$A$14:$AY$54,51,0)*(1+N58)^10</f>
        <v>2246.9635379049773</v>
      </c>
    </row>
    <row r="59" spans="1:19" ht="15" x14ac:dyDescent="0.25">
      <c r="A59" s="156"/>
      <c r="B59" s="157" t="s">
        <v>237</v>
      </c>
      <c r="C59" s="161">
        <f>(VLOOKUP(B59,'增加值 (2001-2060, 2020RMB)'!$A$13:$W$54,20,0)/VLOOKUP(B59,'增加值 (2001-2060, 2020RMB)'!$A$13:$W$54,17,0))^(1/3)-1</f>
        <v>4.7039440342731886E-2</v>
      </c>
      <c r="D59" s="160">
        <f>(VLOOKUP(B59,'增加值 (2001-2060, 2020RMB)'!$A$13:$W$54,23,0)/VLOOKUP(B59,'增加值 (2001-2060, 2020RMB)'!$A$13:$W$54,20,0))^(1/3)-1</f>
        <v>3.8161551876011446E-2</v>
      </c>
      <c r="E59" s="172">
        <v>0.7</v>
      </c>
      <c r="F59" s="172">
        <v>0.57499999999999996</v>
      </c>
      <c r="G59" s="172">
        <v>0.42499999999999999</v>
      </c>
      <c r="H59" s="172">
        <v>0.25</v>
      </c>
      <c r="I59" s="172">
        <v>0.15000000000000002</v>
      </c>
      <c r="J59" s="159">
        <f t="shared" si="7"/>
        <v>2.9820347276560164E-2</v>
      </c>
      <c r="K59" s="159">
        <f t="shared" si="6"/>
        <v>2.4495285262888706E-2</v>
      </c>
      <c r="L59" s="159">
        <f t="shared" si="6"/>
        <v>1.8105210846482957E-2</v>
      </c>
      <c r="M59" s="159">
        <f t="shared" si="6"/>
        <v>1.0650124027342917E-2</v>
      </c>
      <c r="N59" s="159">
        <f t="shared" si="6"/>
        <v>6.390074416405751E-3</v>
      </c>
      <c r="O59" s="165">
        <f>VLOOKUP(B59,'增加值 (2001-2060, 2020RMB)'!$A$14:$W$54,23,0)*(1+J59)^3</f>
        <v>17610.318007721264</v>
      </c>
      <c r="P59" s="165">
        <f>VLOOKUP(B59,'增加值 (2001-2060, 2020RMB)'!$A$14:$AE$54,26,0)*(1+K59)^5</f>
        <v>19066.893022654189</v>
      </c>
      <c r="Q59" s="165">
        <f>VLOOKUP(B59,'增加值 (2001-2060, 2020RMB)'!$A$14:$AE$54,31,0)*(1+L59)^5</f>
        <v>19733.386425197554</v>
      </c>
      <c r="R59" s="165">
        <f>VLOOKUP(B59,'增加值 (2001-2060, 2020RMB)'!$A$14:$AJ$54,36,0)*(1+M59)^15</f>
        <v>21183.171281089264</v>
      </c>
      <c r="S59" s="165">
        <f>VLOOKUP(B59,'增加值 (2001-2060, 2020RMB)'!$A$14:$AY$54,51,0)*(1+N59)^10</f>
        <v>16162.248827934282</v>
      </c>
    </row>
    <row r="60" spans="1:19" ht="15" x14ac:dyDescent="0.25">
      <c r="A60" s="156"/>
      <c r="B60" s="157" t="s">
        <v>238</v>
      </c>
      <c r="C60" s="161">
        <f>(VLOOKUP(B60,'增加值 (2001-2060, 2020RMB)'!$A$13:$W$54,20,0)/VLOOKUP(B60,'增加值 (2001-2060, 2020RMB)'!$A$13:$W$54,17,0))^(1/3)-1</f>
        <v>4.6512456367293176E-2</v>
      </c>
      <c r="D60" s="160">
        <f>(VLOOKUP(B60,'增加值 (2001-2060, 2020RMB)'!$A$13:$W$54,23,0)/VLOOKUP(B60,'增加值 (2001-2060, 2020RMB)'!$A$13:$W$54,20,0))^(1/3)-1</f>
        <v>3.7900502191664298E-2</v>
      </c>
      <c r="E60" s="172">
        <v>0.7</v>
      </c>
      <c r="F60" s="172">
        <v>0.57499999999999996</v>
      </c>
      <c r="G60" s="172">
        <v>0.42499999999999999</v>
      </c>
      <c r="H60" s="172">
        <v>0.25</v>
      </c>
      <c r="I60" s="172">
        <v>0.15000000000000002</v>
      </c>
      <c r="J60" s="159">
        <f t="shared" si="7"/>
        <v>2.9544535495635113E-2</v>
      </c>
      <c r="K60" s="159">
        <f t="shared" si="6"/>
        <v>2.4268725585700271E-2</v>
      </c>
      <c r="L60" s="159">
        <f t="shared" si="6"/>
        <v>1.7937753693778462E-2</v>
      </c>
      <c r="M60" s="159">
        <f t="shared" si="6"/>
        <v>1.0551619819869684E-2</v>
      </c>
      <c r="N60" s="159">
        <f t="shared" si="6"/>
        <v>6.3309718919218111E-3</v>
      </c>
      <c r="O60" s="165">
        <f>VLOOKUP(B60,'增加值 (2001-2060, 2020RMB)'!$A$14:$W$54,23,0)*(1+J60)^3</f>
        <v>23465.488763231238</v>
      </c>
      <c r="P60" s="165">
        <f>VLOOKUP(B60,'增加值 (2001-2060, 2020RMB)'!$A$14:$AE$54,26,0)*(1+K60)^5</f>
        <v>25378.273738188367</v>
      </c>
      <c r="Q60" s="165">
        <f>VLOOKUP(B60,'增加值 (2001-2060, 2020RMB)'!$A$14:$AE$54,31,0)*(1+L60)^5</f>
        <v>26243.791369968596</v>
      </c>
      <c r="R60" s="165">
        <f>VLOOKUP(B60,'增加值 (2001-2060, 2020RMB)'!$A$14:$AJ$54,36,0)*(1+M60)^15</f>
        <v>28130.727750147194</v>
      </c>
      <c r="S60" s="165">
        <f>VLOOKUP(B60,'增加值 (2001-2060, 2020RMB)'!$A$14:$AY$54,51,0)*(1+N60)^10</f>
        <v>21450.465525502957</v>
      </c>
    </row>
    <row r="61" spans="1:19" ht="15" x14ac:dyDescent="0.25">
      <c r="A61" s="156"/>
      <c r="B61" s="157" t="s">
        <v>239</v>
      </c>
      <c r="C61" s="161">
        <f>(VLOOKUP(B61,'增加值 (2001-2060, 2020RMB)'!$A$13:$W$54,20,0)/VLOOKUP(B61,'增加值 (2001-2060, 2020RMB)'!$A$13:$W$54,17,0))^(1/3)-1</f>
        <v>5.1040412039642602E-2</v>
      </c>
      <c r="D61" s="160">
        <f>(VLOOKUP(B61,'增加值 (2001-2060, 2020RMB)'!$A$13:$W$54,23,0)/VLOOKUP(B61,'增加值 (2001-2060, 2020RMB)'!$A$13:$W$54,20,0))^(1/3)-1</f>
        <v>4.6563598012598018E-2</v>
      </c>
      <c r="E61" s="172">
        <v>0.7</v>
      </c>
      <c r="F61" s="172">
        <v>0.57499999999999996</v>
      </c>
      <c r="G61" s="172">
        <v>0.42499999999999999</v>
      </c>
      <c r="H61" s="172">
        <v>0.25</v>
      </c>
      <c r="I61" s="172">
        <v>0.15000000000000002</v>
      </c>
      <c r="J61" s="159">
        <f t="shared" si="7"/>
        <v>3.4161403518284214E-2</v>
      </c>
      <c r="K61" s="159">
        <f t="shared" si="6"/>
        <v>2.8061152890019175E-2</v>
      </c>
      <c r="L61" s="159">
        <f t="shared" si="6"/>
        <v>2.0740852136101131E-2</v>
      </c>
      <c r="M61" s="159">
        <f t="shared" si="6"/>
        <v>1.2200501256530077E-2</v>
      </c>
      <c r="N61" s="159">
        <f t="shared" si="6"/>
        <v>7.3203007539180479E-3</v>
      </c>
      <c r="O61" s="165">
        <f>VLOOKUP(B61,'增加值 (2001-2060, 2020RMB)'!$A$14:$W$54,23,0)*(1+J61)^3</f>
        <v>14604.363296335459</v>
      </c>
      <c r="P61" s="165">
        <f>VLOOKUP(B61,'增加值 (2001-2060, 2020RMB)'!$A$14:$AE$54,26,0)*(1+K61)^5</f>
        <v>16089.416085173383</v>
      </c>
      <c r="Q61" s="165">
        <f>VLOOKUP(B61,'增加值 (2001-2060, 2020RMB)'!$A$14:$AE$54,31,0)*(1+L61)^5</f>
        <v>16868.487928792165</v>
      </c>
      <c r="R61" s="165">
        <f>VLOOKUP(B61,'增加值 (2001-2060, 2020RMB)'!$A$14:$AJ$54,36,0)*(1+M61)^15</f>
        <v>18528.967869820466</v>
      </c>
      <c r="S61" s="165">
        <f>VLOOKUP(B61,'增加值 (2001-2060, 2020RMB)'!$A$14:$AY$54,51,0)*(1+N61)^10</f>
        <v>14268.373038906375</v>
      </c>
    </row>
    <row r="62" spans="1:19" x14ac:dyDescent="0.15">
      <c r="A62" s="155" t="s">
        <v>240</v>
      </c>
      <c r="B62" s="158" t="s">
        <v>241</v>
      </c>
      <c r="C62" s="161">
        <f>(VLOOKUP(B62,'增加值 (2001-2060, 2020RMB)'!$A$13:$W$54,20,0)/VLOOKUP(B62,'增加值 (2001-2060, 2020RMB)'!$A$13:$W$54,17,0))^(1/3)-1</f>
        <v>3.8478237653810199E-2</v>
      </c>
      <c r="D62" s="160">
        <f>(VLOOKUP(B62,'增加值 (2001-2060, 2020RMB)'!$A$13:$W$54,23,0)/VLOOKUP(B62,'增加值 (2001-2060, 2020RMB)'!$A$13:$W$54,20,0))^(1/3)-1</f>
        <v>3.0088112665055178E-2</v>
      </c>
      <c r="E62" s="172">
        <v>0.7</v>
      </c>
      <c r="F62" s="172">
        <v>0.5</v>
      </c>
      <c r="G62" s="172">
        <v>0.4</v>
      </c>
      <c r="H62" s="172">
        <v>0.25</v>
      </c>
      <c r="I62" s="172">
        <v>0.2</v>
      </c>
      <c r="J62" s="159">
        <f t="shared" si="7"/>
        <v>2.3998222611602879E-2</v>
      </c>
      <c r="K62" s="159">
        <f t="shared" si="6"/>
        <v>1.7141587579716344E-2</v>
      </c>
      <c r="L62" s="159">
        <f t="shared" si="6"/>
        <v>1.3713270063773077E-2</v>
      </c>
      <c r="M62" s="159">
        <f t="shared" si="6"/>
        <v>8.5707937898581721E-3</v>
      </c>
      <c r="N62" s="159">
        <f t="shared" si="6"/>
        <v>6.8566350318865384E-3</v>
      </c>
      <c r="O62" s="165">
        <f>VLOOKUP(B62,'增加值 (2001-2060, 2020RMB)'!$A$14:$W$54,23,0)*(1+J62)^3</f>
        <v>12865.168475545936</v>
      </c>
      <c r="P62" s="165">
        <f>VLOOKUP(B62,'增加值 (2001-2060, 2020RMB)'!$A$14:$AE$54,26,0)*(1+K62)^5</f>
        <v>13436.478032199037</v>
      </c>
      <c r="Q62" s="165">
        <f>VLOOKUP(B62,'增加值 (2001-2060, 2020RMB)'!$A$14:$AE$54,31,0)*(1+L62)^5</f>
        <v>13608.789426881111</v>
      </c>
      <c r="R62" s="165">
        <f>VLOOKUP(B62,'增加值 (2001-2060, 2020RMB)'!$A$14:$AJ$54,36,0)*(1+M62)^15</f>
        <v>14164.20365670156</v>
      </c>
      <c r="S62" s="165">
        <f>VLOOKUP(B62,'增加值 (2001-2060, 2020RMB)'!$A$14:$AY$54,51,0)*(1+N62)^10</f>
        <v>10857.151256182959</v>
      </c>
    </row>
    <row r="63" spans="1:19" ht="15" x14ac:dyDescent="0.25">
      <c r="A63" s="156"/>
      <c r="B63" s="158" t="s">
        <v>242</v>
      </c>
      <c r="C63" s="161">
        <f>(VLOOKUP(B63,'增加值 (2001-2060, 2020RMB)'!$A$13:$W$54,20,0)/VLOOKUP(B63,'增加值 (2001-2060, 2020RMB)'!$A$13:$W$54,17,0))^(1/3)-1</f>
        <v>6.0041288590014119E-2</v>
      </c>
      <c r="D63" s="160">
        <f>(VLOOKUP(B63,'增加值 (2001-2060, 2020RMB)'!$A$13:$W$54,23,0)/VLOOKUP(B63,'增加值 (2001-2060, 2020RMB)'!$A$13:$W$54,20,0))^(1/3)-1</f>
        <v>4.6893213334837647E-2</v>
      </c>
      <c r="E63" s="172">
        <v>0.7</v>
      </c>
      <c r="F63" s="172">
        <v>0.5</v>
      </c>
      <c r="G63" s="172">
        <v>0.4</v>
      </c>
      <c r="H63" s="172">
        <v>0.3</v>
      </c>
      <c r="I63" s="172">
        <v>0.2</v>
      </c>
      <c r="J63" s="159">
        <f t="shared" si="7"/>
        <v>3.7427075673698115E-2</v>
      </c>
      <c r="K63" s="159">
        <f t="shared" si="6"/>
        <v>2.6733625481212941E-2</v>
      </c>
      <c r="L63" s="159">
        <f t="shared" si="6"/>
        <v>2.1386900384970355E-2</v>
      </c>
      <c r="M63" s="159">
        <f t="shared" si="6"/>
        <v>1.6040175288727764E-2</v>
      </c>
      <c r="N63" s="159">
        <f t="shared" si="6"/>
        <v>1.0693450192485177E-2</v>
      </c>
      <c r="O63" s="165">
        <f>VLOOKUP(B63,'增加值 (2001-2060, 2020RMB)'!$A$14:$W$54,23,0)*(1+J63)^3</f>
        <v>7400.311414477721</v>
      </c>
      <c r="P63" s="165">
        <f>VLOOKUP(B63,'增加值 (2001-2060, 2020RMB)'!$A$14:$AE$54,26,0)*(1+K63)^5</f>
        <v>8100.3136140164406</v>
      </c>
      <c r="Q63" s="165">
        <f>VLOOKUP(B63,'增加值 (2001-2060, 2020RMB)'!$A$14:$AE$54,31,0)*(1+L63)^5</f>
        <v>8519.4516144322206</v>
      </c>
      <c r="R63" s="165">
        <f>VLOOKUP(B63,'增加值 (2001-2060, 2020RMB)'!$A$14:$AJ$54,36,0)*(1+M63)^15</f>
        <v>9904.9367086000675</v>
      </c>
      <c r="S63" s="165">
        <f>VLOOKUP(B63,'增加值 (2001-2060, 2020RMB)'!$A$14:$AY$54,51,0)*(1+N63)^10</f>
        <v>7886.6683749472841</v>
      </c>
    </row>
    <row r="64" spans="1:19" ht="15" x14ac:dyDescent="0.25">
      <c r="A64" s="156"/>
      <c r="B64" s="158" t="s">
        <v>243</v>
      </c>
      <c r="C64" s="161">
        <f>(VLOOKUP(B64,'增加值 (2001-2060, 2020RMB)'!$A$13:$W$54,20,0)/VLOOKUP(B64,'增加值 (2001-2060, 2020RMB)'!$A$13:$W$54,17,0))^(1/3)-1</f>
        <v>6.5041663653590875E-2</v>
      </c>
      <c r="D64" s="160">
        <f>(VLOOKUP(B64,'增加值 (2001-2060, 2020RMB)'!$A$13:$W$54,23,0)/VLOOKUP(B64,'增加值 (2001-2060, 2020RMB)'!$A$13:$W$54,20,0))^(1/3)-1</f>
        <v>5.3855301278841861E-2</v>
      </c>
      <c r="E64" s="172">
        <v>0.7</v>
      </c>
      <c r="F64" s="172">
        <v>0.5</v>
      </c>
      <c r="G64" s="172">
        <v>0.4</v>
      </c>
      <c r="H64" s="172">
        <v>0.3</v>
      </c>
      <c r="I64" s="172">
        <v>0.2</v>
      </c>
      <c r="J64" s="159">
        <f t="shared" si="7"/>
        <v>4.1613937726351455E-2</v>
      </c>
      <c r="K64" s="159">
        <f t="shared" ref="K64:K88" si="8">AVERAGE($C64:$D64)*F64</f>
        <v>2.9724241233108184E-2</v>
      </c>
      <c r="L64" s="159">
        <f t="shared" ref="L64:L88" si="9">AVERAGE($C64:$D64)*G64</f>
        <v>2.3779392986486549E-2</v>
      </c>
      <c r="M64" s="159">
        <f t="shared" ref="M64:M88" si="10">AVERAGE($C64:$D64)*H64</f>
        <v>1.783454473986491E-2</v>
      </c>
      <c r="N64" s="159">
        <f t="shared" ref="N64:N88" si="11">AVERAGE($C64:$D64)*I64</f>
        <v>1.1889696493243274E-2</v>
      </c>
      <c r="O64" s="165">
        <f>VLOOKUP(B64,'增加值 (2001-2060, 2020RMB)'!$A$14:$W$54,23,0)*(1+J64)^3</f>
        <v>8218.2868008334754</v>
      </c>
      <c r="P64" s="165">
        <f>VLOOKUP(B64,'增加值 (2001-2060, 2020RMB)'!$A$14:$AE$54,26,0)*(1+K64)^5</f>
        <v>9127.4379228904272</v>
      </c>
      <c r="Q64" s="165">
        <f>VLOOKUP(B64,'增加值 (2001-2060, 2020RMB)'!$A$14:$AE$54,31,0)*(1+L64)^5</f>
        <v>9712.6825741151351</v>
      </c>
      <c r="R64" s="165">
        <f>VLOOKUP(B64,'增加值 (2001-2060, 2020RMB)'!$A$14:$AJ$54,36,0)*(1+M64)^15</f>
        <v>11595.082578313413</v>
      </c>
      <c r="S64" s="165">
        <f>VLOOKUP(B64,'增加值 (2001-2060, 2020RMB)'!$A$14:$AY$54,51,0)*(1+N64)^10</f>
        <v>9342.281424791543</v>
      </c>
    </row>
    <row r="65" spans="1:19" ht="15" x14ac:dyDescent="0.25">
      <c r="A65" s="156"/>
      <c r="B65" s="158" t="s">
        <v>244</v>
      </c>
      <c r="C65" s="161">
        <f>(VLOOKUP(B65,'增加值 (2001-2060, 2020RMB)'!$A$13:$W$54,20,0)/VLOOKUP(B65,'增加值 (2001-2060, 2020RMB)'!$A$13:$W$54,17,0))^(1/3)-1</f>
        <v>3.8972978413204906E-2</v>
      </c>
      <c r="D65" s="160">
        <f>(VLOOKUP(B65,'增加值 (2001-2060, 2020RMB)'!$A$13:$W$54,23,0)/VLOOKUP(B65,'增加值 (2001-2060, 2020RMB)'!$A$13:$W$54,20,0))^(1/3)-1</f>
        <v>5.3533902155058266E-2</v>
      </c>
      <c r="E65" s="172">
        <v>0.7</v>
      </c>
      <c r="F65" s="172">
        <v>0.5</v>
      </c>
      <c r="G65" s="172">
        <v>0.4</v>
      </c>
      <c r="H65" s="172">
        <v>0.3</v>
      </c>
      <c r="I65" s="172">
        <v>0.2</v>
      </c>
      <c r="J65" s="159">
        <f t="shared" si="7"/>
        <v>3.2377408198892108E-2</v>
      </c>
      <c r="K65" s="159">
        <f t="shared" si="8"/>
        <v>2.3126720142065793E-2</v>
      </c>
      <c r="L65" s="159">
        <f t="shared" si="9"/>
        <v>1.8501376113652636E-2</v>
      </c>
      <c r="M65" s="159">
        <f t="shared" si="10"/>
        <v>1.3876032085239475E-2</v>
      </c>
      <c r="N65" s="159">
        <f t="shared" si="11"/>
        <v>9.2506880568263179E-3</v>
      </c>
      <c r="O65" s="165">
        <f>VLOOKUP(B65,'增加值 (2001-2060, 2020RMB)'!$A$14:$W$54,23,0)*(1+J65)^3</f>
        <v>9924.2040539720856</v>
      </c>
      <c r="P65" s="165">
        <f>VLOOKUP(B65,'增加值 (2001-2060, 2020RMB)'!$A$14:$AE$54,26,0)*(1+K65)^5</f>
        <v>10673.4723829837</v>
      </c>
      <c r="Q65" s="165">
        <f>VLOOKUP(B65,'增加值 (2001-2060, 2020RMB)'!$A$14:$AE$54,31,0)*(1+L65)^5</f>
        <v>11068.078242819167</v>
      </c>
      <c r="R65" s="165">
        <f>VLOOKUP(B65,'增加值 (2001-2060, 2020RMB)'!$A$14:$AJ$54,36,0)*(1+M65)^15</f>
        <v>12462.980659540308</v>
      </c>
      <c r="S65" s="165">
        <f>VLOOKUP(B65,'增加值 (2001-2060, 2020RMB)'!$A$14:$AY$54,51,0)*(1+N65)^10</f>
        <v>9782.7245404276819</v>
      </c>
    </row>
    <row r="66" spans="1:19" ht="15" x14ac:dyDescent="0.25">
      <c r="A66" s="156"/>
      <c r="B66" s="158" t="s">
        <v>245</v>
      </c>
      <c r="C66" s="161">
        <f>(VLOOKUP(B66,'增加值 (2001-2060, 2020RMB)'!$A$13:$W$54,20,0)/VLOOKUP(B66,'增加值 (2001-2060, 2020RMB)'!$A$13:$W$54,17,0))^(1/3)-1</f>
        <v>2.805962569093623E-2</v>
      </c>
      <c r="D66" s="160">
        <f>(VLOOKUP(B66,'增加值 (2001-2060, 2020RMB)'!$A$13:$W$54,23,0)/VLOOKUP(B66,'增加值 (2001-2060, 2020RMB)'!$A$13:$W$54,20,0))^(1/3)-1</f>
        <v>-7.6523101069775334E-3</v>
      </c>
      <c r="E66" s="172">
        <v>0.7</v>
      </c>
      <c r="F66" s="172">
        <v>0.5</v>
      </c>
      <c r="G66" s="172">
        <v>0.4</v>
      </c>
      <c r="H66" s="172">
        <v>0.3</v>
      </c>
      <c r="I66" s="172">
        <v>0.2</v>
      </c>
      <c r="J66" s="159">
        <f t="shared" si="7"/>
        <v>7.1425604543855431E-3</v>
      </c>
      <c r="K66" s="159">
        <f t="shared" si="8"/>
        <v>5.101828895989674E-3</v>
      </c>
      <c r="L66" s="159">
        <f t="shared" si="9"/>
        <v>4.0814631167917391E-3</v>
      </c>
      <c r="M66" s="159">
        <f t="shared" si="10"/>
        <v>3.0610973375938045E-3</v>
      </c>
      <c r="N66" s="159">
        <f t="shared" si="11"/>
        <v>2.0407315583958695E-3</v>
      </c>
      <c r="O66" s="165">
        <f>VLOOKUP(B66,'增加值 (2001-2060, 2020RMB)'!$A$14:$W$54,23,0)*(1+J66)^3</f>
        <v>3427.7753595399113</v>
      </c>
      <c r="P66" s="165">
        <f>VLOOKUP(B66,'增加值 (2001-2060, 2020RMB)'!$A$14:$AE$54,26,0)*(1+K66)^5</f>
        <v>3373.0717513451573</v>
      </c>
      <c r="Q66" s="165">
        <f>VLOOKUP(B66,'增加值 (2001-2060, 2020RMB)'!$A$14:$AE$54,31,0)*(1+L66)^5</f>
        <v>3257.0821755399484</v>
      </c>
      <c r="R66" s="165">
        <f>VLOOKUP(B66,'增加值 (2001-2060, 2020RMB)'!$A$14:$AJ$54,36,0)*(1+M66)^15</f>
        <v>3122.6001416498957</v>
      </c>
      <c r="S66" s="165">
        <f>VLOOKUP(B66,'增加值 (2001-2060, 2020RMB)'!$A$14:$AY$54,51,0)*(1+N66)^10</f>
        <v>2281.4843333032677</v>
      </c>
    </row>
    <row r="67" spans="1:19" ht="15" x14ac:dyDescent="0.25">
      <c r="A67" s="156"/>
      <c r="B67" s="158" t="s">
        <v>246</v>
      </c>
      <c r="C67" s="161">
        <f>(VLOOKUP(B67,'增加值 (2001-2060, 2020RMB)'!$A$13:$W$54,20,0)/VLOOKUP(B67,'增加值 (2001-2060, 2020RMB)'!$A$13:$W$54,17,0))^(1/3)-1</f>
        <v>2.7321656461441357E-2</v>
      </c>
      <c r="D67" s="160">
        <f>(VLOOKUP(B67,'增加值 (2001-2060, 2020RMB)'!$A$13:$W$54,23,0)/VLOOKUP(B67,'增加值 (2001-2060, 2020RMB)'!$A$13:$W$54,20,0))^(1/3)-1</f>
        <v>3.3080810164053176E-2</v>
      </c>
      <c r="E67" s="172">
        <v>0.7</v>
      </c>
      <c r="F67" s="172">
        <v>0.5</v>
      </c>
      <c r="G67" s="172">
        <v>0.4</v>
      </c>
      <c r="H67" s="172">
        <v>0.3</v>
      </c>
      <c r="I67" s="172">
        <v>0.2</v>
      </c>
      <c r="J67" s="159">
        <f t="shared" si="7"/>
        <v>2.1140863318923085E-2</v>
      </c>
      <c r="K67" s="159">
        <f t="shared" si="8"/>
        <v>1.5100616656373633E-2</v>
      </c>
      <c r="L67" s="159">
        <f t="shared" si="9"/>
        <v>1.2080493325098907E-2</v>
      </c>
      <c r="M67" s="159">
        <f t="shared" si="10"/>
        <v>9.0603699938241796E-3</v>
      </c>
      <c r="N67" s="159">
        <f t="shared" si="11"/>
        <v>6.0402466625494537E-3</v>
      </c>
      <c r="O67" s="165">
        <f>VLOOKUP(B67,'增加值 (2001-2060, 2020RMB)'!$A$14:$W$54,23,0)*(1+J67)^3</f>
        <v>3267.8927902260921</v>
      </c>
      <c r="P67" s="165">
        <f>VLOOKUP(B67,'增加值 (2001-2060, 2020RMB)'!$A$14:$AE$54,26,0)*(1+K67)^5</f>
        <v>3378.9064588384267</v>
      </c>
      <c r="Q67" s="165">
        <f>VLOOKUP(B67,'增加值 (2001-2060, 2020RMB)'!$A$14:$AE$54,31,0)*(1+L67)^5</f>
        <v>3394.7658944689656</v>
      </c>
      <c r="R67" s="165">
        <f>VLOOKUP(B67,'增加值 (2001-2060, 2020RMB)'!$A$14:$AJ$54,36,0)*(1+M67)^15</f>
        <v>3559.1306668364714</v>
      </c>
      <c r="S67" s="165">
        <f>VLOOKUP(B67,'增加值 (2001-2060, 2020RMB)'!$A$14:$AY$54,51,0)*(1+N67)^10</f>
        <v>2706.1062550075726</v>
      </c>
    </row>
    <row r="68" spans="1:19" ht="15" x14ac:dyDescent="0.25">
      <c r="A68" s="156"/>
      <c r="B68" s="158" t="s">
        <v>247</v>
      </c>
      <c r="C68" s="161">
        <f>(VLOOKUP(B68,'增加值 (2001-2060, 2020RMB)'!$A$13:$W$54,20,0)/VLOOKUP(B68,'增加值 (2001-2060, 2020RMB)'!$A$13:$W$54,17,0))^(1/3)-1</f>
        <v>4.9172685554043749E-2</v>
      </c>
      <c r="D68" s="160">
        <f>(VLOOKUP(B68,'增加值 (2001-2060, 2020RMB)'!$A$13:$W$54,23,0)/VLOOKUP(B68,'增加值 (2001-2060, 2020RMB)'!$A$13:$W$54,20,0))^(1/3)-1</f>
        <v>7.9168483237206377E-3</v>
      </c>
      <c r="E68" s="172">
        <v>0.7</v>
      </c>
      <c r="F68" s="172">
        <v>0.5</v>
      </c>
      <c r="G68" s="172">
        <v>0.4</v>
      </c>
      <c r="H68" s="172">
        <v>0.3</v>
      </c>
      <c r="I68" s="172">
        <v>0.2</v>
      </c>
      <c r="J68" s="159">
        <f t="shared" si="7"/>
        <v>1.9981336857217535E-2</v>
      </c>
      <c r="K68" s="159">
        <f t="shared" si="8"/>
        <v>1.4272383469441097E-2</v>
      </c>
      <c r="L68" s="159">
        <f t="shared" si="9"/>
        <v>1.1417906775552877E-2</v>
      </c>
      <c r="M68" s="159">
        <f t="shared" si="10"/>
        <v>8.563430081664658E-3</v>
      </c>
      <c r="N68" s="159">
        <f t="shared" si="11"/>
        <v>5.7089533877764387E-3</v>
      </c>
      <c r="O68" s="165">
        <f>VLOOKUP(B68,'增加值 (2001-2060, 2020RMB)'!$A$14:$W$54,23,0)*(1+J68)^3</f>
        <v>1912.3334990883588</v>
      </c>
      <c r="P68" s="165">
        <f>VLOOKUP(B68,'增加值 (2001-2060, 2020RMB)'!$A$14:$AE$54,26,0)*(1+K68)^5</f>
        <v>1969.244073617979</v>
      </c>
      <c r="Q68" s="165">
        <f>VLOOKUP(B68,'增加值 (2001-2060, 2020RMB)'!$A$14:$AE$54,31,0)*(1+L68)^5</f>
        <v>1972.0191517261303</v>
      </c>
      <c r="R68" s="165">
        <f>VLOOKUP(B68,'增加值 (2001-2060, 2020RMB)'!$A$14:$AJ$54,36,0)*(1+M68)^15</f>
        <v>2052.2782095603689</v>
      </c>
      <c r="S68" s="165">
        <f>VLOOKUP(B68,'增加值 (2001-2060, 2020RMB)'!$A$14:$AY$54,51,0)*(1+N68)^10</f>
        <v>1555.2734599048024</v>
      </c>
    </row>
    <row r="69" spans="1:19" ht="15" x14ac:dyDescent="0.25">
      <c r="A69" s="156"/>
      <c r="B69" s="158" t="s">
        <v>248</v>
      </c>
      <c r="C69" s="161">
        <f>(VLOOKUP(B69,'增加值 (2001-2060, 2020RMB)'!$A$13:$W$54,20,0)/VLOOKUP(B69,'增加值 (2001-2060, 2020RMB)'!$A$13:$W$54,17,0))^(1/3)-1</f>
        <v>5.3112706149011091E-2</v>
      </c>
      <c r="D69" s="160">
        <f>(VLOOKUP(B69,'增加值 (2001-2060, 2020RMB)'!$A$13:$W$54,23,0)/VLOOKUP(B69,'增加值 (2001-2060, 2020RMB)'!$A$13:$W$54,20,0))^(1/3)-1</f>
        <v>3.8330072814003913E-2</v>
      </c>
      <c r="E69" s="172">
        <v>0.7</v>
      </c>
      <c r="F69" s="172">
        <v>0.5</v>
      </c>
      <c r="G69" s="172">
        <v>0.4</v>
      </c>
      <c r="H69" s="172">
        <v>0.3</v>
      </c>
      <c r="I69" s="172">
        <v>0.2</v>
      </c>
      <c r="J69" s="159">
        <f t="shared" si="7"/>
        <v>3.2004972637055248E-2</v>
      </c>
      <c r="K69" s="159">
        <f t="shared" si="8"/>
        <v>2.2860694740753751E-2</v>
      </c>
      <c r="L69" s="159">
        <f t="shared" si="9"/>
        <v>1.8288555792603002E-2</v>
      </c>
      <c r="M69" s="159">
        <f t="shared" si="10"/>
        <v>1.371641684445225E-2</v>
      </c>
      <c r="N69" s="159">
        <f t="shared" si="11"/>
        <v>9.144277896301501E-3</v>
      </c>
      <c r="O69" s="165">
        <f>VLOOKUP(B69,'增加值 (2001-2060, 2020RMB)'!$A$14:$W$54,23,0)*(1+J69)^3</f>
        <v>2141.035192325126</v>
      </c>
      <c r="P69" s="165">
        <f>VLOOKUP(B69,'增加值 (2001-2060, 2020RMB)'!$A$14:$AE$54,26,0)*(1+K69)^5</f>
        <v>2299.6893214691386</v>
      </c>
      <c r="Q69" s="165">
        <f>VLOOKUP(B69,'增加值 (2001-2060, 2020RMB)'!$A$14:$AE$54,31,0)*(1+L69)^5</f>
        <v>2382.2200326499578</v>
      </c>
      <c r="R69" s="165">
        <f>VLOOKUP(B69,'增加值 (2001-2060, 2020RMB)'!$A$14:$AJ$54,36,0)*(1+M69)^15</f>
        <v>2676.1220885766279</v>
      </c>
      <c r="S69" s="165">
        <f>VLOOKUP(B69,'增加值 (2001-2060, 2020RMB)'!$A$14:$AY$54,51,0)*(1+N69)^10</f>
        <v>2098.3885355185325</v>
      </c>
    </row>
    <row r="70" spans="1:19" ht="15" x14ac:dyDescent="0.25">
      <c r="A70" s="156"/>
      <c r="B70" s="158" t="s">
        <v>249</v>
      </c>
      <c r="C70" s="161">
        <f>(VLOOKUP(B70,'增加值 (2001-2060, 2020RMB)'!$A$13:$W$54,20,0)/VLOOKUP(B70,'增加值 (2001-2060, 2020RMB)'!$A$13:$W$54,17,0))^(1/3)-1</f>
        <v>4.9337411046651347E-2</v>
      </c>
      <c r="D70" s="160">
        <f>(VLOOKUP(B70,'增加值 (2001-2060, 2020RMB)'!$A$13:$W$54,23,0)/VLOOKUP(B70,'增加值 (2001-2060, 2020RMB)'!$A$13:$W$54,20,0))^(1/3)-1</f>
        <v>2.4824549543858154E-2</v>
      </c>
      <c r="E70" s="172">
        <v>0.7</v>
      </c>
      <c r="F70" s="172">
        <v>0.5</v>
      </c>
      <c r="G70" s="172">
        <v>0.4</v>
      </c>
      <c r="H70" s="172">
        <v>0.3</v>
      </c>
      <c r="I70" s="172">
        <v>0.2</v>
      </c>
      <c r="J70" s="159">
        <f t="shared" si="7"/>
        <v>2.5956686206678323E-2</v>
      </c>
      <c r="K70" s="159">
        <f t="shared" si="8"/>
        <v>1.8540490147627375E-2</v>
      </c>
      <c r="L70" s="159">
        <f t="shared" si="9"/>
        <v>1.4832392118101901E-2</v>
      </c>
      <c r="M70" s="159">
        <f t="shared" si="10"/>
        <v>1.1124294088576426E-2</v>
      </c>
      <c r="N70" s="159">
        <f t="shared" si="11"/>
        <v>7.4161960590509507E-3</v>
      </c>
      <c r="O70" s="165">
        <f>VLOOKUP(B70,'增加值 (2001-2060, 2020RMB)'!$A$14:$W$54,23,0)*(1+J70)^3</f>
        <v>2521.6775690538466</v>
      </c>
      <c r="P70" s="165">
        <f>VLOOKUP(B70,'增加值 (2001-2060, 2020RMB)'!$A$14:$AE$54,26,0)*(1+K70)^5</f>
        <v>2651.8194842297662</v>
      </c>
      <c r="Q70" s="165">
        <f>VLOOKUP(B70,'增加值 (2001-2060, 2020RMB)'!$A$14:$AE$54,31,0)*(1+L70)^5</f>
        <v>2700.6851160727902</v>
      </c>
      <c r="R70" s="165">
        <f>VLOOKUP(B70,'增加值 (2001-2060, 2020RMB)'!$A$14:$AJ$54,36,0)*(1+M70)^15</f>
        <v>2919.5706038203207</v>
      </c>
      <c r="S70" s="165">
        <f>VLOOKUP(B70,'增加值 (2001-2060, 2020RMB)'!$A$14:$AY$54,51,0)*(1+N70)^10</f>
        <v>2250.3788165542128</v>
      </c>
    </row>
    <row r="71" spans="1:19" x14ac:dyDescent="0.15">
      <c r="A71" s="155" t="s">
        <v>250</v>
      </c>
      <c r="B71" s="158" t="s">
        <v>251</v>
      </c>
      <c r="C71" s="161">
        <f>(VLOOKUP(B71,'增加值 (2001-2060, 2020RMB)'!$A$13:$W$54,20,0)/VLOOKUP(B71,'增加值 (2001-2060, 2020RMB)'!$A$13:$W$54,17,0))^(1/3)-1</f>
        <v>4.3911486408383826E-2</v>
      </c>
      <c r="D71" s="160">
        <f>(VLOOKUP(B71,'增加值 (2001-2060, 2020RMB)'!$A$13:$W$54,23,0)/VLOOKUP(B71,'增加值 (2001-2060, 2020RMB)'!$A$13:$W$54,20,0))^(1/3)-1</f>
        <v>7.5370857891373655E-2</v>
      </c>
      <c r="E71" s="172">
        <v>0.85000000000000009</v>
      </c>
      <c r="F71" s="172">
        <v>0.75</v>
      </c>
      <c r="G71" s="172">
        <v>0.64999999999999991</v>
      </c>
      <c r="H71" s="172">
        <v>0.45</v>
      </c>
      <c r="I71" s="172">
        <v>0.35</v>
      </c>
      <c r="J71" s="159">
        <f t="shared" si="7"/>
        <v>5.0694996327396935E-2</v>
      </c>
      <c r="K71" s="159">
        <f t="shared" si="8"/>
        <v>4.4730879112409055E-2</v>
      </c>
      <c r="L71" s="159">
        <f t="shared" si="9"/>
        <v>3.8766761897421176E-2</v>
      </c>
      <c r="M71" s="159">
        <f t="shared" si="10"/>
        <v>2.6838527467445434E-2</v>
      </c>
      <c r="N71" s="159">
        <f t="shared" si="11"/>
        <v>2.0874410252457558E-2</v>
      </c>
      <c r="O71" s="165">
        <f>VLOOKUP(B71,'增加值 (2001-2060, 2020RMB)'!$A$14:$W$54,23,0)*(1+J71)^3</f>
        <v>17606.885043598984</v>
      </c>
      <c r="P71" s="165">
        <f>VLOOKUP(B71,'增加值 (2001-2060, 2020RMB)'!$A$14:$AE$54,26,0)*(1+K71)^5</f>
        <v>21021.688489370958</v>
      </c>
      <c r="Q71" s="165">
        <f>VLOOKUP(B71,'增加值 (2001-2060, 2020RMB)'!$A$14:$AE$54,31,0)*(1+L71)^5</f>
        <v>24055.600870770417</v>
      </c>
      <c r="R71" s="165">
        <f>VLOOKUP(B71,'增加值 (2001-2060, 2020RMB)'!$A$14:$AJ$54,36,0)*(1+M71)^15</f>
        <v>32773.6937261247</v>
      </c>
      <c r="S71" s="165">
        <f>VLOOKUP(B71,'增加值 (2001-2060, 2020RMB)'!$A$14:$AY$54,51,0)*(1+N71)^10</f>
        <v>28846.686198574542</v>
      </c>
    </row>
    <row r="72" spans="1:19" ht="15" x14ac:dyDescent="0.25">
      <c r="A72" s="156"/>
      <c r="B72" s="158" t="s">
        <v>252</v>
      </c>
      <c r="C72" s="161">
        <f>(VLOOKUP(B72,'增加值 (2001-2060, 2020RMB)'!$A$13:$W$54,20,0)/VLOOKUP(B72,'增加值 (2001-2060, 2020RMB)'!$A$13:$W$54,17,0))^(1/3)-1</f>
        <v>6.2830620842833751E-2</v>
      </c>
      <c r="D72" s="160">
        <f>(VLOOKUP(B72,'增加值 (2001-2060, 2020RMB)'!$A$13:$W$54,23,0)/VLOOKUP(B72,'增加值 (2001-2060, 2020RMB)'!$A$13:$W$54,20,0))^(1/3)-1</f>
        <v>6.0936109817283146E-2</v>
      </c>
      <c r="E72" s="172">
        <v>0.85000000000000009</v>
      </c>
      <c r="F72" s="172">
        <v>0.75</v>
      </c>
      <c r="G72" s="172">
        <v>0.64999999999999991</v>
      </c>
      <c r="H72" s="172">
        <v>0.45</v>
      </c>
      <c r="I72" s="172">
        <v>0.35</v>
      </c>
      <c r="J72" s="159">
        <f t="shared" si="7"/>
        <v>5.2600860530549687E-2</v>
      </c>
      <c r="K72" s="159">
        <f t="shared" si="8"/>
        <v>4.6412523997543836E-2</v>
      </c>
      <c r="L72" s="159">
        <f t="shared" si="9"/>
        <v>4.0224187464537986E-2</v>
      </c>
      <c r="M72" s="159">
        <f t="shared" si="10"/>
        <v>2.7847514398526303E-2</v>
      </c>
      <c r="N72" s="159">
        <f t="shared" si="11"/>
        <v>2.1659177865520456E-2</v>
      </c>
      <c r="O72" s="165">
        <f>VLOOKUP(B72,'增加值 (2001-2060, 2020RMB)'!$A$14:$W$54,23,0)*(1+J72)^3</f>
        <v>18418.836384203263</v>
      </c>
      <c r="P72" s="165">
        <f>VLOOKUP(B72,'增加值 (2001-2060, 2020RMB)'!$A$14:$AE$54,26,0)*(1+K72)^5</f>
        <v>22168.675440948016</v>
      </c>
      <c r="Q72" s="165">
        <f>VLOOKUP(B72,'增加值 (2001-2060, 2020RMB)'!$A$14:$AE$54,31,0)*(1+L72)^5</f>
        <v>25546.586216409665</v>
      </c>
      <c r="R72" s="165">
        <f>VLOOKUP(B72,'增加值 (2001-2060, 2020RMB)'!$A$14:$AJ$54,36,0)*(1+M72)^15</f>
        <v>35321.576275105952</v>
      </c>
      <c r="S72" s="165">
        <f>VLOOKUP(B72,'增加值 (2001-2060, 2020RMB)'!$A$14:$AY$54,51,0)*(1+N72)^10</f>
        <v>31329.094743688678</v>
      </c>
    </row>
    <row r="73" spans="1:19" ht="15" x14ac:dyDescent="0.25">
      <c r="A73" s="156"/>
      <c r="B73" s="158" t="s">
        <v>253</v>
      </c>
      <c r="C73" s="161">
        <f>(VLOOKUP(B73,'增加值 (2001-2060, 2020RMB)'!$A$13:$W$54,20,0)/VLOOKUP(B73,'增加值 (2001-2060, 2020RMB)'!$A$13:$W$54,17,0))^(1/3)-1</f>
        <v>8.8012669513386932E-2</v>
      </c>
      <c r="D73" s="160">
        <f>(VLOOKUP(B73,'增加值 (2001-2060, 2020RMB)'!$A$13:$W$54,23,0)/VLOOKUP(B73,'增加值 (2001-2060, 2020RMB)'!$A$13:$W$54,20,0))^(1/3)-1</f>
        <v>8.2574294780134005E-2</v>
      </c>
      <c r="E73" s="172">
        <v>0.85000000000000009</v>
      </c>
      <c r="F73" s="172">
        <v>0.75</v>
      </c>
      <c r="G73" s="172">
        <v>0.64999999999999991</v>
      </c>
      <c r="H73" s="172">
        <v>0.45</v>
      </c>
      <c r="I73" s="172">
        <v>0.35</v>
      </c>
      <c r="J73" s="159">
        <f t="shared" si="7"/>
        <v>7.2499459824746412E-2</v>
      </c>
      <c r="K73" s="159">
        <f t="shared" si="8"/>
        <v>6.3970111610070352E-2</v>
      </c>
      <c r="L73" s="159">
        <f t="shared" si="9"/>
        <v>5.5440763395394298E-2</v>
      </c>
      <c r="M73" s="159">
        <f t="shared" si="10"/>
        <v>3.8382066966042211E-2</v>
      </c>
      <c r="N73" s="159">
        <f t="shared" si="11"/>
        <v>2.9852718751366161E-2</v>
      </c>
      <c r="O73" s="165">
        <f>VLOOKUP(B73,'增加值 (2001-2060, 2020RMB)'!$A$14:$W$54,23,0)*(1+J73)^3</f>
        <v>15056.12886111334</v>
      </c>
      <c r="P73" s="165">
        <f>VLOOKUP(B73,'增加值 (2001-2060, 2020RMB)'!$A$14:$AE$54,26,0)*(1+K73)^5</f>
        <v>19693.521199454564</v>
      </c>
      <c r="Q73" s="165">
        <f>VLOOKUP(B73,'增加值 (2001-2060, 2020RMB)'!$A$14:$AE$54,31,0)*(1+L73)^5</f>
        <v>24403.441771715537</v>
      </c>
      <c r="R73" s="165">
        <f>VLOOKUP(B73,'增加值 (2001-2060, 2020RMB)'!$A$14:$AJ$54,36,0)*(1+M73)^15</f>
        <v>39317.475296776844</v>
      </c>
      <c r="S73" s="165">
        <f>VLOOKUP(B73,'增加值 (2001-2060, 2020RMB)'!$A$14:$AY$54,51,0)*(1+N73)^10</f>
        <v>37773.235236661865</v>
      </c>
    </row>
    <row r="74" spans="1:19" ht="15" x14ac:dyDescent="0.25">
      <c r="A74" s="156"/>
      <c r="B74" s="158" t="s">
        <v>254</v>
      </c>
      <c r="C74" s="161">
        <f>(VLOOKUP(B74,'增加值 (2001-2060, 2020RMB)'!$A$13:$W$54,20,0)/VLOOKUP(B74,'增加值 (2001-2060, 2020RMB)'!$A$13:$W$54,17,0))^(1/3)-1</f>
        <v>5.201591196057076E-2</v>
      </c>
      <c r="D74" s="160">
        <f>(VLOOKUP(B74,'增加值 (2001-2060, 2020RMB)'!$A$13:$W$54,23,0)/VLOOKUP(B74,'增加值 (2001-2060, 2020RMB)'!$A$13:$W$54,20,0))^(1/3)-1</f>
        <v>6.945262358549531E-2</v>
      </c>
      <c r="E74" s="172">
        <v>0.85000000000000009</v>
      </c>
      <c r="F74" s="172">
        <v>0.75</v>
      </c>
      <c r="G74" s="172">
        <v>0.64999999999999991</v>
      </c>
      <c r="H74" s="172">
        <v>0.45</v>
      </c>
      <c r="I74" s="172">
        <v>0.35</v>
      </c>
      <c r="J74" s="159">
        <f t="shared" si="7"/>
        <v>5.1624127607078088E-2</v>
      </c>
      <c r="K74" s="159">
        <f t="shared" si="8"/>
        <v>4.5550700829774776E-2</v>
      </c>
      <c r="L74" s="159">
        <f t="shared" si="9"/>
        <v>3.9477274052471464E-2</v>
      </c>
      <c r="M74" s="159">
        <f t="shared" si="10"/>
        <v>2.7330420497864865E-2</v>
      </c>
      <c r="N74" s="159">
        <f t="shared" si="11"/>
        <v>2.125699372056156E-2</v>
      </c>
      <c r="O74" s="165">
        <f>VLOOKUP(B74,'增加值 (2001-2060, 2020RMB)'!$A$14:$W$54,23,0)*(1+J74)^3</f>
        <v>28171.761193576287</v>
      </c>
      <c r="P74" s="165">
        <f>VLOOKUP(B74,'增加值 (2001-2060, 2020RMB)'!$A$14:$AE$54,26,0)*(1+K74)^5</f>
        <v>33767.771193828921</v>
      </c>
      <c r="Q74" s="165">
        <f>VLOOKUP(B74,'增加值 (2001-2060, 2020RMB)'!$A$14:$AE$54,31,0)*(1+L74)^5</f>
        <v>38773.569136983984</v>
      </c>
      <c r="R74" s="165">
        <f>VLOOKUP(B74,'增加值 (2001-2060, 2020RMB)'!$A$14:$AJ$54,36,0)*(1+M74)^15</f>
        <v>53206.520324721307</v>
      </c>
      <c r="S74" s="165">
        <f>VLOOKUP(B74,'增加值 (2001-2060, 2020RMB)'!$A$14:$AY$54,51,0)*(1+N74)^10</f>
        <v>47007.013081181263</v>
      </c>
    </row>
    <row r="75" spans="1:19" ht="15" x14ac:dyDescent="0.25">
      <c r="A75" s="156"/>
      <c r="B75" s="157" t="s">
        <v>255</v>
      </c>
      <c r="C75" s="161">
        <f>(VLOOKUP(B75,'增加值 (2001-2060, 2020RMB)'!$A$13:$W$54,20,0)/VLOOKUP(B75,'增加值 (2001-2060, 2020RMB)'!$A$13:$W$54,17,0))^(1/3)-1</f>
        <v>5.2856842755794275E-2</v>
      </c>
      <c r="D75" s="160">
        <f>(VLOOKUP(B75,'增加值 (2001-2060, 2020RMB)'!$A$13:$W$54,23,0)/VLOOKUP(B75,'增加值 (2001-2060, 2020RMB)'!$A$13:$W$54,20,0))^(1/3)-1</f>
        <v>4.2290324652889622E-2</v>
      </c>
      <c r="E75" s="172">
        <v>0.85000000000000009</v>
      </c>
      <c r="F75" s="172">
        <v>0.75</v>
      </c>
      <c r="G75" s="172">
        <v>0.64999999999999991</v>
      </c>
      <c r="H75" s="172">
        <v>0.45</v>
      </c>
      <c r="I75" s="172">
        <v>0.35</v>
      </c>
      <c r="J75" s="159">
        <f t="shared" si="7"/>
        <v>4.0437546148690662E-2</v>
      </c>
      <c r="K75" s="159">
        <f t="shared" si="8"/>
        <v>3.5680187778256461E-2</v>
      </c>
      <c r="L75" s="159">
        <f t="shared" si="9"/>
        <v>3.0922829407822261E-2</v>
      </c>
      <c r="M75" s="159">
        <f t="shared" si="10"/>
        <v>2.1408112666953878E-2</v>
      </c>
      <c r="N75" s="159">
        <f t="shared" si="11"/>
        <v>1.6650754296519681E-2</v>
      </c>
      <c r="O75" s="165">
        <f>VLOOKUP(B75,'增加值 (2001-2060, 2020RMB)'!$A$14:$W$54,23,0)*(1+J75)^3</f>
        <v>7446.9504341886286</v>
      </c>
      <c r="P75" s="165">
        <f>VLOOKUP(B75,'增加值 (2001-2060, 2020RMB)'!$A$14:$AE$54,26,0)*(1+K75)^5</f>
        <v>8512.7468006406434</v>
      </c>
      <c r="Q75" s="165">
        <f>VLOOKUP(B75,'增加值 (2001-2060, 2020RMB)'!$A$14:$AE$54,31,0)*(1+L75)^5</f>
        <v>9379.0508516649315</v>
      </c>
      <c r="R75" s="165">
        <f>VLOOKUP(B75,'增加值 (2001-2060, 2020RMB)'!$A$14:$AJ$54,36,0)*(1+M75)^15</f>
        <v>11801.176018276294</v>
      </c>
      <c r="S75" s="165">
        <f>VLOOKUP(B75,'增加值 (2001-2060, 2020RMB)'!$A$14:$AY$54,51,0)*(1+N75)^10</f>
        <v>9965.3033259357289</v>
      </c>
    </row>
    <row r="76" spans="1:19" ht="15" x14ac:dyDescent="0.25">
      <c r="A76" s="156"/>
      <c r="B76" s="157" t="s">
        <v>256</v>
      </c>
      <c r="C76" s="161">
        <f>(VLOOKUP(B76,'增加值 (2001-2060, 2020RMB)'!$A$13:$W$54,20,0)/VLOOKUP(B76,'增加值 (2001-2060, 2020RMB)'!$A$13:$W$54,17,0))^(1/3)-1</f>
        <v>8.4803532887303135E-2</v>
      </c>
      <c r="D76" s="160">
        <f>(VLOOKUP(B76,'增加值 (2001-2060, 2020RMB)'!$A$13:$W$54,23,0)/VLOOKUP(B76,'增加值 (2001-2060, 2020RMB)'!$A$13:$W$54,20,0))^(1/3)-1</f>
        <v>0.13348082333262457</v>
      </c>
      <c r="E76" s="172">
        <v>0.85000000000000009</v>
      </c>
      <c r="F76" s="172">
        <v>0.75</v>
      </c>
      <c r="G76" s="172">
        <v>0.64999999999999991</v>
      </c>
      <c r="H76" s="172">
        <v>0.45</v>
      </c>
      <c r="I76" s="172">
        <v>0.35</v>
      </c>
      <c r="J76" s="159">
        <f t="shared" si="7"/>
        <v>9.2770851393469286E-2</v>
      </c>
      <c r="K76" s="159">
        <f t="shared" si="8"/>
        <v>8.1856633582472887E-2</v>
      </c>
      <c r="L76" s="159">
        <f t="shared" si="9"/>
        <v>7.0942415771476489E-2</v>
      </c>
      <c r="M76" s="159">
        <f t="shared" si="10"/>
        <v>4.9113980149483732E-2</v>
      </c>
      <c r="N76" s="159">
        <f t="shared" si="11"/>
        <v>3.8199762338487347E-2</v>
      </c>
      <c r="O76" s="165">
        <f>VLOOKUP(B76,'增加值 (2001-2060, 2020RMB)'!$A$14:$W$54,23,0)*(1+J76)^3</f>
        <v>35910.865564429936</v>
      </c>
      <c r="P76" s="165">
        <f>VLOOKUP(B76,'增加值 (2001-2060, 2020RMB)'!$A$14:$AE$54,26,0)*(1+K76)^5</f>
        <v>51054.890109419895</v>
      </c>
      <c r="Q76" s="165">
        <f>VLOOKUP(B76,'增加值 (2001-2060, 2020RMB)'!$A$14:$AE$54,31,0)*(1+L76)^5</f>
        <v>68049.718496398782</v>
      </c>
      <c r="R76" s="165">
        <f>VLOOKUP(B76,'增加值 (2001-2060, 2020RMB)'!$A$14:$AJ$54,36,0)*(1+M76)^15</f>
        <v>127921.42860506818</v>
      </c>
      <c r="S76" s="165">
        <f>VLOOKUP(B76,'增加值 (2001-2060, 2020RMB)'!$A$14:$AY$54,51,0)*(1+N76)^10</f>
        <v>133229.35163493466</v>
      </c>
    </row>
    <row r="77" spans="1:19" x14ac:dyDescent="0.15">
      <c r="A77" s="155" t="s">
        <v>257</v>
      </c>
      <c r="B77" s="158" t="s">
        <v>258</v>
      </c>
      <c r="C77" s="161">
        <f>(VLOOKUP(B77,'增加值 (2001-2060, 2020RMB)'!$A$13:$W$54,20,0)/VLOOKUP(B77,'增加值 (2001-2060, 2020RMB)'!$A$13:$W$54,17,0))^(1/3)-1</f>
        <v>0.10983549551460459</v>
      </c>
      <c r="D77" s="160">
        <f>(VLOOKUP(B77,'增加值 (2001-2060, 2020RMB)'!$A$13:$W$54,23,0)/VLOOKUP(B77,'增加值 (2001-2060, 2020RMB)'!$A$13:$W$54,20,0))^(1/3)-1</f>
        <v>0.11113719350225448</v>
      </c>
      <c r="E77" s="172">
        <v>0.9</v>
      </c>
      <c r="F77" s="172">
        <v>0.75</v>
      </c>
      <c r="G77" s="172">
        <v>0.7</v>
      </c>
      <c r="H77" s="172">
        <v>0.55000000000000004</v>
      </c>
      <c r="I77" s="172">
        <v>0.45</v>
      </c>
      <c r="J77" s="159">
        <f t="shared" si="7"/>
        <v>9.9437710057586587E-2</v>
      </c>
      <c r="K77" s="159">
        <f t="shared" si="8"/>
        <v>8.2864758381322151E-2</v>
      </c>
      <c r="L77" s="159">
        <f t="shared" si="9"/>
        <v>7.7340441155900663E-2</v>
      </c>
      <c r="M77" s="159">
        <f t="shared" si="10"/>
        <v>6.0767489479636248E-2</v>
      </c>
      <c r="N77" s="159">
        <f t="shared" si="11"/>
        <v>4.9718855028793293E-2</v>
      </c>
      <c r="O77" s="165">
        <f>VLOOKUP(B77,'增加值 (2001-2060, 2020RMB)'!$A$14:$W$54,23,0)*(1+J77)^3</f>
        <v>53223.77929157325</v>
      </c>
      <c r="P77" s="165">
        <f>VLOOKUP(B77,'增加值 (2001-2060, 2020RMB)'!$A$14:$AE$54,26,0)*(1+K77)^5</f>
        <v>76022.075089807884</v>
      </c>
      <c r="Q77" s="165">
        <f>VLOOKUP(B77,'增加值 (2001-2060, 2020RMB)'!$A$14:$AE$54,31,0)*(1+L77)^5</f>
        <v>104390.96747810367</v>
      </c>
      <c r="R77" s="165">
        <f>VLOOKUP(B77,'增加值 (2001-2060, 2020RMB)'!$A$14:$AJ$54,36,0)*(1+M77)^15</f>
        <v>231602.25834451421</v>
      </c>
      <c r="S77" s="165">
        <f>VLOOKUP(B77,'增加值 (2001-2060, 2020RMB)'!$A$14:$AY$54,51,0)*(1+N77)^10</f>
        <v>269351.95540101168</v>
      </c>
    </row>
    <row r="78" spans="1:19" x14ac:dyDescent="0.15">
      <c r="A78" s="155"/>
      <c r="B78" s="158" t="s">
        <v>105</v>
      </c>
      <c r="C78" s="161">
        <f>(VLOOKUP(B78,'增加值 (2001-2060, 2020RMB)'!$A$13:$W$54,20,0)/VLOOKUP(B78,'增加值 (2001-2060, 2020RMB)'!$A$13:$W$54,17,0))^(1/3)-1</f>
        <v>8.6584169191379345E-2</v>
      </c>
      <c r="D78" s="160">
        <f>(VLOOKUP(B78,'增加值 (2001-2060, 2020RMB)'!$A$13:$W$54,23,0)/VLOOKUP(B78,'增加值 (2001-2060, 2020RMB)'!$A$13:$W$54,20,0))^(1/3)-1</f>
        <v>7.4164155276645882E-2</v>
      </c>
      <c r="E78" s="172">
        <v>0.9</v>
      </c>
      <c r="F78" s="172">
        <v>0.75</v>
      </c>
      <c r="G78" s="172">
        <v>0.7</v>
      </c>
      <c r="H78" s="172">
        <v>0.55000000000000004</v>
      </c>
      <c r="I78" s="172">
        <v>0.45</v>
      </c>
      <c r="J78" s="159">
        <f t="shared" si="7"/>
        <v>7.2336746010611352E-2</v>
      </c>
      <c r="K78" s="159">
        <f t="shared" si="8"/>
        <v>6.028062167550946E-2</v>
      </c>
      <c r="L78" s="159">
        <f t="shared" si="9"/>
        <v>5.6261913563808823E-2</v>
      </c>
      <c r="M78" s="159">
        <f t="shared" si="10"/>
        <v>4.4205789228706945E-2</v>
      </c>
      <c r="N78" s="159">
        <f t="shared" si="11"/>
        <v>3.6168373005305676E-2</v>
      </c>
      <c r="O78" s="165">
        <f>VLOOKUP(B78,'增加值 (2001-2060, 2020RMB)'!$A$14:$W$54,23,0)*(1+J78)^3</f>
        <v>3976.5224854542225</v>
      </c>
      <c r="P78" s="165">
        <f>VLOOKUP(B78,'增加值 (2001-2060, 2020RMB)'!$A$14:$AE$54,26,0)*(1+K78)^5</f>
        <v>5111.7602158288546</v>
      </c>
      <c r="Q78" s="165">
        <f>VLOOKUP(B78,'增加值 (2001-2060, 2020RMB)'!$A$14:$AE$54,31,0)*(1+L78)^5</f>
        <v>6358.9727634753363</v>
      </c>
      <c r="R78" s="165">
        <f>VLOOKUP(B78,'增加值 (2001-2060, 2020RMB)'!$A$14:$AJ$54,36,0)*(1+M78)^15</f>
        <v>11141.79767598565</v>
      </c>
      <c r="S78" s="165">
        <f>VLOOKUP(B78,'增加值 (2001-2060, 2020RMB)'!$A$14:$AY$54,51,0)*(1+N78)^10</f>
        <v>11379.048586693878</v>
      </c>
    </row>
    <row r="79" spans="1:19" ht="15" x14ac:dyDescent="0.25">
      <c r="A79" s="156"/>
      <c r="B79" s="158" t="s">
        <v>259</v>
      </c>
      <c r="C79" s="161">
        <f>(VLOOKUP(B79,'增加值 (2001-2060, 2020RMB)'!$A$13:$W$54,20,0)/VLOOKUP(B79,'增加值 (2001-2060, 2020RMB)'!$A$13:$W$54,17,0))^(1/3)-1</f>
        <v>8.499311454124503E-2</v>
      </c>
      <c r="D79" s="160">
        <f>(VLOOKUP(B79,'增加值 (2001-2060, 2020RMB)'!$A$13:$W$54,23,0)/VLOOKUP(B79,'增加值 (2001-2060, 2020RMB)'!$A$13:$W$54,20,0))^(1/3)-1</f>
        <v>9.3141707414592156E-2</v>
      </c>
      <c r="E79" s="172">
        <v>0.9</v>
      </c>
      <c r="F79" s="172">
        <v>0.75</v>
      </c>
      <c r="G79" s="172">
        <v>0.7</v>
      </c>
      <c r="H79" s="172">
        <v>0.55000000000000004</v>
      </c>
      <c r="I79" s="172">
        <v>0.45</v>
      </c>
      <c r="J79" s="159">
        <f t="shared" si="7"/>
        <v>8.0160669880126739E-2</v>
      </c>
      <c r="K79" s="159">
        <f t="shared" si="8"/>
        <v>6.6800558233438945E-2</v>
      </c>
      <c r="L79" s="159">
        <f t="shared" si="9"/>
        <v>6.2347187684543011E-2</v>
      </c>
      <c r="M79" s="159">
        <f t="shared" si="10"/>
        <v>4.898707603785523E-2</v>
      </c>
      <c r="N79" s="159">
        <f t="shared" si="11"/>
        <v>4.008033494006337E-2</v>
      </c>
      <c r="O79" s="165">
        <f>VLOOKUP(B79,'增加值 (2001-2060, 2020RMB)'!$A$14:$W$54,23,0)*(1+J79)^3</f>
        <v>14527.857325026982</v>
      </c>
      <c r="P79" s="165">
        <f>VLOOKUP(B79,'增加值 (2001-2060, 2020RMB)'!$A$14:$AE$54,26,0)*(1+K79)^5</f>
        <v>19256.646067569633</v>
      </c>
      <c r="Q79" s="165">
        <f>VLOOKUP(B79,'增加值 (2001-2060, 2020RMB)'!$A$14:$AE$54,31,0)*(1+L79)^5</f>
        <v>24653.09221855774</v>
      </c>
      <c r="R79" s="165">
        <f>VLOOKUP(B79,'增加值 (2001-2060, 2020RMB)'!$A$14:$AJ$54,36,0)*(1+M79)^15</f>
        <v>46259.434156997391</v>
      </c>
      <c r="S79" s="165">
        <f>VLOOKUP(B79,'增加值 (2001-2060, 2020RMB)'!$A$14:$AY$54,51,0)*(1+N79)^10</f>
        <v>49058.755816703379</v>
      </c>
    </row>
    <row r="80" spans="1:19" x14ac:dyDescent="0.15">
      <c r="A80" s="155" t="s">
        <v>260</v>
      </c>
      <c r="B80" s="158" t="s">
        <v>268</v>
      </c>
      <c r="C80" s="161">
        <f>(VLOOKUP(B80,'增加值 (2001-2060, 2020RMB)'!$A$13:$W$54,20,0)/VLOOKUP(B80,'增加值 (2001-2060, 2020RMB)'!$A$13:$W$54,17,0))^(1/3)-1</f>
        <v>-1.2129962985660381E-2</v>
      </c>
      <c r="D80" s="160">
        <f>(VLOOKUP(B80,'增加值 (2001-2060, 2020RMB)'!$A$13:$W$54,23,0)/VLOOKUP(B80,'增加值 (2001-2060, 2020RMB)'!$A$13:$W$54,20,0))^(1/3)-1</f>
        <v>5.5630510946381051E-2</v>
      </c>
      <c r="E80" s="172">
        <v>0.6</v>
      </c>
      <c r="F80" s="172">
        <v>0.5</v>
      </c>
      <c r="G80" s="172">
        <v>0.35</v>
      </c>
      <c r="H80" s="172">
        <v>0.25</v>
      </c>
      <c r="I80" s="172">
        <v>0.15000000000000002</v>
      </c>
      <c r="J80" s="159">
        <f t="shared" si="7"/>
        <v>1.30501643882162E-2</v>
      </c>
      <c r="K80" s="159">
        <f t="shared" si="8"/>
        <v>1.0875136990180168E-2</v>
      </c>
      <c r="L80" s="159">
        <f t="shared" si="9"/>
        <v>7.6125958931261171E-3</v>
      </c>
      <c r="M80" s="159">
        <f t="shared" si="10"/>
        <v>5.4375684950900838E-3</v>
      </c>
      <c r="N80" s="159">
        <f t="shared" si="11"/>
        <v>3.2625410970540509E-3</v>
      </c>
      <c r="O80" s="165">
        <f>VLOOKUP(B80,'增加值 (2001-2060, 2020RMB)'!$A$14:$W$54,23,0)*(1+J80)^3</f>
        <v>4749.520018084113</v>
      </c>
      <c r="P80" s="165">
        <f>VLOOKUP(B80,'增加值 (2001-2060, 2020RMB)'!$A$14:$AE$54,26,0)*(1+K80)^5</f>
        <v>4809.5030902375556</v>
      </c>
      <c r="Q80" s="165">
        <f>VLOOKUP(B80,'增加值 (2001-2060, 2020RMB)'!$A$14:$AE$54,31,0)*(1+L80)^5</f>
        <v>4726.3571549123917</v>
      </c>
      <c r="R80" s="165">
        <f>VLOOKUP(B80,'增加值 (2001-2060, 2020RMB)'!$A$14:$AJ$54,36,0)*(1+M80)^15</f>
        <v>4694.939722639906</v>
      </c>
      <c r="S80" s="165">
        <f>VLOOKUP(B80,'增加值 (2001-2060, 2020RMB)'!$A$14:$AY$54,51,0)*(1+N80)^10</f>
        <v>3472.3488938579835</v>
      </c>
    </row>
    <row r="81" spans="1:19" ht="15" x14ac:dyDescent="0.25">
      <c r="A81" s="156"/>
      <c r="B81" s="158" t="s">
        <v>269</v>
      </c>
      <c r="C81" s="161">
        <f>(VLOOKUP(B81,'增加值 (2001-2060, 2020RMB)'!$A$13:$W$54,20,0)/VLOOKUP(B81,'增加值 (2001-2060, 2020RMB)'!$A$13:$W$54,17,0))^(1/3)-1</f>
        <v>-6.936466010152853E-3</v>
      </c>
      <c r="D81" s="160">
        <f>(VLOOKUP(B81,'增加值 (2001-2060, 2020RMB)'!$A$13:$W$54,23,0)/VLOOKUP(B81,'增加值 (2001-2060, 2020RMB)'!$A$13:$W$54,20,0))^(1/3)-1</f>
        <v>1.8311168334743444E-2</v>
      </c>
      <c r="E81" s="172">
        <v>0.7</v>
      </c>
      <c r="F81" s="172">
        <v>0.5</v>
      </c>
      <c r="G81" s="172">
        <v>0.4</v>
      </c>
      <c r="H81" s="172">
        <v>0.3</v>
      </c>
      <c r="I81" s="172">
        <v>0.2</v>
      </c>
      <c r="J81" s="159">
        <f t="shared" si="7"/>
        <v>3.9811458136067065E-3</v>
      </c>
      <c r="K81" s="159">
        <f t="shared" si="8"/>
        <v>2.8436755811476477E-3</v>
      </c>
      <c r="L81" s="159">
        <f t="shared" si="9"/>
        <v>2.2749404649181184E-3</v>
      </c>
      <c r="M81" s="159">
        <f t="shared" si="10"/>
        <v>1.7062053486885886E-3</v>
      </c>
      <c r="N81" s="159">
        <f t="shared" si="11"/>
        <v>1.1374702324590592E-3</v>
      </c>
      <c r="O81" s="165">
        <f>VLOOKUP(B81,'增加值 (2001-2060, 2020RMB)'!$A$14:$W$54,23,0)*(1+J81)^3</f>
        <v>2172.5601573556464</v>
      </c>
      <c r="P81" s="165">
        <f>VLOOKUP(B81,'增加值 (2001-2060, 2020RMB)'!$A$14:$AE$54,26,0)*(1+K81)^5</f>
        <v>2113.9802297561491</v>
      </c>
      <c r="Q81" s="165">
        <f>VLOOKUP(B81,'增加值 (2001-2060, 2020RMB)'!$A$14:$AE$54,31,0)*(1+L81)^5</f>
        <v>2022.9896954465507</v>
      </c>
      <c r="R81" s="165">
        <f>VLOOKUP(B81,'增加值 (2001-2060, 2020RMB)'!$A$14:$AJ$54,36,0)*(1+M81)^15</f>
        <v>1900.5354975512662</v>
      </c>
      <c r="S81" s="165">
        <f>VLOOKUP(B81,'增加值 (2001-2060, 2020RMB)'!$A$14:$AY$54,51,0)*(1+N81)^10</f>
        <v>1376.1333214444412</v>
      </c>
    </row>
    <row r="82" spans="1:19" ht="15" x14ac:dyDescent="0.25">
      <c r="A82" s="156"/>
      <c r="B82" s="158" t="s">
        <v>270</v>
      </c>
      <c r="C82" s="161">
        <f>(VLOOKUP(B82,'增加值 (2001-2060, 2020RMB)'!$A$13:$W$54,20,0)/VLOOKUP(B82,'增加值 (2001-2060, 2020RMB)'!$A$13:$W$54,17,0))^(1/3)-1</f>
        <v>-5.5752169014151587E-3</v>
      </c>
      <c r="D82" s="160">
        <f>(VLOOKUP(B82,'增加值 (2001-2060, 2020RMB)'!$A$13:$W$54,23,0)/VLOOKUP(B82,'增加值 (2001-2060, 2020RMB)'!$A$13:$W$54,20,0))^(1/3)-1</f>
        <v>2.6040503261531622E-2</v>
      </c>
      <c r="E82" s="172">
        <v>0.6</v>
      </c>
      <c r="F82" s="172">
        <v>0.5</v>
      </c>
      <c r="G82" s="172">
        <v>0.35</v>
      </c>
      <c r="H82" s="172">
        <v>0.25</v>
      </c>
      <c r="I82" s="172">
        <v>0.15000000000000002</v>
      </c>
      <c r="J82" s="159">
        <f t="shared" si="7"/>
        <v>6.1395859080349393E-3</v>
      </c>
      <c r="K82" s="159">
        <f t="shared" si="8"/>
        <v>5.1163215900291159E-3</v>
      </c>
      <c r="L82" s="159">
        <f t="shared" si="9"/>
        <v>3.5814251130203809E-3</v>
      </c>
      <c r="M82" s="159">
        <f t="shared" si="10"/>
        <v>2.558160795014558E-3</v>
      </c>
      <c r="N82" s="159">
        <f t="shared" si="11"/>
        <v>1.534896477008735E-3</v>
      </c>
      <c r="O82" s="165">
        <f>VLOOKUP(B82,'增加值 (2001-2060, 2020RMB)'!$A$14:$W$54,23,0)*(1+J82)^3</f>
        <v>1560.8128467342933</v>
      </c>
      <c r="P82" s="165">
        <f>VLOOKUP(B82,'增加值 (2001-2060, 2020RMB)'!$A$14:$AE$54,26,0)*(1+K82)^5</f>
        <v>1536.0146875294245</v>
      </c>
      <c r="Q82" s="165">
        <f>VLOOKUP(B82,'增加值 (2001-2060, 2020RMB)'!$A$14:$AE$54,31,0)*(1+L82)^5</f>
        <v>1479.506339698625</v>
      </c>
      <c r="R82" s="165">
        <f>VLOOKUP(B82,'增加值 (2001-2060, 2020RMB)'!$A$14:$AJ$54,36,0)*(1+M82)^15</f>
        <v>1407.7882323231133</v>
      </c>
      <c r="S82" s="165">
        <f>VLOOKUP(B82,'增加值 (2001-2060, 2020RMB)'!$A$14:$AY$54,51,0)*(1+N82)^10</f>
        <v>1023.4003307824684</v>
      </c>
    </row>
    <row r="83" spans="1:19" ht="15" x14ac:dyDescent="0.25">
      <c r="A83" s="156"/>
      <c r="B83" s="158" t="s">
        <v>261</v>
      </c>
      <c r="C83" s="161">
        <f>(VLOOKUP(B83,'增加值 (2001-2060, 2020RMB)'!$A$13:$W$54,20,0)/VLOOKUP(B83,'增加值 (2001-2060, 2020RMB)'!$A$13:$W$54,17,0))^(1/3)-1</f>
        <v>0.20663881127436401</v>
      </c>
      <c r="D83" s="160">
        <f>(VLOOKUP(B83,'增加值 (2001-2060, 2020RMB)'!$A$13:$W$54,23,0)/VLOOKUP(B83,'增加值 (2001-2060, 2020RMB)'!$A$13:$W$54,20,0))^(1/3)-1</f>
        <v>1.121552961387895E-2</v>
      </c>
      <c r="E83" s="172">
        <v>0.7</v>
      </c>
      <c r="F83" s="172">
        <v>0.5</v>
      </c>
      <c r="G83" s="172">
        <v>0.4</v>
      </c>
      <c r="H83" s="172">
        <v>0.3</v>
      </c>
      <c r="I83" s="172">
        <v>0.2</v>
      </c>
      <c r="J83" s="159">
        <f t="shared" si="7"/>
        <v>7.6249019310885027E-2</v>
      </c>
      <c r="K83" s="159">
        <f t="shared" si="8"/>
        <v>5.446358522206074E-2</v>
      </c>
      <c r="L83" s="159">
        <f t="shared" si="9"/>
        <v>4.3570868177648596E-2</v>
      </c>
      <c r="M83" s="159">
        <f t="shared" si="10"/>
        <v>3.2678151133236445E-2</v>
      </c>
      <c r="N83" s="159">
        <f t="shared" si="11"/>
        <v>2.1785434088824298E-2</v>
      </c>
      <c r="O83" s="165">
        <f>VLOOKUP(B83,'增加值 (2001-2060, 2020RMB)'!$A$14:$W$54,23,0)*(1+J83)^3</f>
        <v>1426.6866879018116</v>
      </c>
      <c r="P83" s="165">
        <f>VLOOKUP(B83,'增加值 (2001-2060, 2020RMB)'!$A$14:$AE$54,26,0)*(1+K83)^5</f>
        <v>1784.2243083936414</v>
      </c>
      <c r="Q83" s="165">
        <f>VLOOKUP(B83,'增加值 (2001-2060, 2020RMB)'!$A$14:$AE$54,31,0)*(1+L83)^5</f>
        <v>2089.3806889940133</v>
      </c>
      <c r="R83" s="165">
        <f>VLOOKUP(B83,'增加值 (2001-2060, 2020RMB)'!$A$14:$AJ$54,36,0)*(1+M83)^15</f>
        <v>3099.3402581824898</v>
      </c>
      <c r="S83" s="165">
        <f>VLOOKUP(B83,'增加值 (2001-2060, 2020RMB)'!$A$14:$AY$54,51,0)*(1+N83)^10</f>
        <v>2752.413589414642</v>
      </c>
    </row>
    <row r="84" spans="1:19" ht="15" x14ac:dyDescent="0.25">
      <c r="A84" s="156"/>
      <c r="B84" s="158" t="s">
        <v>262</v>
      </c>
      <c r="C84" s="161">
        <f>(VLOOKUP(B84,'增加值 (2001-2060, 2020RMB)'!$A$13:$W$54,20,0)/VLOOKUP(B84,'增加值 (2001-2060, 2020RMB)'!$A$13:$W$54,17,0))^(1/3)-1</f>
        <v>5.8954264971119885E-2</v>
      </c>
      <c r="D84" s="160">
        <f>(VLOOKUP(B84,'增加值 (2001-2060, 2020RMB)'!$A$13:$W$54,23,0)/VLOOKUP(B84,'增加值 (2001-2060, 2020RMB)'!$A$13:$W$54,20,0))^(1/3)-1</f>
        <v>5.6483848297676831E-2</v>
      </c>
      <c r="E84" s="172">
        <v>0.7</v>
      </c>
      <c r="F84" s="172">
        <v>0.5</v>
      </c>
      <c r="G84" s="172">
        <v>0.4</v>
      </c>
      <c r="H84" s="172">
        <v>0.3</v>
      </c>
      <c r="I84" s="172">
        <v>0.2</v>
      </c>
      <c r="J84" s="159">
        <f t="shared" si="7"/>
        <v>4.0403339644078849E-2</v>
      </c>
      <c r="K84" s="159">
        <f t="shared" si="8"/>
        <v>2.8859528317199179E-2</v>
      </c>
      <c r="L84" s="159">
        <f t="shared" si="9"/>
        <v>2.3087622653759344E-2</v>
      </c>
      <c r="M84" s="159">
        <f t="shared" si="10"/>
        <v>1.7315716990319505E-2</v>
      </c>
      <c r="N84" s="159">
        <f t="shared" si="11"/>
        <v>1.1543811326879672E-2</v>
      </c>
      <c r="O84" s="165">
        <f>VLOOKUP(B84,'增加值 (2001-2060, 2020RMB)'!$A$14:$W$54,23,0)*(1+J84)^3</f>
        <v>10.428905143861991</v>
      </c>
      <c r="P84" s="165">
        <f>VLOOKUP(B84,'增加值 (2001-2060, 2020RMB)'!$A$14:$AE$54,26,0)*(1+K84)^5</f>
        <v>11.534055794293415</v>
      </c>
      <c r="Q84" s="165">
        <f>VLOOKUP(B84,'增加值 (2001-2060, 2020RMB)'!$A$14:$AE$54,31,0)*(1+L84)^5</f>
        <v>12.232200474929398</v>
      </c>
      <c r="R84" s="165">
        <f>VLOOKUP(B84,'增加值 (2001-2060, 2020RMB)'!$A$14:$AJ$54,36,0)*(1+M84)^15</f>
        <v>14.491647301879176</v>
      </c>
      <c r="S84" s="165">
        <f>VLOOKUP(B84,'增加值 (2001-2060, 2020RMB)'!$A$14:$AY$54,51,0)*(1+N84)^10</f>
        <v>11.636224505777465</v>
      </c>
    </row>
    <row r="85" spans="1:19" ht="15" x14ac:dyDescent="0.25">
      <c r="A85" s="156"/>
      <c r="B85" s="158" t="s">
        <v>263</v>
      </c>
      <c r="C85" s="161">
        <f>(VLOOKUP(B85,'增加值 (2001-2060, 2020RMB)'!$A$13:$W$54,20,0)/VLOOKUP(B85,'增加值 (2001-2060, 2020RMB)'!$A$13:$W$54,17,0))^(1/3)-1</f>
        <v>3.7627999851762794E-2</v>
      </c>
      <c r="D85" s="160">
        <f>(VLOOKUP(B85,'增加值 (2001-2060, 2020RMB)'!$A$13:$W$54,23,0)/VLOOKUP(B85,'增加值 (2001-2060, 2020RMB)'!$A$13:$W$54,20,0))^(1/3)-1</f>
        <v>2.8280067481713189E-2</v>
      </c>
      <c r="E85" s="172">
        <v>0.7</v>
      </c>
      <c r="F85" s="172">
        <v>0.5</v>
      </c>
      <c r="G85" s="172">
        <v>0.4</v>
      </c>
      <c r="H85" s="172">
        <v>0.3</v>
      </c>
      <c r="I85" s="172">
        <v>0.2</v>
      </c>
      <c r="J85" s="159">
        <f t="shared" si="7"/>
        <v>2.3067823566716592E-2</v>
      </c>
      <c r="K85" s="159">
        <f t="shared" si="8"/>
        <v>1.6477016833368996E-2</v>
      </c>
      <c r="L85" s="159">
        <f t="shared" si="9"/>
        <v>1.3181613466695198E-2</v>
      </c>
      <c r="M85" s="159">
        <f t="shared" si="10"/>
        <v>9.8862101000213969E-3</v>
      </c>
      <c r="N85" s="159">
        <f t="shared" si="11"/>
        <v>6.5908067333475991E-3</v>
      </c>
      <c r="O85" s="165">
        <f>VLOOKUP(B85,'增加值 (2001-2060, 2020RMB)'!$A$14:$W$54,23,0)*(1+J85)^3</f>
        <v>8250.9287030264768</v>
      </c>
      <c r="P85" s="165">
        <f>VLOOKUP(B85,'增加值 (2001-2060, 2020RMB)'!$A$14:$AE$54,26,0)*(1+K85)^5</f>
        <v>8589.216747992301</v>
      </c>
      <c r="Q85" s="165">
        <f>VLOOKUP(B85,'增加值 (2001-2060, 2020RMB)'!$A$14:$AE$54,31,0)*(1+L85)^5</f>
        <v>8676.5775160599842</v>
      </c>
      <c r="R85" s="165">
        <f>VLOOKUP(B85,'增加值 (2001-2060, 2020RMB)'!$A$14:$AJ$54,36,0)*(1+M85)^15</f>
        <v>9208.9885686352245</v>
      </c>
      <c r="S85" s="165">
        <f>VLOOKUP(B85,'增加值 (2001-2060, 2020RMB)'!$A$14:$AY$54,51,0)*(1+N85)^10</f>
        <v>7040.2631504568562</v>
      </c>
    </row>
    <row r="86" spans="1:19" ht="15" x14ac:dyDescent="0.25">
      <c r="A86" s="156"/>
      <c r="B86" s="158" t="s">
        <v>264</v>
      </c>
      <c r="C86" s="161">
        <f>VLOOKUP(B86,'增加值 (2001-2060, 2020RMB)'!$A$1:$U$54,COLUMN('增加值 (2001-2060, 2020RMB)'!R$1),0)/VLOOKUP(B86,'增加值 (2001-2060, 2020RMB)'!$A$1:$U$54,COLUMN('增加值 (2001-2060, 2020RMB)'!Q$1),0)-1</f>
        <v>7.1930622905688413E-2</v>
      </c>
      <c r="D86" s="160">
        <f>(VLOOKUP(B86,'增加值 (2001-2060, 2020RMB)'!$A$13:$W$54,23,0)/VLOOKUP(B86,'增加值 (2001-2060, 2020RMB)'!$A$13:$W$54,20,0))^(1/3)-1</f>
        <v>5.1652149314185714E-2</v>
      </c>
      <c r="E86" s="172">
        <v>0.7</v>
      </c>
      <c r="F86" s="172">
        <v>0.5</v>
      </c>
      <c r="G86" s="172">
        <v>0.4</v>
      </c>
      <c r="H86" s="172">
        <v>0.3</v>
      </c>
      <c r="I86" s="172">
        <v>0.2</v>
      </c>
      <c r="J86" s="159">
        <f t="shared" si="7"/>
        <v>4.325397027695594E-2</v>
      </c>
      <c r="K86" s="159">
        <f t="shared" si="8"/>
        <v>3.0895693054968532E-2</v>
      </c>
      <c r="L86" s="159">
        <f t="shared" si="9"/>
        <v>2.4716554443974827E-2</v>
      </c>
      <c r="M86" s="159">
        <f t="shared" si="10"/>
        <v>1.853741583298112E-2</v>
      </c>
      <c r="N86" s="159">
        <f t="shared" si="11"/>
        <v>1.2358277221987414E-2</v>
      </c>
      <c r="O86" s="165">
        <f>VLOOKUP(B86,'增加值 (2001-2060, 2020RMB)'!$A$14:$W$54,23,0)*(1+J86)^3</f>
        <v>1030.2548914142642</v>
      </c>
      <c r="P86" s="165">
        <f>VLOOKUP(B86,'增加值 (2001-2060, 2020RMB)'!$A$14:$AE$54,26,0)*(1+K86)^5</f>
        <v>1150.7506316286151</v>
      </c>
      <c r="Q86" s="165">
        <f>VLOOKUP(B86,'增加值 (2001-2060, 2020RMB)'!$A$14:$AE$54,31,0)*(1+L86)^5</f>
        <v>1230.1508555927824</v>
      </c>
      <c r="R86" s="165">
        <f>VLOOKUP(B86,'增加值 (2001-2060, 2020RMB)'!$A$14:$AJ$54,36,0)*(1+M86)^15</f>
        <v>1483.85012146844</v>
      </c>
      <c r="S86" s="165">
        <f>VLOOKUP(B86,'增加值 (2001-2060, 2020RMB)'!$A$14:$AY$54,51,0)*(1+N86)^10</f>
        <v>1201.101694409904</v>
      </c>
    </row>
    <row r="87" spans="1:19" ht="15" x14ac:dyDescent="0.25">
      <c r="A87" s="156"/>
      <c r="B87" s="158" t="s">
        <v>265</v>
      </c>
      <c r="C87" s="161">
        <f>VLOOKUP(B87,'增加值 (2001-2060, 2020RMB)'!$A$1:$U$54,COLUMN('增加值 (2001-2060, 2020RMB)'!R$1),0)/VLOOKUP(B87,'增加值 (2001-2060, 2020RMB)'!$A$1:$U$54,COLUMN('增加值 (2001-2060, 2020RMB)'!Q$1),0)-1</f>
        <v>2.6381163008846409E-2</v>
      </c>
      <c r="D87" s="160">
        <f>(VLOOKUP(B87,'增加值 (2001-2060, 2020RMB)'!$A$13:$W$54,23,0)/VLOOKUP(B87,'增加值 (2001-2060, 2020RMB)'!$A$13:$W$54,20,0))^(1/3)-1</f>
        <v>0.18814982016783799</v>
      </c>
      <c r="E87" s="172">
        <v>0.8</v>
      </c>
      <c r="F87" s="172">
        <v>0.9</v>
      </c>
      <c r="G87" s="172">
        <v>0.8</v>
      </c>
      <c r="H87" s="172">
        <v>0.6</v>
      </c>
      <c r="I87" s="172">
        <v>0.4</v>
      </c>
      <c r="J87" s="159">
        <f t="shared" si="7"/>
        <v>8.5812393270673762E-2</v>
      </c>
      <c r="K87" s="159">
        <f t="shared" si="8"/>
        <v>9.6538942429507987E-2</v>
      </c>
      <c r="L87" s="159">
        <f t="shared" si="9"/>
        <v>8.5812393270673762E-2</v>
      </c>
      <c r="M87" s="159">
        <f t="shared" si="10"/>
        <v>6.4359294953005311E-2</v>
      </c>
      <c r="N87" s="159">
        <f t="shared" si="11"/>
        <v>4.2906196635336881E-2</v>
      </c>
      <c r="O87" s="165">
        <f>VLOOKUP(B87,'增加值 (2001-2060, 2020RMB)'!$A$14:$W$54,23,0)*(1+J87)^3</f>
        <v>1898.8843191403887</v>
      </c>
      <c r="P87" s="165">
        <f>VLOOKUP(B87,'增加值 (2001-2060, 2020RMB)'!$A$14:$AE$54,26,0)*(1+K87)^5</f>
        <v>2887.8971219551318</v>
      </c>
      <c r="Q87" s="165">
        <f>VLOOKUP(B87,'增加值 (2001-2060, 2020RMB)'!$A$14:$AE$54,31,0)*(1+L87)^5</f>
        <v>4123.9565296924502</v>
      </c>
      <c r="R87" s="165">
        <f>VLOOKUP(B87,'增加值 (2001-2060, 2020RMB)'!$A$14:$AJ$54,36,0)*(1+M87)^15</f>
        <v>9625.3114081308158</v>
      </c>
      <c r="S87" s="165">
        <f>VLOOKUP(B87,'增加值 (2001-2060, 2020RMB)'!$A$14:$AY$54,51,0)*(1+N87)^10</f>
        <v>10488.530139772824</v>
      </c>
    </row>
    <row r="88" spans="1:19" ht="15" x14ac:dyDescent="0.25">
      <c r="A88" s="156"/>
      <c r="B88" s="158" t="s">
        <v>266</v>
      </c>
      <c r="C88" s="161">
        <f>VLOOKUP(B88,'增加值 (2001-2060, 2020RMB)'!$A$1:$U$54,COLUMN('增加值 (2001-2060, 2020RMB)'!R$1),0)/VLOOKUP(B88,'增加值 (2001-2060, 2020RMB)'!$A$1:$U$54,COLUMN('增加值 (2001-2060, 2020RMB)'!Q$1),0)-1</f>
        <v>0.11140682148295222</v>
      </c>
      <c r="D88" s="160">
        <f>(VLOOKUP(B88,'增加值 (2001-2060, 2020RMB)'!$A$13:$W$54,23,0)/VLOOKUP(B88,'增加值 (2001-2060, 2020RMB)'!$A$13:$W$54,20,0))^(1/3)-1</f>
        <v>5.4074169293930385E-2</v>
      </c>
      <c r="E88" s="172">
        <v>0.7</v>
      </c>
      <c r="F88" s="172">
        <v>0.5</v>
      </c>
      <c r="G88" s="172">
        <v>0.4</v>
      </c>
      <c r="H88" s="172">
        <v>0.3</v>
      </c>
      <c r="I88" s="172">
        <v>0.2</v>
      </c>
      <c r="J88" s="159">
        <f t="shared" si="7"/>
        <v>5.7918346771908907E-2</v>
      </c>
      <c r="K88" s="159">
        <f t="shared" si="8"/>
        <v>4.1370247694220652E-2</v>
      </c>
      <c r="L88" s="159">
        <f t="shared" si="9"/>
        <v>3.3096198155376524E-2</v>
      </c>
      <c r="M88" s="159">
        <f t="shared" si="10"/>
        <v>2.482214861653239E-2</v>
      </c>
      <c r="N88" s="159">
        <f t="shared" si="11"/>
        <v>1.6548099077688262E-2</v>
      </c>
      <c r="O88" s="165">
        <f>VLOOKUP(B88,'增加值 (2001-2060, 2020RMB)'!$A$14:$W$54,23,0)*(1+J88)^3</f>
        <v>561.95961004460003</v>
      </c>
      <c r="P88" s="165">
        <f>VLOOKUP(B88,'增加值 (2001-2060, 2020RMB)'!$A$14:$AE$54,26,0)*(1+K88)^5</f>
        <v>660.22785176504897</v>
      </c>
      <c r="Q88" s="165">
        <f>VLOOKUP(B88,'增加值 (2001-2060, 2020RMB)'!$A$14:$AE$54,31,0)*(1+L88)^5</f>
        <v>735.11629055510275</v>
      </c>
      <c r="R88" s="165">
        <f>VLOOKUP(B88,'增加值 (2001-2060, 2020RMB)'!$A$14:$AJ$54,36,0)*(1+M88)^15</f>
        <v>972.43468987044184</v>
      </c>
      <c r="S88" s="165">
        <f>VLOOKUP(B88,'增加值 (2001-2060, 2020RMB)'!$A$14:$AY$54,51,0)*(1+N88)^10</f>
        <v>820.32723629379495</v>
      </c>
    </row>
    <row r="95" spans="1:19" x14ac:dyDescent="0.2">
      <c r="A95" s="176" t="s">
        <v>287</v>
      </c>
    </row>
    <row r="96" spans="1:19" x14ac:dyDescent="0.2">
      <c r="A96" s="151"/>
      <c r="C96" s="125">
        <v>2022</v>
      </c>
      <c r="D96" s="125">
        <v>2025</v>
      </c>
      <c r="E96" s="125">
        <v>2030</v>
      </c>
      <c r="F96" s="125">
        <v>2035</v>
      </c>
      <c r="G96" s="125">
        <v>2050</v>
      </c>
      <c r="H96" s="125">
        <v>2060</v>
      </c>
    </row>
    <row r="97" spans="1:8" x14ac:dyDescent="0.15">
      <c r="A97" s="155" t="s">
        <v>225</v>
      </c>
      <c r="B97" s="158" t="s">
        <v>226</v>
      </c>
      <c r="C97" s="163">
        <f>VLOOKUP($B97,'增加值 (2001-2060, 2020RMB)'!$A$13:$BI$54,COLUMN('增加值 (2001-2060, 2020RMB)'!$W$1),0)/'增加值 (2001-2060, 2020RMB)'!$W$13</f>
        <v>4.7931540928290155E-2</v>
      </c>
      <c r="D97" s="163">
        <f>VLOOKUP($B97,'增加值 (2001-2060, 2020RMB)'!$A$13:$BI$54,COLUMN('增加值 (2001-2060, 2020RMB)'!$Z$1),0)/'增加值 (2001-2060, 2020RMB)'!$Z$13</f>
        <v>4.4978105475511801E-2</v>
      </c>
      <c r="E97" s="163">
        <f>VLOOKUP($B97,'增加值 (2001-2060, 2020RMB)'!$A$13:$BI$54,COLUMN('增加值 (2001-2060, 2020RMB)'!$AE$1),0)/'增加值 (2001-2060, 2020RMB)'!$AE$13</f>
        <v>4.1286602399098697E-2</v>
      </c>
      <c r="F97" s="163">
        <f>VLOOKUP($B97,'增加值 (2001-2060, 2020RMB)'!$A$13:$BI$54,COLUMN('增加值 (2001-2060, 2020RMB)'!$AJ$1),0)/'增加值 (2001-2060, 2020RMB)'!$AJ$13</f>
        <v>3.6635197535027843E-2</v>
      </c>
      <c r="G97" s="163">
        <f>VLOOKUP($B97,'增加值 (2001-2060, 2020RMB)'!$A$13:$BI$54,COLUMN('增加值 (2001-2060, 2020RMB)'!$AY$1),0)/'增加值 (2001-2060, 2020RMB)'!$AY$13</f>
        <v>2.5909503430434466E-2</v>
      </c>
      <c r="H97" s="163">
        <f>VLOOKUP($B97,'增加值 (2001-2060, 2020RMB)'!$A$13:$BI$54,COLUMN('增加值 (2001-2060, 2020RMB)'!$BI$1),0)/'增加值 (2001-2060, 2020RMB)'!$BI$13</f>
        <v>2.0462323778023098E-2</v>
      </c>
    </row>
    <row r="98" spans="1:8" ht="15" x14ac:dyDescent="0.25">
      <c r="A98" s="156"/>
      <c r="B98" s="158" t="s">
        <v>227</v>
      </c>
      <c r="C98" s="163">
        <f>VLOOKUP($B98,'增加值 (2001-2060, 2020RMB)'!$A$13:$BI$54,COLUMN('增加值 (2001-2060, 2020RMB)'!$W$1),0)/'增加值 (2001-2060, 2020RMB)'!$W$13</f>
        <v>3.2760552849138543E-2</v>
      </c>
      <c r="D98" s="163">
        <f>VLOOKUP($B98,'增加值 (2001-2060, 2020RMB)'!$A$13:$BI$54,COLUMN('增加值 (2001-2060, 2020RMB)'!$Z$1),0)/'增加值 (2001-2060, 2020RMB)'!$Z$13</f>
        <v>2.9695367803478895E-2</v>
      </c>
      <c r="E98" s="163">
        <f>VLOOKUP($B98,'增加值 (2001-2060, 2020RMB)'!$A$13:$BI$54,COLUMN('增加值 (2001-2060, 2020RMB)'!$AE$1),0)/'增加值 (2001-2060, 2020RMB)'!$AE$13</f>
        <v>2.5729196707907843E-2</v>
      </c>
      <c r="F98" s="163">
        <f>VLOOKUP($B98,'增加值 (2001-2060, 2020RMB)'!$A$13:$BI$54,COLUMN('增加值 (2001-2060, 2020RMB)'!$AJ$1),0)/'增加值 (2001-2060, 2020RMB)'!$AJ$13</f>
        <v>2.2014929793291175E-2</v>
      </c>
      <c r="G98" s="163">
        <f>VLOOKUP($B98,'增加值 (2001-2060, 2020RMB)'!$A$13:$BI$54,COLUMN('增加值 (2001-2060, 2020RMB)'!$AY$1),0)/'增加值 (2001-2060, 2020RMB)'!$AY$13</f>
        <v>1.5495813349146091E-2</v>
      </c>
      <c r="H98" s="163">
        <f>VLOOKUP($B98,'增加值 (2001-2060, 2020RMB)'!$A$13:$BI$54,COLUMN('增加值 (2001-2060, 2020RMB)'!$BI$1),0)/'增加值 (2001-2060, 2020RMB)'!$BI$13</f>
        <v>1.2379118048926285E-2</v>
      </c>
    </row>
    <row r="99" spans="1:8" ht="15" x14ac:dyDescent="0.25">
      <c r="A99" s="156"/>
      <c r="B99" s="158" t="s">
        <v>267</v>
      </c>
      <c r="C99" s="163">
        <f>VLOOKUP($B99,'增加值 (2001-2060, 2020RMB)'!$A$13:$BI$54,COLUMN('增加值 (2001-2060, 2020RMB)'!$W$1),0)/'增加值 (2001-2060, 2020RMB)'!$W$13</f>
        <v>4.6516835182683361E-2</v>
      </c>
      <c r="D99" s="163">
        <f>VLOOKUP($B99,'增加值 (2001-2060, 2020RMB)'!$A$13:$BI$54,COLUMN('增加值 (2001-2060, 2020RMB)'!$Z$1),0)/'增加值 (2001-2060, 2020RMB)'!$Z$13</f>
        <v>4.8945547976405719E-2</v>
      </c>
      <c r="E99" s="163">
        <f>VLOOKUP($B99,'增加值 (2001-2060, 2020RMB)'!$A$13:$BI$54,COLUMN('增加值 (2001-2060, 2020RMB)'!$AE$1),0)/'增加值 (2001-2060, 2020RMB)'!$AE$13</f>
        <v>5.4374251944476523E-2</v>
      </c>
      <c r="F99" s="163">
        <f>VLOOKUP($B99,'增加值 (2001-2060, 2020RMB)'!$A$13:$BI$54,COLUMN('增加值 (2001-2060, 2020RMB)'!$AJ$1),0)/'增加值 (2001-2060, 2020RMB)'!$AJ$13</f>
        <v>5.7664481465873434E-2</v>
      </c>
      <c r="G99" s="163">
        <f>VLOOKUP($B99,'增加值 (2001-2060, 2020RMB)'!$A$13:$BI$54,COLUMN('增加值 (2001-2060, 2020RMB)'!$AY$1),0)/'增加值 (2001-2060, 2020RMB)'!$AY$13</f>
        <v>5.7596728222246221E-2</v>
      </c>
      <c r="H99" s="163">
        <f>VLOOKUP($B99,'增加值 (2001-2060, 2020RMB)'!$A$13:$BI$54,COLUMN('增加值 (2001-2060, 2020RMB)'!$BI$1),0)/'增加值 (2001-2060, 2020RMB)'!$BI$13</f>
        <v>5.9297444147026854E-2</v>
      </c>
    </row>
    <row r="100" spans="1:8" ht="15" x14ac:dyDescent="0.25">
      <c r="A100" s="156"/>
      <c r="B100" s="158" t="s">
        <v>228</v>
      </c>
      <c r="C100" s="163">
        <f>VLOOKUP($B100,'增加值 (2001-2060, 2020RMB)'!$A$13:$BI$54,COLUMN('增加值 (2001-2060, 2020RMB)'!$W$1),0)/'增加值 (2001-2060, 2020RMB)'!$W$13</f>
        <v>6.5631821762248948E-3</v>
      </c>
      <c r="D100" s="163">
        <f>VLOOKUP($B100,'增加值 (2001-2060, 2020RMB)'!$A$13:$BI$54,COLUMN('增加值 (2001-2060, 2020RMB)'!$Z$1),0)/'增加值 (2001-2060, 2020RMB)'!$Z$13</f>
        <v>7.6946334993107128E-3</v>
      </c>
      <c r="E100" s="163">
        <f>VLOOKUP($B100,'增加值 (2001-2060, 2020RMB)'!$A$13:$BI$54,COLUMN('增加值 (2001-2060, 2020RMB)'!$AE$1),0)/'增加值 (2001-2060, 2020RMB)'!$AE$13</f>
        <v>1.0236514651035889E-2</v>
      </c>
      <c r="F100" s="163">
        <f>VLOOKUP($B100,'增加值 (2001-2060, 2020RMB)'!$A$13:$BI$54,COLUMN('增加值 (2001-2060, 2020RMB)'!$AJ$1),0)/'增加值 (2001-2060, 2020RMB)'!$AJ$13</f>
        <v>1.2569559506333459E-2</v>
      </c>
      <c r="G100" s="163">
        <f>VLOOKUP($B100,'增加值 (2001-2060, 2020RMB)'!$A$13:$BI$54,COLUMN('增加值 (2001-2060, 2020RMB)'!$AY$1),0)/'增加值 (2001-2060, 2020RMB)'!$AY$13</f>
        <v>1.6640484631865505E-2</v>
      </c>
      <c r="H100" s="163">
        <f>VLOOKUP($B100,'增加值 (2001-2060, 2020RMB)'!$A$13:$BI$54,COLUMN('增加值 (2001-2060, 2020RMB)'!$BI$1),0)/'增加值 (2001-2060, 2020RMB)'!$BI$13</f>
        <v>2.0671649076095738E-2</v>
      </c>
    </row>
    <row r="101" spans="1:8" ht="15" x14ac:dyDescent="0.25">
      <c r="A101" s="156"/>
      <c r="B101" s="158" t="s">
        <v>229</v>
      </c>
      <c r="C101" s="163">
        <f>VLOOKUP($B101,'增加值 (2001-2060, 2020RMB)'!$A$13:$BI$54,COLUMN('增加值 (2001-2060, 2020RMB)'!$W$1),0)/'增加值 (2001-2060, 2020RMB)'!$W$13</f>
        <v>3.4575920412114199E-3</v>
      </c>
      <c r="D101" s="163">
        <f>VLOOKUP($B101,'增加值 (2001-2060, 2020RMB)'!$A$13:$BI$54,COLUMN('增加值 (2001-2060, 2020RMB)'!$Z$1),0)/'增加值 (2001-2060, 2020RMB)'!$Z$13</f>
        <v>3.617635872678849E-3</v>
      </c>
      <c r="E101" s="163">
        <f>VLOOKUP($B101,'增加值 (2001-2060, 2020RMB)'!$A$13:$BI$54,COLUMN('增加值 (2001-2060, 2020RMB)'!$AE$1),0)/'增加值 (2001-2060, 2020RMB)'!$AE$13</f>
        <v>3.9812403310510325E-3</v>
      </c>
      <c r="F101" s="163">
        <f>VLOOKUP($B101,'增加值 (2001-2060, 2020RMB)'!$A$13:$BI$54,COLUMN('增加值 (2001-2060, 2020RMB)'!$AJ$1),0)/'增加值 (2001-2060, 2020RMB)'!$AJ$13</f>
        <v>4.190082127420806E-3</v>
      </c>
      <c r="G101" s="163">
        <f>VLOOKUP($B101,'增加值 (2001-2060, 2020RMB)'!$A$13:$BI$54,COLUMN('增加值 (2001-2060, 2020RMB)'!$AY$1),0)/'增加值 (2001-2060, 2020RMB)'!$AY$13</f>
        <v>4.1246090687871708E-3</v>
      </c>
      <c r="H101" s="163">
        <f>VLOOKUP($B101,'增加值 (2001-2060, 2020RMB)'!$A$13:$BI$54,COLUMN('增加值 (2001-2060, 2020RMB)'!$BI$1),0)/'增加值 (2001-2060, 2020RMB)'!$BI$13</f>
        <v>4.2053438233896354E-3</v>
      </c>
    </row>
    <row r="102" spans="1:8" x14ac:dyDescent="0.15">
      <c r="A102" s="155" t="s">
        <v>230</v>
      </c>
      <c r="B102" s="158" t="s">
        <v>231</v>
      </c>
      <c r="C102" s="163">
        <f>VLOOKUP($B102,'增加值 (2001-2060, 2020RMB)'!$A$13:$BI$54,COLUMN('增加值 (2001-2060, 2020RMB)'!$W$1),0)/'增加值 (2001-2060, 2020RMB)'!$W$13</f>
        <v>2.1619538575254445E-2</v>
      </c>
      <c r="D102" s="163">
        <f>VLOOKUP($B102,'增加值 (2001-2060, 2020RMB)'!$A$13:$BI$54,COLUMN('增加值 (2001-2060, 2020RMB)'!$Z$1),0)/'增加值 (2001-2060, 2020RMB)'!$Z$13</f>
        <v>1.8990869710600954E-2</v>
      </c>
      <c r="E102" s="163">
        <f>VLOOKUP($B102,'增加值 (2001-2060, 2020RMB)'!$A$13:$BI$54,COLUMN('增加值 (2001-2060, 2020RMB)'!$AE$1),0)/'增加值 (2001-2060, 2020RMB)'!$AE$13</f>
        <v>1.5534535145764578E-2</v>
      </c>
      <c r="F102" s="163">
        <f>VLOOKUP($B102,'增加值 (2001-2060, 2020RMB)'!$A$13:$BI$54,COLUMN('增加值 (2001-2060, 2020RMB)'!$AJ$1),0)/'增加值 (2001-2060, 2020RMB)'!$AJ$13</f>
        <v>1.2855753949119548E-2</v>
      </c>
      <c r="G102" s="163">
        <f>VLOOKUP($B102,'增加值 (2001-2060, 2020RMB)'!$A$13:$BI$54,COLUMN('增加值 (2001-2060, 2020RMB)'!$AY$1),0)/'增加值 (2001-2060, 2020RMB)'!$AY$13</f>
        <v>8.0100597761533429E-3</v>
      </c>
      <c r="H102" s="163">
        <f>VLOOKUP($B102,'增加值 (2001-2060, 2020RMB)'!$A$13:$BI$54,COLUMN('增加值 (2001-2060, 2020RMB)'!$BI$1),0)/'增加值 (2001-2060, 2020RMB)'!$BI$13</f>
        <v>5.9706673139515191E-3</v>
      </c>
    </row>
    <row r="103" spans="1:8" ht="15" x14ac:dyDescent="0.25">
      <c r="A103" s="156"/>
      <c r="B103" s="158" t="s">
        <v>232</v>
      </c>
      <c r="C103" s="163">
        <f>VLOOKUP($B103,'增加值 (2001-2060, 2020RMB)'!$A$13:$BI$54,COLUMN('增加值 (2001-2060, 2020RMB)'!$W$1),0)/'增加值 (2001-2060, 2020RMB)'!$W$13</f>
        <v>1.3696851548692881E-2</v>
      </c>
      <c r="D103" s="163">
        <f>VLOOKUP($B103,'增加值 (2001-2060, 2020RMB)'!$A$13:$BI$54,COLUMN('增加值 (2001-2060, 2020RMB)'!$Z$1),0)/'增加值 (2001-2060, 2020RMB)'!$Z$13</f>
        <v>1.2122738967589301E-2</v>
      </c>
      <c r="E103" s="163">
        <f>VLOOKUP($B103,'增加值 (2001-2060, 2020RMB)'!$A$13:$BI$54,COLUMN('增加值 (2001-2060, 2020RMB)'!$AE$1),0)/'增加值 (2001-2060, 2020RMB)'!$AE$13</f>
        <v>1.0019647835960091E-2</v>
      </c>
      <c r="F103" s="163">
        <f>VLOOKUP($B103,'增加值 (2001-2060, 2020RMB)'!$A$13:$BI$54,COLUMN('增加值 (2001-2060, 2020RMB)'!$AJ$1),0)/'增加值 (2001-2060, 2020RMB)'!$AJ$13</f>
        <v>8.3556764803683643E-3</v>
      </c>
      <c r="G103" s="163">
        <f>VLOOKUP($B103,'增加值 (2001-2060, 2020RMB)'!$A$13:$BI$54,COLUMN('增加值 (2001-2060, 2020RMB)'!$AY$1),0)/'增加值 (2001-2060, 2020RMB)'!$AY$13</f>
        <v>5.2772355087062905E-3</v>
      </c>
      <c r="H103" s="163">
        <f>VLOOKUP($B103,'增加值 (2001-2060, 2020RMB)'!$A$13:$BI$54,COLUMN('增加值 (2001-2060, 2020RMB)'!$BI$1),0)/'增加值 (2001-2060, 2020RMB)'!$BI$13</f>
        <v>3.9550378194477169E-3</v>
      </c>
    </row>
    <row r="104" spans="1:8" ht="15" x14ac:dyDescent="0.25">
      <c r="A104" s="156"/>
      <c r="B104" s="158" t="s">
        <v>233</v>
      </c>
      <c r="C104" s="163">
        <f>VLOOKUP($B104,'增加值 (2001-2060, 2020RMB)'!$A$13:$BI$54,COLUMN('增加值 (2001-2060, 2020RMB)'!$W$1),0)/'增加值 (2001-2060, 2020RMB)'!$W$13</f>
        <v>1.090069232378491E-2</v>
      </c>
      <c r="D104" s="163">
        <f>VLOOKUP($B104,'增加值 (2001-2060, 2020RMB)'!$A$13:$BI$54,COLUMN('增加值 (2001-2060, 2020RMB)'!$Z$1),0)/'增加值 (2001-2060, 2020RMB)'!$Z$13</f>
        <v>9.9309740208600381E-3</v>
      </c>
      <c r="E104" s="163">
        <f>VLOOKUP($B104,'增加值 (2001-2060, 2020RMB)'!$A$13:$BI$54,COLUMN('增加值 (2001-2060, 2020RMB)'!$AE$1),0)/'增加值 (2001-2060, 2020RMB)'!$AE$13</f>
        <v>8.5403554027999439E-3</v>
      </c>
      <c r="F104" s="163">
        <f>VLOOKUP($B104,'增加值 (2001-2060, 2020RMB)'!$A$13:$BI$54,COLUMN('增加值 (2001-2060, 2020RMB)'!$AJ$1),0)/'增加值 (2001-2060, 2020RMB)'!$AJ$13</f>
        <v>7.33462576862516E-3</v>
      </c>
      <c r="G104" s="163">
        <f>VLOOKUP($B104,'增加值 (2001-2060, 2020RMB)'!$A$13:$BI$54,COLUMN('增加值 (2001-2060, 2020RMB)'!$AY$1),0)/'增加值 (2001-2060, 2020RMB)'!$AY$13</f>
        <v>4.8799736535423124E-3</v>
      </c>
      <c r="H104" s="163">
        <f>VLOOKUP($B104,'增加值 (2001-2060, 2020RMB)'!$A$13:$BI$54,COLUMN('增加值 (2001-2060, 2020RMB)'!$BI$1),0)/'增加值 (2001-2060, 2020RMB)'!$BI$13</f>
        <v>3.7344322522221926E-3</v>
      </c>
    </row>
    <row r="105" spans="1:8" ht="15" x14ac:dyDescent="0.25">
      <c r="A105" s="156"/>
      <c r="B105" s="157" t="s">
        <v>234</v>
      </c>
      <c r="C105" s="163">
        <f>VLOOKUP($B105,'增加值 (2001-2060, 2020RMB)'!$A$13:$BI$54,COLUMN('增加值 (2001-2060, 2020RMB)'!$W$1),0)/'增加值 (2001-2060, 2020RMB)'!$W$13</f>
        <v>1.6572863179977887E-2</v>
      </c>
      <c r="D105" s="163">
        <f>VLOOKUP($B105,'增加值 (2001-2060, 2020RMB)'!$A$13:$BI$54,COLUMN('增加值 (2001-2060, 2020RMB)'!$Z$1),0)/'增加值 (2001-2060, 2020RMB)'!$Z$13</f>
        <v>1.4901552374127732E-2</v>
      </c>
      <c r="E105" s="163">
        <f>VLOOKUP($B105,'增加值 (2001-2060, 2020RMB)'!$A$13:$BI$54,COLUMN('增加值 (2001-2060, 2020RMB)'!$AE$1),0)/'增加值 (2001-2060, 2020RMB)'!$AE$13</f>
        <v>1.2585919147230508E-2</v>
      </c>
      <c r="F105" s="163">
        <f>VLOOKUP($B105,'增加值 (2001-2060, 2020RMB)'!$A$13:$BI$54,COLUMN('增加值 (2001-2060, 2020RMB)'!$AJ$1),0)/'增加值 (2001-2060, 2020RMB)'!$AJ$13</f>
        <v>1.0665458064032372E-2</v>
      </c>
      <c r="G105" s="163">
        <f>VLOOKUP($B105,'增加值 (2001-2060, 2020RMB)'!$A$13:$BI$54,COLUMN('增加值 (2001-2060, 2020RMB)'!$AY$1),0)/'增加值 (2001-2060, 2020RMB)'!$AY$13</f>
        <v>6.9299492516582597E-3</v>
      </c>
      <c r="H105" s="163">
        <f>VLOOKUP($B105,'增加值 (2001-2060, 2020RMB)'!$A$13:$BI$54,COLUMN('增加值 (2001-2060, 2020RMB)'!$BI$1),0)/'增加值 (2001-2060, 2020RMB)'!$BI$13</f>
        <v>5.2530585946795752E-3</v>
      </c>
    </row>
    <row r="106" spans="1:8" ht="15" x14ac:dyDescent="0.25">
      <c r="A106" s="156"/>
      <c r="B106" s="157" t="s">
        <v>235</v>
      </c>
      <c r="C106" s="163">
        <f>VLOOKUP($B106,'增加值 (2001-2060, 2020RMB)'!$A$13:$BI$54,COLUMN('增加值 (2001-2060, 2020RMB)'!$W$1),0)/'增加值 (2001-2060, 2020RMB)'!$W$13</f>
        <v>6.4036785590677603E-2</v>
      </c>
      <c r="D106" s="163">
        <f>VLOOKUP($B106,'增加值 (2001-2060, 2020RMB)'!$A$13:$BI$54,COLUMN('增加值 (2001-2060, 2020RMB)'!$Z$1),0)/'增加值 (2001-2060, 2020RMB)'!$Z$13</f>
        <v>6.112359367153631E-2</v>
      </c>
      <c r="E106" s="163">
        <f>VLOOKUP($B106,'增加值 (2001-2060, 2020RMB)'!$A$13:$BI$54,COLUMN('增加值 (2001-2060, 2020RMB)'!$AE$1),0)/'增加值 (2001-2060, 2020RMB)'!$AE$13</f>
        <v>5.6044243300497031E-2</v>
      </c>
      <c r="F106" s="163">
        <f>VLOOKUP($B106,'增加值 (2001-2060, 2020RMB)'!$A$13:$BI$54,COLUMN('增加值 (2001-2060, 2020RMB)'!$AJ$1),0)/'增加值 (2001-2060, 2020RMB)'!$AJ$13</f>
        <v>5.0480328629106577E-2</v>
      </c>
      <c r="G106" s="163">
        <f>VLOOKUP($B106,'增加值 (2001-2060, 2020RMB)'!$A$13:$BI$54,COLUMN('增加值 (2001-2060, 2020RMB)'!$AY$1),0)/'增加值 (2001-2060, 2020RMB)'!$AY$13</f>
        <v>3.6551728259350498E-2</v>
      </c>
      <c r="H106" s="163">
        <f>VLOOKUP($B106,'增加值 (2001-2060, 2020RMB)'!$A$13:$BI$54,COLUMN('增加值 (2001-2060, 2020RMB)'!$BI$1),0)/'增加值 (2001-2060, 2020RMB)'!$BI$13</f>
        <v>2.8937966917890221E-2</v>
      </c>
    </row>
    <row r="107" spans="1:8" ht="15" x14ac:dyDescent="0.25">
      <c r="A107" s="156"/>
      <c r="B107" s="158" t="s">
        <v>236</v>
      </c>
      <c r="C107" s="163">
        <f>VLOOKUP($B107,'增加值 (2001-2060, 2020RMB)'!$A$13:$BI$54,COLUMN('增加值 (2001-2060, 2020RMB)'!$W$1),0)/'增加值 (2001-2060, 2020RMB)'!$W$13</f>
        <v>4.9449596704800773E-3</v>
      </c>
      <c r="D107" s="163">
        <f>VLOOKUP($B107,'增加值 (2001-2060, 2020RMB)'!$A$13:$BI$54,COLUMN('增加值 (2001-2060, 2020RMB)'!$Z$1),0)/'增加值 (2001-2060, 2020RMB)'!$Z$13</f>
        <v>4.8113148596750305E-3</v>
      </c>
      <c r="E107" s="163">
        <f>VLOOKUP($B107,'增加值 (2001-2060, 2020RMB)'!$A$13:$BI$54,COLUMN('增加值 (2001-2060, 2020RMB)'!$AE$1),0)/'增加值 (2001-2060, 2020RMB)'!$AE$13</f>
        <v>4.5295230035270482E-3</v>
      </c>
      <c r="F107" s="163">
        <f>VLOOKUP($B107,'增加值 (2001-2060, 2020RMB)'!$A$13:$BI$54,COLUMN('增加值 (2001-2060, 2020RMB)'!$AJ$1),0)/'增加值 (2001-2060, 2020RMB)'!$AJ$13</f>
        <v>4.1608812190228267E-3</v>
      </c>
      <c r="G107" s="163">
        <f>VLOOKUP($B107,'增加值 (2001-2060, 2020RMB)'!$A$13:$BI$54,COLUMN('增加值 (2001-2060, 2020RMB)'!$AY$1),0)/'增加值 (2001-2060, 2020RMB)'!$AY$13</f>
        <v>3.1202089422556725E-3</v>
      </c>
      <c r="H107" s="163">
        <f>VLOOKUP($B107,'增加值 (2001-2060, 2020RMB)'!$A$13:$BI$54,COLUMN('增加值 (2001-2060, 2020RMB)'!$BI$1),0)/'增加值 (2001-2060, 2020RMB)'!$BI$13</f>
        <v>2.5053076901575327E-3</v>
      </c>
    </row>
    <row r="108" spans="1:8" ht="15" x14ac:dyDescent="0.25">
      <c r="A108" s="156"/>
      <c r="B108" s="157" t="s">
        <v>237</v>
      </c>
      <c r="C108" s="163">
        <f>VLOOKUP($B108,'增加值 (2001-2060, 2020RMB)'!$A$13:$BI$54,COLUMN('增加值 (2001-2060, 2020RMB)'!$W$1),0)/'增加值 (2001-2060, 2020RMB)'!$W$13</f>
        <v>4.2932081844317099E-2</v>
      </c>
      <c r="D108" s="163">
        <f>VLOOKUP($B108,'增加值 (2001-2060, 2020RMB)'!$A$13:$BI$54,COLUMN('增加值 (2001-2060, 2020RMB)'!$Z$1),0)/'增加值 (2001-2060, 2020RMB)'!$Z$13</f>
        <v>4.0474244771021309E-2</v>
      </c>
      <c r="E108" s="163">
        <f>VLOOKUP($B108,'增加值 (2001-2060, 2020RMB)'!$A$13:$BI$54,COLUMN('增加值 (2001-2060, 2020RMB)'!$AE$1),0)/'增加值 (2001-2060, 2020RMB)'!$AE$13</f>
        <v>3.648303403282277E-2</v>
      </c>
      <c r="F108" s="163">
        <f>VLOOKUP($B108,'增加值 (2001-2060, 2020RMB)'!$A$13:$BI$54,COLUMN('增加值 (2001-2060, 2020RMB)'!$AJ$1),0)/'增加值 (2001-2060, 2020RMB)'!$AJ$13</f>
        <v>3.2446542099238043E-2</v>
      </c>
      <c r="G108" s="163">
        <f>VLOOKUP($B108,'增加值 (2001-2060, 2020RMB)'!$A$13:$BI$54,COLUMN('增加值 (2001-2060, 2020RMB)'!$AY$1),0)/'增加值 (2001-2060, 2020RMB)'!$AY$13</f>
        <v>2.2969274314341672E-2</v>
      </c>
      <c r="H108" s="163">
        <f>VLOOKUP($B108,'增加值 (2001-2060, 2020RMB)'!$A$13:$BI$54,COLUMN('增加值 (2001-2060, 2020RMB)'!$BI$1),0)/'增加值 (2001-2060, 2020RMB)'!$BI$13</f>
        <v>1.802049993059375E-2</v>
      </c>
    </row>
    <row r="109" spans="1:8" ht="15" x14ac:dyDescent="0.25">
      <c r="A109" s="156"/>
      <c r="B109" s="157" t="s">
        <v>238</v>
      </c>
      <c r="C109" s="163">
        <f>VLOOKUP($B109,'增加值 (2001-2060, 2020RMB)'!$A$13:$BI$54,COLUMN('增加值 (2001-2060, 2020RMB)'!$W$1),0)/'增加值 (2001-2060, 2020RMB)'!$W$13</f>
        <v>5.7252353789248388E-2</v>
      </c>
      <c r="D109" s="163">
        <f>VLOOKUP($B109,'增加值 (2001-2060, 2020RMB)'!$A$13:$BI$54,COLUMN('增加值 (2001-2060, 2020RMB)'!$Z$1),0)/'增加值 (2001-2060, 2020RMB)'!$Z$13</f>
        <v>5.3931333633966939E-2</v>
      </c>
      <c r="E109" s="163">
        <f>VLOOKUP($B109,'增加值 (2001-2060, 2020RMB)'!$A$13:$BI$54,COLUMN('增加值 (2001-2060, 2020RMB)'!$AE$1),0)/'增加值 (2001-2060, 2020RMB)'!$AE$13</f>
        <v>4.8559375845060086E-2</v>
      </c>
      <c r="F109" s="163">
        <f>VLOOKUP($B109,'增加值 (2001-2060, 2020RMB)'!$A$13:$BI$54,COLUMN('增加值 (2001-2060, 2020RMB)'!$AJ$1),0)/'增加值 (2001-2060, 2020RMB)'!$AJ$13</f>
        <v>4.3151249521065492E-2</v>
      </c>
      <c r="G109" s="163">
        <f>VLOOKUP($B109,'增加值 (2001-2060, 2020RMB)'!$A$13:$BI$54,COLUMN('增加值 (2001-2060, 2020RMB)'!$AY$1),0)/'增加值 (2001-2060, 2020RMB)'!$AY$13</f>
        <v>3.0502628420515179E-2</v>
      </c>
      <c r="H109" s="163">
        <f>VLOOKUP($B109,'增加值 (2001-2060, 2020RMB)'!$A$13:$BI$54,COLUMN('增加值 (2001-2060, 2020RMB)'!$BI$1),0)/'增加值 (2001-2060, 2020RMB)'!$BI$13</f>
        <v>2.391672821206867E-2</v>
      </c>
    </row>
    <row r="110" spans="1:8" ht="15" x14ac:dyDescent="0.25">
      <c r="A110" s="156"/>
      <c r="B110" s="157" t="s">
        <v>239</v>
      </c>
      <c r="C110" s="163">
        <f>VLOOKUP($B110,'增加值 (2001-2060, 2020RMB)'!$A$13:$BI$54,COLUMN('增加值 (2001-2060, 2020RMB)'!$W$1),0)/'增加值 (2001-2060, 2020RMB)'!$W$13</f>
        <v>3.5157404645083011E-2</v>
      </c>
      <c r="D110" s="163">
        <f>VLOOKUP($B110,'增加值 (2001-2060, 2020RMB)'!$A$13:$BI$54,COLUMN('增加值 (2001-2060, 2020RMB)'!$Z$1),0)/'增加值 (2001-2060, 2020RMB)'!$Z$13</f>
        <v>3.3565582093499524E-2</v>
      </c>
      <c r="E110" s="163">
        <f>VLOOKUP($B110,'增加值 (2001-2060, 2020RMB)'!$A$13:$BI$54,COLUMN('增加值 (2001-2060, 2020RMB)'!$AE$1),0)/'增加值 (2001-2060, 2020RMB)'!$AE$13</f>
        <v>3.0785860806278081E-2</v>
      </c>
      <c r="F110" s="163">
        <f>VLOOKUP($B110,'增加值 (2001-2060, 2020RMB)'!$A$13:$BI$54,COLUMN('增加值 (2001-2060, 2020RMB)'!$AJ$1),0)/'增加值 (2001-2060, 2020RMB)'!$AJ$13</f>
        <v>2.7735944147587656E-2</v>
      </c>
      <c r="G110" s="163">
        <f>VLOOKUP($B110,'增加值 (2001-2060, 2020RMB)'!$A$13:$BI$54,COLUMN('增加值 (2001-2060, 2020RMB)'!$AY$1),0)/'增加值 (2001-2060, 2020RMB)'!$AY$13</f>
        <v>2.0091276236031297E-2</v>
      </c>
      <c r="H110" s="163">
        <f>VLOOKUP($B110,'增加值 (2001-2060, 2020RMB)'!$A$13:$BI$54,COLUMN('增加值 (2001-2060, 2020RMB)'!$BI$1),0)/'增加值 (2001-2060, 2020RMB)'!$BI$13</f>
        <v>1.5908876177731839E-2</v>
      </c>
    </row>
    <row r="111" spans="1:8" x14ac:dyDescent="0.15">
      <c r="A111" s="155" t="s">
        <v>250</v>
      </c>
      <c r="B111" s="158" t="s">
        <v>251</v>
      </c>
      <c r="C111" s="163">
        <f>VLOOKUP($B111,'增加值 (2001-2060, 2020RMB)'!$A$13:$BI$54,COLUMN('增加值 (2001-2060, 2020RMB)'!$W$1),0)/'增加值 (2001-2060, 2020RMB)'!$W$13</f>
        <v>4.0415847657294758E-2</v>
      </c>
      <c r="D111" s="163">
        <f>VLOOKUP($B111,'增加值 (2001-2060, 2020RMB)'!$A$13:$BI$54,COLUMN('增加值 (2001-2060, 2020RMB)'!$Z$1),0)/'增加值 (2001-2060, 2020RMB)'!$Z$13</f>
        <v>4.0466354701681591E-2</v>
      </c>
      <c r="E111" s="163">
        <f>VLOOKUP($B111,'增加值 (2001-2060, 2020RMB)'!$A$13:$BI$54,COLUMN('增加值 (2001-2060, 2020RMB)'!$AE$1),0)/'增加值 (2001-2060, 2020RMB)'!$AE$13</f>
        <v>4.0223384883624778E-2</v>
      </c>
      <c r="F111" s="163">
        <f>VLOOKUP($B111,'增加值 (2001-2060, 2020RMB)'!$A$13:$BI$54,COLUMN('增加值 (2001-2060, 2020RMB)'!$AJ$1),0)/'增加值 (2001-2060, 2020RMB)'!$AJ$13</f>
        <v>3.9553326000816194E-2</v>
      </c>
      <c r="G111" s="163">
        <f>VLOOKUP($B111,'增加值 (2001-2060, 2020RMB)'!$A$13:$BI$54,COLUMN('增加值 (2001-2060, 2020RMB)'!$AY$1),0)/'增加值 (2001-2060, 2020RMB)'!$AY$13</f>
        <v>3.553707570507203E-2</v>
      </c>
      <c r="H111" s="163">
        <f>VLOOKUP($B111,'增加值 (2001-2060, 2020RMB)'!$A$13:$BI$54,COLUMN('增加值 (2001-2060, 2020RMB)'!$BI$1),0)/'增加值 (2001-2060, 2020RMB)'!$BI$13</f>
        <v>3.2163327775328689E-2</v>
      </c>
    </row>
    <row r="112" spans="1:8" ht="15" x14ac:dyDescent="0.25">
      <c r="A112" s="156"/>
      <c r="B112" s="158" t="s">
        <v>252</v>
      </c>
      <c r="C112" s="163">
        <f>VLOOKUP($B112,'增加值 (2001-2060, 2020RMB)'!$A$13:$BI$54,COLUMN('增加值 (2001-2060, 2020RMB)'!$W$1),0)/'增加值 (2001-2060, 2020RMB)'!$W$13</f>
        <v>4.20504050149582E-2</v>
      </c>
      <c r="D112" s="163">
        <f>VLOOKUP($B112,'增加值 (2001-2060, 2020RMB)'!$A$13:$BI$54,COLUMN('增加值 (2001-2060, 2020RMB)'!$Z$1),0)/'增加值 (2001-2060, 2020RMB)'!$Z$13</f>
        <v>4.2332483256961956E-2</v>
      </c>
      <c r="E112" s="163">
        <f>VLOOKUP($B112,'增加值 (2001-2060, 2020RMB)'!$A$13:$BI$54,COLUMN('增加值 (2001-2060, 2020RMB)'!$AE$1),0)/'增加值 (2001-2060, 2020RMB)'!$AE$13</f>
        <v>4.2418056240928301E-2</v>
      </c>
      <c r="F112" s="163">
        <f>VLOOKUP($B112,'增加值 (2001-2060, 2020RMB)'!$A$13:$BI$54,COLUMN('增加值 (2001-2060, 2020RMB)'!$AJ$1),0)/'增加值 (2001-2060, 2020RMB)'!$AJ$13</f>
        <v>4.2004872721902946E-2</v>
      </c>
      <c r="G112" s="163">
        <f>VLOOKUP($B112,'增加值 (2001-2060, 2020RMB)'!$A$13:$BI$54,COLUMN('增加值 (2001-2060, 2020RMB)'!$AY$1),0)/'增加值 (2001-2060, 2020RMB)'!$AY$13</f>
        <v>3.8299788257017423E-2</v>
      </c>
      <c r="H112" s="163">
        <f>VLOOKUP($B112,'增加值 (2001-2060, 2020RMB)'!$A$13:$BI$54,COLUMN('增加值 (2001-2060, 2020RMB)'!$BI$1),0)/'增加值 (2001-2060, 2020RMB)'!$BI$13</f>
        <v>3.4931150712048824E-2</v>
      </c>
    </row>
    <row r="113" spans="1:8" ht="15" x14ac:dyDescent="0.25">
      <c r="A113" s="156"/>
      <c r="B113" s="158" t="s">
        <v>253</v>
      </c>
      <c r="C113" s="163">
        <f>VLOOKUP($B113,'增加值 (2001-2060, 2020RMB)'!$A$13:$BI$54,COLUMN('增加值 (2001-2060, 2020RMB)'!$W$1),0)/'增加值 (2001-2060, 2020RMB)'!$W$13</f>
        <v>3.2495350973164694E-2</v>
      </c>
      <c r="D113" s="163">
        <f>VLOOKUP($B113,'增加值 (2001-2060, 2020RMB)'!$A$13:$BI$54,COLUMN('增加值 (2001-2060, 2020RMB)'!$Z$1),0)/'增加值 (2001-2060, 2020RMB)'!$Z$13</f>
        <v>3.4603886458015917E-2</v>
      </c>
      <c r="E113" s="163">
        <f>VLOOKUP($B113,'增加值 (2001-2060, 2020RMB)'!$A$13:$BI$54,COLUMN('增加值 (2001-2060, 2020RMB)'!$AE$1),0)/'增加值 (2001-2060, 2020RMB)'!$AE$13</f>
        <v>3.7682038877134387E-2</v>
      </c>
      <c r="F113" s="163">
        <f>VLOOKUP($B113,'增加值 (2001-2060, 2020RMB)'!$A$13:$BI$54,COLUMN('增加值 (2001-2060, 2020RMB)'!$AJ$1),0)/'增加值 (2001-2060, 2020RMB)'!$AJ$13</f>
        <v>4.0125262017937986E-2</v>
      </c>
      <c r="G113" s="163">
        <f>VLOOKUP($B113,'增加值 (2001-2060, 2020RMB)'!$A$13:$BI$54,COLUMN('增加值 (2001-2060, 2020RMB)'!$AY$1),0)/'增加值 (2001-2060, 2020RMB)'!$AY$13</f>
        <v>4.2632609794607736E-2</v>
      </c>
      <c r="H113" s="163">
        <f>VLOOKUP($B113,'增加值 (2001-2060, 2020RMB)'!$A$13:$BI$54,COLUMN('增加值 (2001-2060, 2020RMB)'!$BI$1),0)/'增加值 (2001-2060, 2020RMB)'!$BI$13</f>
        <v>4.2116204880108053E-2</v>
      </c>
    </row>
    <row r="114" spans="1:8" ht="15" x14ac:dyDescent="0.25">
      <c r="A114" s="156"/>
      <c r="B114" s="158" t="s">
        <v>254</v>
      </c>
      <c r="C114" s="163">
        <f>VLOOKUP($B114,'增加值 (2001-2060, 2020RMB)'!$A$13:$BI$54,COLUMN('增加值 (2001-2060, 2020RMB)'!$W$1),0)/'增加值 (2001-2060, 2020RMB)'!$W$13</f>
        <v>6.4495814044532723E-2</v>
      </c>
      <c r="D114" s="163">
        <f>VLOOKUP($B114,'增加值 (2001-2060, 2020RMB)'!$A$13:$BI$54,COLUMN('增加值 (2001-2060, 2020RMB)'!$Z$1),0)/'增加值 (2001-2060, 2020RMB)'!$Z$13</f>
        <v>6.4747880059839391E-2</v>
      </c>
      <c r="E114" s="163">
        <f>VLOOKUP($B114,'增加值 (2001-2060, 2020RMB)'!$A$13:$BI$54,COLUMN('增加值 (2001-2060, 2020RMB)'!$AE$1),0)/'增加值 (2001-2060, 2020RMB)'!$AE$13</f>
        <v>6.4612034284416434E-2</v>
      </c>
      <c r="F114" s="163">
        <f>VLOOKUP($B114,'增加值 (2001-2060, 2020RMB)'!$A$13:$BI$54,COLUMN('增加值 (2001-2060, 2020RMB)'!$AJ$1),0)/'增加值 (2001-2060, 2020RMB)'!$AJ$13</f>
        <v>6.375328675135257E-2</v>
      </c>
      <c r="G114" s="163">
        <f>VLOOKUP($B114,'增加值 (2001-2060, 2020RMB)'!$A$13:$BI$54,COLUMN('增加值 (2001-2060, 2020RMB)'!$AY$1),0)/'增加值 (2001-2060, 2020RMB)'!$AY$13</f>
        <v>5.7692738468348763E-2</v>
      </c>
      <c r="H114" s="163">
        <f>VLOOKUP($B114,'增加值 (2001-2060, 2020RMB)'!$A$13:$BI$54,COLUMN('增加值 (2001-2060, 2020RMB)'!$BI$1),0)/'增加值 (2001-2060, 2020RMB)'!$BI$13</f>
        <v>5.2411634357637474E-2</v>
      </c>
    </row>
    <row r="115" spans="1:8" ht="15" x14ac:dyDescent="0.25">
      <c r="A115" s="156"/>
      <c r="B115" s="157" t="s">
        <v>255</v>
      </c>
      <c r="C115" s="163">
        <f>VLOOKUP($B115,'增加值 (2001-2060, 2020RMB)'!$A$13:$BI$54,COLUMN('增加值 (2001-2060, 2020RMB)'!$W$1),0)/'增加值 (2001-2060, 2020RMB)'!$W$13</f>
        <v>1.7604738161339482E-2</v>
      </c>
      <c r="D115" s="163">
        <f>VLOOKUP($B115,'增加值 (2001-2060, 2020RMB)'!$A$13:$BI$54,COLUMN('增加值 (2001-2060, 2020RMB)'!$Z$1),0)/'增加值 (2001-2060, 2020RMB)'!$Z$13</f>
        <v>1.7115516854315779E-2</v>
      </c>
      <c r="E115" s="163">
        <f>VLOOKUP($B115,'增加值 (2001-2060, 2020RMB)'!$A$13:$BI$54,COLUMN('增加值 (2001-2060, 2020RMB)'!$AE$1),0)/'增加值 (2001-2060, 2020RMB)'!$AE$13</f>
        <v>1.6288486586229507E-2</v>
      </c>
      <c r="F115" s="163">
        <f>VLOOKUP($B115,'增加值 (2001-2060, 2020RMB)'!$A$13:$BI$54,COLUMN('增加值 (2001-2060, 2020RMB)'!$AJ$1),0)/'增加值 (2001-2060, 2020RMB)'!$AJ$13</f>
        <v>1.5421467038260467E-2</v>
      </c>
      <c r="G115" s="163">
        <f>VLOOKUP($B115,'增加值 (2001-2060, 2020RMB)'!$A$13:$BI$54,COLUMN('增加值 (2001-2060, 2020RMB)'!$AY$1),0)/'增加值 (2001-2060, 2020RMB)'!$AY$13</f>
        <v>1.2796216657021721E-2</v>
      </c>
      <c r="H115" s="163">
        <f>VLOOKUP($B115,'增加值 (2001-2060, 2020RMB)'!$A$13:$BI$54,COLUMN('增加值 (2001-2060, 2020RMB)'!$BI$1),0)/'增加值 (2001-2060, 2020RMB)'!$BI$13</f>
        <v>1.1111061944733268E-2</v>
      </c>
    </row>
    <row r="116" spans="1:8" ht="15" x14ac:dyDescent="0.25">
      <c r="A116" s="156"/>
      <c r="B116" s="157" t="s">
        <v>256</v>
      </c>
      <c r="C116" s="163">
        <f>VLOOKUP($B116,'增加值 (2001-2060, 2020RMB)'!$A$13:$BI$54,COLUMN('增加值 (2001-2060, 2020RMB)'!$W$1),0)/'增加值 (2001-2060, 2020RMB)'!$W$13</f>
        <v>7.327194534663288E-2</v>
      </c>
      <c r="D116" s="163">
        <f>VLOOKUP($B116,'增加值 (2001-2060, 2020RMB)'!$A$13:$BI$54,COLUMN('增加值 (2001-2060, 2020RMB)'!$Z$1),0)/'增加值 (2001-2060, 2020RMB)'!$Z$13</f>
        <v>8.2534861787090061E-2</v>
      </c>
      <c r="E116" s="163">
        <f>VLOOKUP($B116,'增加值 (2001-2060, 2020RMB)'!$A$13:$BI$54,COLUMN('增加值 (2001-2060, 2020RMB)'!$AE$1),0)/'增加值 (2001-2060, 2020RMB)'!$AE$13</f>
        <v>9.7689607383379853E-2</v>
      </c>
      <c r="F116" s="163">
        <f>VLOOKUP($B116,'增加值 (2001-2060, 2020RMB)'!$A$13:$BI$54,COLUMN('增加值 (2001-2060, 2020RMB)'!$AJ$1),0)/'增加值 (2001-2060, 2020RMB)'!$AJ$13</f>
        <v>0.11189047882908403</v>
      </c>
      <c r="G116" s="163">
        <f>VLOOKUP($B116,'增加值 (2001-2060, 2020RMB)'!$A$13:$BI$54,COLUMN('增加值 (2001-2060, 2020RMB)'!$AY$1),0)/'增加值 (2001-2060, 2020RMB)'!$AY$13</f>
        <v>0.13870738924418477</v>
      </c>
      <c r="H116" s="163">
        <f>VLOOKUP($B116,'增加值 (2001-2060, 2020RMB)'!$A$13:$BI$54,COLUMN('增加值 (2001-2060, 2020RMB)'!$BI$1),0)/'增加值 (2001-2060, 2020RMB)'!$BI$13</f>
        <v>0.14854736784777289</v>
      </c>
    </row>
    <row r="117" spans="1:8" x14ac:dyDescent="0.15">
      <c r="A117" s="155" t="s">
        <v>257</v>
      </c>
      <c r="B117" s="158" t="s">
        <v>258</v>
      </c>
      <c r="C117" s="163">
        <f>VLOOKUP($B117,'增加值 (2001-2060, 2020RMB)'!$A$13:$BI$54,COLUMN('增加值 (2001-2060, 2020RMB)'!$W$1),0)/'增加值 (2001-2060, 2020RMB)'!$W$13</f>
        <v>0.10663333152705491</v>
      </c>
      <c r="D117" s="163">
        <f>VLOOKUP($B117,'增加值 (2001-2060, 2020RMB)'!$A$13:$BI$54,COLUMN('增加值 (2001-2060, 2020RMB)'!$Z$1),0)/'增加值 (2001-2060, 2020RMB)'!$Z$13</f>
        <v>0.1223255746853318</v>
      </c>
      <c r="E117" s="163">
        <f>VLOOKUP($B117,'增加值 (2001-2060, 2020RMB)'!$A$13:$BI$54,COLUMN('增加值 (2001-2060, 2020RMB)'!$AE$1),0)/'增加值 (2001-2060, 2020RMB)'!$AE$13</f>
        <v>0.14546239649280754</v>
      </c>
      <c r="F117" s="163">
        <f>VLOOKUP($B117,'增加值 (2001-2060, 2020RMB)'!$A$13:$BI$54,COLUMN('增加值 (2001-2060, 2020RMB)'!$AJ$1),0)/'增加值 (2001-2060, 2020RMB)'!$AJ$13</f>
        <v>0.17164443284470732</v>
      </c>
      <c r="G117" s="163">
        <f>VLOOKUP($B117,'增加值 (2001-2060, 2020RMB)'!$A$13:$BI$54,COLUMN('增加值 (2001-2060, 2020RMB)'!$AY$1),0)/'增加值 (2001-2060, 2020RMB)'!$AY$13</f>
        <v>0.25113028323975423</v>
      </c>
      <c r="H117" s="163">
        <f>VLOOKUP($B117,'增加值 (2001-2060, 2020RMB)'!$A$13:$BI$54,COLUMN('增加值 (2001-2060, 2020RMB)'!$BI$1),0)/'增加值 (2001-2060, 2020RMB)'!$BI$13</f>
        <v>0.30032063887173799</v>
      </c>
    </row>
    <row r="118" spans="1:8" x14ac:dyDescent="0.15">
      <c r="A118" s="155"/>
      <c r="B118" s="158" t="s">
        <v>105</v>
      </c>
      <c r="C118" s="163">
        <f>VLOOKUP($B118,'增加值 (2001-2060, 2020RMB)'!$A$13:$BI$54,COLUMN('增加值 (2001-2060, 2020RMB)'!$W$1),0)/'增加值 (2001-2060, 2020RMB)'!$W$13</f>
        <v>8.5863588078952963E-3</v>
      </c>
      <c r="D118" s="163">
        <f>VLOOKUP($B118,'增加值 (2001-2060, 2020RMB)'!$A$13:$BI$54,COLUMN('增加值 (2001-2060, 2020RMB)'!$Z$1),0)/'增加值 (2001-2060, 2020RMB)'!$Z$13</f>
        <v>9.1393434430415716E-3</v>
      </c>
      <c r="E118" s="163">
        <f>VLOOKUP($B118,'增加值 (2001-2060, 2020RMB)'!$A$13:$BI$54,COLUMN('增加值 (2001-2060, 2020RMB)'!$AE$1),0)/'增加值 (2001-2060, 2020RMB)'!$AE$13</f>
        <v>9.7809602067905795E-3</v>
      </c>
      <c r="F118" s="163">
        <f>VLOOKUP($B118,'增加值 (2001-2060, 2020RMB)'!$A$13:$BI$54,COLUMN('增加值 (2001-2060, 2020RMB)'!$AJ$1),0)/'增加值 (2001-2060, 2020RMB)'!$AJ$13</f>
        <v>1.0455715660366948E-2</v>
      </c>
      <c r="G118" s="163">
        <f>VLOOKUP($B118,'增加值 (2001-2060, 2020RMB)'!$A$13:$BI$54,COLUMN('增加值 (2001-2060, 2020RMB)'!$AY$1),0)/'增加值 (2001-2060, 2020RMB)'!$AY$13</f>
        <v>1.2081241461852035E-2</v>
      </c>
      <c r="H118" s="163">
        <f>VLOOKUP($B118,'增加值 (2001-2060, 2020RMB)'!$A$13:$BI$54,COLUMN('增加值 (2001-2060, 2020RMB)'!$BI$1),0)/'增加值 (2001-2060, 2020RMB)'!$BI$13</f>
        <v>1.2687352264514569E-2</v>
      </c>
    </row>
    <row r="119" spans="1:8" ht="15" x14ac:dyDescent="0.25">
      <c r="A119" s="156"/>
      <c r="B119" s="158" t="s">
        <v>259</v>
      </c>
      <c r="C119" s="163">
        <f>VLOOKUP($B119,'增加值 (2001-2060, 2020RMB)'!$A$13:$BI$54,COLUMN('增加值 (2001-2060, 2020RMB)'!$W$1),0)/'增加值 (2001-2060, 2020RMB)'!$W$13</f>
        <v>3.0692738654203196E-2</v>
      </c>
      <c r="D119" s="163">
        <f>VLOOKUP($B119,'增加值 (2001-2060, 2020RMB)'!$A$13:$BI$54,COLUMN('增加值 (2001-2060, 2020RMB)'!$Z$1),0)/'增加值 (2001-2060, 2020RMB)'!$Z$13</f>
        <v>3.3389746460785429E-2</v>
      </c>
      <c r="E119" s="163">
        <f>VLOOKUP($B119,'增加值 (2001-2060, 2020RMB)'!$A$13:$BI$54,COLUMN('增加值 (2001-2060, 2020RMB)'!$AE$1),0)/'增加值 (2001-2060, 2020RMB)'!$AE$13</f>
        <v>3.684611189701683E-2</v>
      </c>
      <c r="F119" s="163">
        <f>VLOOKUP($B119,'增加值 (2001-2060, 2020RMB)'!$A$13:$BI$54,COLUMN('增加值 (2001-2060, 2020RMB)'!$AJ$1),0)/'增加值 (2001-2060, 2020RMB)'!$AJ$13</f>
        <v>4.0535748771656846E-2</v>
      </c>
      <c r="G119" s="163">
        <f>VLOOKUP($B119,'增加值 (2001-2060, 2020RMB)'!$A$13:$BI$54,COLUMN('增加值 (2001-2060, 2020RMB)'!$AY$1),0)/'增加值 (2001-2060, 2020RMB)'!$AY$13</f>
        <v>5.0159894317941919E-2</v>
      </c>
      <c r="H119" s="163">
        <f>VLOOKUP($B119,'增加值 (2001-2060, 2020RMB)'!$A$13:$BI$54,COLUMN('增加值 (2001-2060, 2020RMB)'!$BI$1),0)/'增加值 (2001-2060, 2020RMB)'!$BI$13</f>
        <v>5.4699275775406578E-2</v>
      </c>
    </row>
    <row r="122" spans="1:8" x14ac:dyDescent="0.2">
      <c r="B122" s="125"/>
      <c r="C122" s="125">
        <v>2022</v>
      </c>
      <c r="D122" s="125">
        <v>2025</v>
      </c>
      <c r="E122" s="125">
        <v>2030</v>
      </c>
      <c r="F122" s="125">
        <v>2035</v>
      </c>
      <c r="G122" s="125">
        <v>2050</v>
      </c>
      <c r="H122" s="125">
        <v>2060</v>
      </c>
    </row>
    <row r="123" spans="1:8" x14ac:dyDescent="0.2">
      <c r="B123" s="125" t="s">
        <v>289</v>
      </c>
      <c r="C123" s="126">
        <f>SUM(C97:C101)</f>
        <v>0.13722970317754837</v>
      </c>
      <c r="D123" s="126">
        <f t="shared" ref="D123:H123" si="12">SUM(D97:D101)</f>
        <v>0.13493129062738599</v>
      </c>
      <c r="E123" s="126">
        <f t="shared" si="12"/>
        <v>0.13560780603357001</v>
      </c>
      <c r="F123" s="126">
        <f t="shared" si="12"/>
        <v>0.13307425042794671</v>
      </c>
      <c r="G123" s="126">
        <f t="shared" si="12"/>
        <v>0.11976713870247944</v>
      </c>
      <c r="H123" s="126">
        <f t="shared" si="12"/>
        <v>0.11701587887346161</v>
      </c>
    </row>
    <row r="124" spans="1:8" x14ac:dyDescent="0.2">
      <c r="B124" s="125" t="s">
        <v>288</v>
      </c>
      <c r="C124" s="126">
        <f>SUM(C102:C110)</f>
        <v>0.26711353116751629</v>
      </c>
      <c r="D124" s="126">
        <f t="shared" ref="D124:H124" si="13">SUM(D102:D110)</f>
        <v>0.24985220410287715</v>
      </c>
      <c r="E124" s="126">
        <f t="shared" si="13"/>
        <v>0.22308249451994014</v>
      </c>
      <c r="F124" s="126">
        <f t="shared" si="13"/>
        <v>0.19718645987816605</v>
      </c>
      <c r="G124" s="126">
        <f t="shared" si="13"/>
        <v>0.13833233436255454</v>
      </c>
      <c r="H124" s="126">
        <f t="shared" si="13"/>
        <v>0.10820257490874302</v>
      </c>
    </row>
    <row r="125" spans="1:8" x14ac:dyDescent="0.2">
      <c r="B125" s="125" t="s">
        <v>290</v>
      </c>
      <c r="C125" s="126">
        <f>SUM(C111:C116)</f>
        <v>0.27033410119792273</v>
      </c>
      <c r="D125" s="126">
        <f t="shared" ref="D125:H125" si="14">SUM(D111:D116)</f>
        <v>0.28180098311790469</v>
      </c>
      <c r="E125" s="126">
        <f t="shared" si="14"/>
        <v>0.29891360825571323</v>
      </c>
      <c r="F125" s="126">
        <f t="shared" si="14"/>
        <v>0.31274869335935418</v>
      </c>
      <c r="G125" s="126">
        <f t="shared" si="14"/>
        <v>0.32566581812625245</v>
      </c>
      <c r="H125" s="126">
        <f t="shared" si="14"/>
        <v>0.32128074751762919</v>
      </c>
    </row>
    <row r="126" spans="1:8" x14ac:dyDescent="0.2">
      <c r="B126" s="125" t="s">
        <v>291</v>
      </c>
      <c r="C126" s="126">
        <f>SUM(C117:C119)</f>
        <v>0.14591242898915341</v>
      </c>
      <c r="D126" s="126">
        <f t="shared" ref="D126:H126" si="15">SUM(D117:D119)</f>
        <v>0.16485466458915882</v>
      </c>
      <c r="E126" s="126">
        <f t="shared" si="15"/>
        <v>0.19208946859661497</v>
      </c>
      <c r="F126" s="126">
        <f t="shared" si="15"/>
        <v>0.22263589727673111</v>
      </c>
      <c r="G126" s="126">
        <f t="shared" si="15"/>
        <v>0.31337141901954818</v>
      </c>
      <c r="H126" s="126">
        <f t="shared" si="15"/>
        <v>0.36770726691165911</v>
      </c>
    </row>
  </sheetData>
  <mergeCells count="4">
    <mergeCell ref="A13:F13"/>
    <mergeCell ref="A1:B1"/>
    <mergeCell ref="A26:B26"/>
    <mergeCell ref="A45:B4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C4EF-CCEA-480E-AD1C-BBB446F41EE7}">
  <dimension ref="A1:AN61"/>
  <sheetViews>
    <sheetView workbookViewId="0">
      <selection sqref="A1:AN61"/>
    </sheetView>
  </sheetViews>
  <sheetFormatPr defaultRowHeight="14.25" x14ac:dyDescent="0.2"/>
  <cols>
    <col min="1" max="1" width="19.25" customWidth="1"/>
  </cols>
  <sheetData>
    <row r="1" spans="1:40" x14ac:dyDescent="0.2">
      <c r="A1" s="122"/>
      <c r="B1" s="123">
        <v>2022</v>
      </c>
      <c r="C1" s="123">
        <v>2023</v>
      </c>
      <c r="D1" s="123">
        <v>2024</v>
      </c>
      <c r="E1" s="123">
        <v>2025</v>
      </c>
      <c r="F1" s="123">
        <v>2026</v>
      </c>
      <c r="G1" s="123">
        <v>2027</v>
      </c>
      <c r="H1" s="123">
        <v>2028</v>
      </c>
      <c r="I1" s="123">
        <v>2029</v>
      </c>
      <c r="J1" s="123">
        <v>2030</v>
      </c>
      <c r="K1" s="123">
        <v>2031</v>
      </c>
      <c r="L1" s="123">
        <v>2032</v>
      </c>
      <c r="M1" s="123">
        <v>2033</v>
      </c>
      <c r="N1" s="123">
        <v>2034</v>
      </c>
      <c r="O1" s="123">
        <v>2035</v>
      </c>
      <c r="P1" s="123">
        <v>2036</v>
      </c>
      <c r="Q1" s="123">
        <v>2037</v>
      </c>
      <c r="R1" s="123">
        <v>2038</v>
      </c>
      <c r="S1" s="123">
        <v>2039</v>
      </c>
      <c r="T1" s="123">
        <v>2040</v>
      </c>
      <c r="U1" s="123">
        <v>2041</v>
      </c>
      <c r="V1" s="123">
        <v>2042</v>
      </c>
      <c r="W1" s="123">
        <v>2043</v>
      </c>
      <c r="X1" s="123">
        <v>2044</v>
      </c>
      <c r="Y1" s="123">
        <v>2045</v>
      </c>
      <c r="Z1" s="123">
        <v>2046</v>
      </c>
      <c r="AA1" s="123">
        <v>2047</v>
      </c>
      <c r="AB1" s="123">
        <v>2048</v>
      </c>
      <c r="AC1" s="123">
        <v>2049</v>
      </c>
      <c r="AD1" s="123">
        <v>2050</v>
      </c>
      <c r="AE1" s="123">
        <v>2051</v>
      </c>
      <c r="AF1" s="123">
        <v>2052</v>
      </c>
      <c r="AG1" s="123">
        <v>2053</v>
      </c>
      <c r="AH1" s="123">
        <v>2054</v>
      </c>
      <c r="AI1" s="123">
        <v>2055</v>
      </c>
      <c r="AJ1" s="123">
        <v>2056</v>
      </c>
      <c r="AK1" s="123">
        <v>2057</v>
      </c>
      <c r="AL1" s="123">
        <v>2058</v>
      </c>
      <c r="AM1" s="123">
        <v>2059</v>
      </c>
      <c r="AN1" s="123">
        <v>2060</v>
      </c>
    </row>
    <row r="2" spans="1:40" x14ac:dyDescent="0.2">
      <c r="A2" s="123" t="s">
        <v>65</v>
      </c>
      <c r="B2" s="122">
        <v>86574.037414115228</v>
      </c>
      <c r="C2" s="122">
        <v>89111.560119597198</v>
      </c>
      <c r="D2" s="122">
        <v>92551.324691647664</v>
      </c>
      <c r="E2" s="122">
        <v>96730.551057237186</v>
      </c>
      <c r="F2" s="122">
        <v>101462.9136022615</v>
      </c>
      <c r="G2" s="122">
        <v>106523.1144965868</v>
      </c>
      <c r="H2" s="122">
        <v>111635.7913534852</v>
      </c>
      <c r="I2" s="122">
        <v>116470.607899928</v>
      </c>
      <c r="J2" s="122">
        <v>120645.94530321591</v>
      </c>
      <c r="K2" s="122">
        <v>123851.0709125006</v>
      </c>
      <c r="L2" s="122">
        <v>126209.5796672408</v>
      </c>
      <c r="M2" s="122">
        <v>127991.814514005</v>
      </c>
      <c r="N2" s="122">
        <v>129497.4438849256</v>
      </c>
      <c r="O2" s="122">
        <v>131045.2016491563</v>
      </c>
      <c r="P2" s="122">
        <v>132907.12596351121</v>
      </c>
      <c r="Q2" s="122">
        <v>135116.02418193841</v>
      </c>
      <c r="R2" s="122">
        <v>137643.4701399325</v>
      </c>
      <c r="S2" s="122">
        <v>140460.18974650069</v>
      </c>
      <c r="T2" s="122">
        <v>143535.22280358191</v>
      </c>
      <c r="U2" s="122">
        <v>146835.153454691</v>
      </c>
      <c r="V2" s="122">
        <v>150323.41350132329</v>
      </c>
      <c r="W2" s="122">
        <v>153959.6686977841</v>
      </c>
      <c r="X2" s="122">
        <v>157699.30350689549</v>
      </c>
      <c r="Y2" s="122">
        <v>161493.02456152011</v>
      </c>
      <c r="Z2" s="122">
        <v>165286.60703834571</v>
      </c>
      <c r="AA2" s="122">
        <v>169020.81104583619</v>
      </c>
      <c r="AB2" s="122">
        <v>172631.4966335457</v>
      </c>
      <c r="AC2" s="122">
        <v>176049.96578237979</v>
      </c>
      <c r="AD2" s="122">
        <v>179203.55736219211</v>
      </c>
      <c r="AE2" s="122">
        <v>182016.51619867451</v>
      </c>
      <c r="AF2" s="122">
        <v>184411.14980257041</v>
      </c>
      <c r="AG2" s="122">
        <v>186309.2758318843</v>
      </c>
      <c r="AH2" s="122">
        <v>187633.9500126169</v>
      </c>
      <c r="AI2" s="122">
        <v>188311.44829975901</v>
      </c>
      <c r="AJ2" s="122">
        <v>188273.45906093559</v>
      </c>
      <c r="AK2" s="122">
        <v>187459.42186218401</v>
      </c>
      <c r="AL2" s="122">
        <v>185818.9301946132</v>
      </c>
      <c r="AM2" s="122">
        <v>183314.0976541616</v>
      </c>
      <c r="AN2" s="122">
        <v>179921.77234544279</v>
      </c>
    </row>
    <row r="3" spans="1:40" x14ac:dyDescent="0.2">
      <c r="A3" s="123" t="s">
        <v>53</v>
      </c>
      <c r="B3" s="122">
        <v>77971.748616420751</v>
      </c>
      <c r="C3" s="122">
        <v>81807.141835478891</v>
      </c>
      <c r="D3" s="122">
        <v>85873.041078344395</v>
      </c>
      <c r="E3" s="122">
        <v>90105.170847837435</v>
      </c>
      <c r="F3" s="122">
        <v>94424.654329831872</v>
      </c>
      <c r="G3" s="122">
        <v>98736.898383428284</v>
      </c>
      <c r="H3" s="122">
        <v>102931.31364984121</v>
      </c>
      <c r="I3" s="122">
        <v>106882.1245940044</v>
      </c>
      <c r="J3" s="122">
        <v>110450.51330576099</v>
      </c>
      <c r="K3" s="122">
        <v>113529.6728424731</v>
      </c>
      <c r="L3" s="122">
        <v>116181.5561526877</v>
      </c>
      <c r="M3" s="122">
        <v>118526.8204172016</v>
      </c>
      <c r="N3" s="122">
        <v>120701.65048669931</v>
      </c>
      <c r="O3" s="122">
        <v>122854.8765460841</v>
      </c>
      <c r="P3" s="122">
        <v>125116.9428966181</v>
      </c>
      <c r="Q3" s="122">
        <v>127506.4095984563</v>
      </c>
      <c r="R3" s="122">
        <v>130012.2102490657</v>
      </c>
      <c r="S3" s="122">
        <v>132622.3022028876</v>
      </c>
      <c r="T3" s="122">
        <v>135323.53815721089</v>
      </c>
      <c r="U3" s="122">
        <v>138101.54929673081</v>
      </c>
      <c r="V3" s="122">
        <v>140940.6422440781</v>
      </c>
      <c r="W3" s="122">
        <v>143823.71243606039</v>
      </c>
      <c r="X3" s="122">
        <v>146732.1768747626</v>
      </c>
      <c r="Y3" s="122">
        <v>149645.92947558651</v>
      </c>
      <c r="Z3" s="122">
        <v>152543.3224353003</v>
      </c>
      <c r="AA3" s="122">
        <v>155401.17715509431</v>
      </c>
      <c r="AB3" s="122">
        <v>158194.82825823649</v>
      </c>
      <c r="AC3" s="122">
        <v>160898.20412062801</v>
      </c>
      <c r="AD3" s="122">
        <v>163483.94706726319</v>
      </c>
      <c r="AE3" s="122">
        <v>165923.57596184741</v>
      </c>
      <c r="AF3" s="122">
        <v>168187.69331698131</v>
      </c>
      <c r="AG3" s="122">
        <v>170246.23826888041</v>
      </c>
      <c r="AH3" s="122">
        <v>172068.78578976239</v>
      </c>
      <c r="AI3" s="122">
        <v>173624.89135595711</v>
      </c>
      <c r="AJ3" s="122">
        <v>174884.47896216839</v>
      </c>
      <c r="AK3" s="122">
        <v>175818.26889344011</v>
      </c>
      <c r="AL3" s="122">
        <v>176398.2400681375</v>
      </c>
      <c r="AM3" s="122">
        <v>176598.1200907125</v>
      </c>
      <c r="AN3" s="122">
        <v>176393.89445631631</v>
      </c>
    </row>
    <row r="4" spans="1:40" x14ac:dyDescent="0.2">
      <c r="A4" s="123" t="s">
        <v>192</v>
      </c>
      <c r="B4" s="122">
        <v>46450.003049149032</v>
      </c>
      <c r="C4" s="122">
        <v>48503.015355213727</v>
      </c>
      <c r="D4" s="122">
        <v>50559.100537827333</v>
      </c>
      <c r="E4" s="122">
        <v>52600.680667394146</v>
      </c>
      <c r="F4" s="122">
        <v>54608.296651931669</v>
      </c>
      <c r="G4" s="122">
        <v>56560.723203208538</v>
      </c>
      <c r="H4" s="122">
        <v>58435.14842817239</v>
      </c>
      <c r="I4" s="122">
        <v>60207.423092346507</v>
      </c>
      <c r="J4" s="122">
        <v>61852.382725220763</v>
      </c>
      <c r="K4" s="122">
        <v>63352.73236831565</v>
      </c>
      <c r="L4" s="122">
        <v>64726.420879482022</v>
      </c>
      <c r="M4" s="122">
        <v>66003.682228767997</v>
      </c>
      <c r="N4" s="122">
        <v>67218.384282203799</v>
      </c>
      <c r="O4" s="122">
        <v>68407.592967370219</v>
      </c>
      <c r="P4" s="122">
        <v>69602.321703833921</v>
      </c>
      <c r="Q4" s="122">
        <v>70799.226801718949</v>
      </c>
      <c r="R4" s="122">
        <v>71985.447134922215</v>
      </c>
      <c r="S4" s="122">
        <v>73147.305747964027</v>
      </c>
      <c r="T4" s="122">
        <v>74270.343100787562</v>
      </c>
      <c r="U4" s="122">
        <v>75339.377364196713</v>
      </c>
      <c r="V4" s="122">
        <v>76338.593869548655</v>
      </c>
      <c r="W4" s="122">
        <v>77251.665419157944</v>
      </c>
      <c r="X4" s="122">
        <v>78061.90460531904</v>
      </c>
      <c r="Y4" s="122">
        <v>78752.448559688884</v>
      </c>
      <c r="Z4" s="122">
        <v>79306.475661390054</v>
      </c>
      <c r="AA4" s="122">
        <v>79707.452680239352</v>
      </c>
      <c r="AB4" s="122">
        <v>79939.409639351696</v>
      </c>
      <c r="AC4" s="122">
        <v>79987.238378333597</v>
      </c>
      <c r="AD4" s="122">
        <v>79837.009425382028</v>
      </c>
      <c r="AE4" s="122">
        <v>79476.300396593258</v>
      </c>
      <c r="AF4" s="122">
        <v>78894.527797572475</v>
      </c>
      <c r="AG4" s="122">
        <v>78083.272879361728</v>
      </c>
      <c r="AH4" s="122">
        <v>77036.59117799536</v>
      </c>
      <c r="AI4" s="122">
        <v>75751.294628032687</v>
      </c>
      <c r="AJ4" s="122">
        <v>74227.194767073714</v>
      </c>
      <c r="AK4" s="122">
        <v>72467.29561539492</v>
      </c>
      <c r="AL4" s="122">
        <v>70477.925384154369</v>
      </c>
      <c r="AM4" s="122">
        <v>68268.79727945193</v>
      </c>
      <c r="AN4" s="122">
        <v>65852.991344716065</v>
      </c>
    </row>
    <row r="5" spans="1:40" x14ac:dyDescent="0.2">
      <c r="A5" s="123" t="s">
        <v>193</v>
      </c>
      <c r="B5" s="122">
        <v>107085.79216328829</v>
      </c>
      <c r="C5" s="122">
        <v>112084.10776768099</v>
      </c>
      <c r="D5" s="122">
        <v>117103.200827843</v>
      </c>
      <c r="E5" s="122">
        <v>122101.50441579989</v>
      </c>
      <c r="F5" s="122">
        <v>127032.76943707631</v>
      </c>
      <c r="G5" s="122">
        <v>131846.31624844519</v>
      </c>
      <c r="H5" s="122">
        <v>136487.4428848197</v>
      </c>
      <c r="I5" s="122">
        <v>140898.0029857831</v>
      </c>
      <c r="J5" s="122">
        <v>145017.16205792039</v>
      </c>
      <c r="K5" s="122">
        <v>148802.346925903</v>
      </c>
      <c r="L5" s="122">
        <v>152294.0758404629</v>
      </c>
      <c r="M5" s="122">
        <v>155562.36389489801</v>
      </c>
      <c r="N5" s="122">
        <v>158686.43335774669</v>
      </c>
      <c r="O5" s="122">
        <v>161753.71004618829</v>
      </c>
      <c r="P5" s="122">
        <v>164837.82799396999</v>
      </c>
      <c r="Q5" s="122">
        <v>167931.00542817899</v>
      </c>
      <c r="R5" s="122">
        <v>171002.71472185379</v>
      </c>
      <c r="S5" s="122">
        <v>174020.32435338359</v>
      </c>
      <c r="T5" s="122">
        <v>176949.1718767448</v>
      </c>
      <c r="U5" s="122">
        <v>179752.70186935729</v>
      </c>
      <c r="V5" s="122">
        <v>182392.67436644359</v>
      </c>
      <c r="W5" s="122">
        <v>184829.44836501879</v>
      </c>
      <c r="X5" s="122">
        <v>187022.34366161571</v>
      </c>
      <c r="Y5" s="122">
        <v>188930.0825572701</v>
      </c>
      <c r="Z5" s="122">
        <v>190511.3108186388</v>
      </c>
      <c r="AA5" s="122">
        <v>191725.19474262619</v>
      </c>
      <c r="AB5" s="122">
        <v>192532.08827445519</v>
      </c>
      <c r="AC5" s="122">
        <v>192894.26094327911</v>
      </c>
      <c r="AD5" s="122">
        <v>192776.67400138071</v>
      </c>
      <c r="AE5" s="122">
        <v>192147.78870826471</v>
      </c>
      <c r="AF5" s="122">
        <v>190980.3873427097</v>
      </c>
      <c r="AG5" s="122">
        <v>189252.3844316621</v>
      </c>
      <c r="AH5" s="122">
        <v>186947.60305033161</v>
      </c>
      <c r="AI5" s="122">
        <v>184056.48907796611</v>
      </c>
      <c r="AJ5" s="122">
        <v>180576.73519192991</v>
      </c>
      <c r="AK5" s="122">
        <v>176513.7863370112</v>
      </c>
      <c r="AL5" s="122">
        <v>171881.19957582781</v>
      </c>
      <c r="AM5" s="122">
        <v>166700.8337226639</v>
      </c>
      <c r="AN5" s="122">
        <v>161002.84803984189</v>
      </c>
    </row>
    <row r="6" spans="1:40" x14ac:dyDescent="0.2">
      <c r="A6" s="123" t="s">
        <v>194</v>
      </c>
      <c r="B6" s="122">
        <v>16696.536385320011</v>
      </c>
      <c r="C6" s="122">
        <v>17540.01664672156</v>
      </c>
      <c r="D6" s="122">
        <v>18390.438651230099</v>
      </c>
      <c r="E6" s="122">
        <v>19241.078714633051</v>
      </c>
      <c r="F6" s="122">
        <v>20084.394925590921</v>
      </c>
      <c r="G6" s="122">
        <v>20912.06228524998</v>
      </c>
      <c r="H6" s="122">
        <v>21715.034177300509</v>
      </c>
      <c r="I6" s="122">
        <v>22483.63259750072</v>
      </c>
      <c r="J6" s="122">
        <v>23207.66884778201</v>
      </c>
      <c r="K6" s="122">
        <v>23879.825129653229</v>
      </c>
      <c r="L6" s="122">
        <v>24506.191467515819</v>
      </c>
      <c r="M6" s="122">
        <v>25097.74907785068</v>
      </c>
      <c r="N6" s="122">
        <v>25667.123940963811</v>
      </c>
      <c r="O6" s="122">
        <v>26228.43272075371</v>
      </c>
      <c r="P6" s="122">
        <v>26793.68744794411</v>
      </c>
      <c r="Q6" s="122">
        <v>27361.655960216609</v>
      </c>
      <c r="R6" s="122">
        <v>27927.357573026329</v>
      </c>
      <c r="S6" s="122">
        <v>28485.426283401848</v>
      </c>
      <c r="T6" s="122">
        <v>29030.120792628961</v>
      </c>
      <c r="U6" s="122">
        <v>29555.345325564689</v>
      </c>
      <c r="V6" s="122">
        <v>30054.682277072101</v>
      </c>
      <c r="W6" s="122">
        <v>30521.437570896462</v>
      </c>
      <c r="X6" s="122">
        <v>30948.69940438011</v>
      </c>
      <c r="Y6" s="122">
        <v>31329.410769819351</v>
      </c>
      <c r="Z6" s="122">
        <v>31656.455788671999</v>
      </c>
      <c r="AA6" s="122">
        <v>31922.759470173889</v>
      </c>
      <c r="AB6" s="122">
        <v>32121.400017122061</v>
      </c>
      <c r="AC6" s="122">
        <v>32245.73225906548</v>
      </c>
      <c r="AD6" s="122">
        <v>32289.520212253399</v>
      </c>
      <c r="AE6" s="122">
        <v>32247.07616686781</v>
      </c>
      <c r="AF6" s="122">
        <v>32113.403110657149</v>
      </c>
      <c r="AG6" s="122">
        <v>31884.33674383767</v>
      </c>
      <c r="AH6" s="122">
        <v>31556.682856232579</v>
      </c>
      <c r="AI6" s="122">
        <v>31128.3454592948</v>
      </c>
      <c r="AJ6" s="122">
        <v>30598.440828356939</v>
      </c>
      <c r="AK6" s="122">
        <v>29967.392547593099</v>
      </c>
      <c r="AL6" s="122">
        <v>29237.002790693448</v>
      </c>
      <c r="AM6" s="122">
        <v>28410.49543587791</v>
      </c>
      <c r="AN6" s="122">
        <v>27492.527216567021</v>
      </c>
    </row>
    <row r="7" spans="1:40" x14ac:dyDescent="0.2">
      <c r="A7" s="123" t="s">
        <v>58</v>
      </c>
      <c r="B7" s="122">
        <v>90528.212015436089</v>
      </c>
      <c r="C7" s="122">
        <v>95168.114376113517</v>
      </c>
      <c r="D7" s="122">
        <v>100177.17703334409</v>
      </c>
      <c r="E7" s="122">
        <v>105499.8174334551</v>
      </c>
      <c r="F7" s="122">
        <v>111064.6908227651</v>
      </c>
      <c r="G7" s="122">
        <v>116782.4256965422</v>
      </c>
      <c r="H7" s="122">
        <v>122543.96789372699</v>
      </c>
      <c r="I7" s="122">
        <v>128219.8140600636</v>
      </c>
      <c r="J7" s="122">
        <v>133660.4428577816</v>
      </c>
      <c r="K7" s="122">
        <v>138731.72800529079</v>
      </c>
      <c r="L7" s="122">
        <v>143427.9103873616</v>
      </c>
      <c r="M7" s="122">
        <v>147788.67581253091</v>
      </c>
      <c r="N7" s="122">
        <v>151866.81737280919</v>
      </c>
      <c r="O7" s="122">
        <v>155726.8534152217</v>
      </c>
      <c r="P7" s="122">
        <v>159426.34395992191</v>
      </c>
      <c r="Q7" s="122">
        <v>162959.42228412969</v>
      </c>
      <c r="R7" s="122">
        <v>166303.33924518459</v>
      </c>
      <c r="S7" s="122">
        <v>169435.2855684846</v>
      </c>
      <c r="T7" s="122">
        <v>172332.59861354801</v>
      </c>
      <c r="U7" s="122">
        <v>174972.98288638101</v>
      </c>
      <c r="V7" s="122">
        <v>177334.7421322513</v>
      </c>
      <c r="W7" s="122">
        <v>179397.0204375569</v>
      </c>
      <c r="X7" s="122">
        <v>181140.04937923251</v>
      </c>
      <c r="Y7" s="122">
        <v>182545.39789607559</v>
      </c>
      <c r="Z7" s="122">
        <v>183596.22123038719</v>
      </c>
      <c r="AA7" s="122">
        <v>184277.505012115</v>
      </c>
      <c r="AB7" s="122">
        <v>184576.3003431815</v>
      </c>
      <c r="AC7" s="122">
        <v>184481.94559793751</v>
      </c>
      <c r="AD7" s="122">
        <v>183986.27059701769</v>
      </c>
      <c r="AE7" s="122">
        <v>183083.7788451098</v>
      </c>
      <c r="AF7" s="122">
        <v>181771.803655233</v>
      </c>
      <c r="AG7" s="122">
        <v>180050.63421787519</v>
      </c>
      <c r="AH7" s="122">
        <v>177923.60801483801</v>
      </c>
      <c r="AI7" s="122">
        <v>175397.16642411411</v>
      </c>
      <c r="AJ7" s="122">
        <v>172480.87090954481</v>
      </c>
      <c r="AK7" s="122">
        <v>169187.37783009111</v>
      </c>
      <c r="AL7" s="122">
        <v>165532.37062757349</v>
      </c>
      <c r="AM7" s="122">
        <v>161534.44894476471</v>
      </c>
      <c r="AN7" s="122">
        <v>157214.9750706481</v>
      </c>
    </row>
    <row r="8" spans="1:40" x14ac:dyDescent="0.2">
      <c r="A8" s="123" t="s">
        <v>195</v>
      </c>
      <c r="B8" s="122">
        <v>69030.48514791824</v>
      </c>
      <c r="C8" s="122">
        <v>72919.080434416785</v>
      </c>
      <c r="D8" s="122">
        <v>76843.649232344003</v>
      </c>
      <c r="E8" s="122">
        <v>80767.160069239122</v>
      </c>
      <c r="F8" s="122">
        <v>84647.701879922883</v>
      </c>
      <c r="G8" s="122">
        <v>88438.741273105348</v>
      </c>
      <c r="H8" s="122">
        <v>92089.570836288956</v>
      </c>
      <c r="I8" s="122">
        <v>95545.965760798194</v>
      </c>
      <c r="J8" s="122">
        <v>98751.05932930579</v>
      </c>
      <c r="K8" s="122">
        <v>101667.1483709998</v>
      </c>
      <c r="L8" s="122">
        <v>104343.36900573601</v>
      </c>
      <c r="M8" s="122">
        <v>106860.8778524177</v>
      </c>
      <c r="N8" s="122">
        <v>109311.6945030996</v>
      </c>
      <c r="O8" s="122">
        <v>111797.6973494885</v>
      </c>
      <c r="P8" s="122">
        <v>114407.6609854148</v>
      </c>
      <c r="Q8" s="122">
        <v>117145.1707446503</v>
      </c>
      <c r="R8" s="122">
        <v>119990.0026631053</v>
      </c>
      <c r="S8" s="122">
        <v>122919.6972366196</v>
      </c>
      <c r="T8" s="122">
        <v>125909.3557626105</v>
      </c>
      <c r="U8" s="122">
        <v>128931.4830126078</v>
      </c>
      <c r="V8" s="122">
        <v>131955.8857242901</v>
      </c>
      <c r="W8" s="122">
        <v>134949.63719228719</v>
      </c>
      <c r="X8" s="122">
        <v>137877.11864905449</v>
      </c>
      <c r="Y8" s="122">
        <v>140700.14806690099</v>
      </c>
      <c r="Z8" s="122">
        <v>143378.20638426169</v>
      </c>
      <c r="AA8" s="122">
        <v>145868.76987321029</v>
      </c>
      <c r="AB8" s="122">
        <v>148127.75534400609</v>
      </c>
      <c r="AC8" s="122">
        <v>150110.08207223081</v>
      </c>
      <c r="AD8" s="122">
        <v>151770.35071433359</v>
      </c>
      <c r="AE8" s="122">
        <v>153063.6350717294</v>
      </c>
      <c r="AF8" s="122">
        <v>153946.37744965561</v>
      </c>
      <c r="AG8" s="122">
        <v>154377.37267477359</v>
      </c>
      <c r="AH8" s="122">
        <v>154318.81979248681</v>
      </c>
      <c r="AI8" s="122">
        <v>153737.41433740311</v>
      </c>
      <c r="AJ8" s="122">
        <v>152605.44819858501</v>
      </c>
      <c r="AK8" s="122">
        <v>150901.87887894319</v>
      </c>
      <c r="AL8" s="122">
        <v>148613.3258040573</v>
      </c>
      <c r="AM8" s="122">
        <v>145734.94870856919</v>
      </c>
      <c r="AN8" s="122">
        <v>142271.16243467631</v>
      </c>
    </row>
    <row r="9" spans="1:40" x14ac:dyDescent="0.2">
      <c r="A9" s="123" t="s">
        <v>71</v>
      </c>
      <c r="B9" s="122">
        <v>18002.06128553487</v>
      </c>
      <c r="C9" s="122">
        <v>18184.610571809899</v>
      </c>
      <c r="D9" s="122">
        <v>18449.30048851814</v>
      </c>
      <c r="E9" s="122">
        <v>18773.814142046449</v>
      </c>
      <c r="F9" s="122">
        <v>19134.821448357401</v>
      </c>
      <c r="G9" s="122">
        <v>19507.345873573089</v>
      </c>
      <c r="H9" s="122">
        <v>19864.443581813379</v>
      </c>
      <c r="I9" s="122">
        <v>20177.23513970133</v>
      </c>
      <c r="J9" s="122">
        <v>20415.335237549411</v>
      </c>
      <c r="K9" s="122">
        <v>20555.4937480347</v>
      </c>
      <c r="L9" s="122">
        <v>20606.30671834054</v>
      </c>
      <c r="M9" s="122">
        <v>20585.5234871268</v>
      </c>
      <c r="N9" s="122">
        <v>20511.708665564161</v>
      </c>
      <c r="O9" s="122">
        <v>20403.684105846201</v>
      </c>
      <c r="P9" s="122">
        <v>20277.111939268361</v>
      </c>
      <c r="Q9" s="122">
        <v>20135.35849225647</v>
      </c>
      <c r="R9" s="122">
        <v>19978.766292233391</v>
      </c>
      <c r="S9" s="122">
        <v>19807.710169048209</v>
      </c>
      <c r="T9" s="122">
        <v>19622.59576719152</v>
      </c>
      <c r="U9" s="122">
        <v>19423.857951254009</v>
      </c>
      <c r="V9" s="122">
        <v>19211.95911335338</v>
      </c>
      <c r="W9" s="122">
        <v>18987.38739169301</v>
      </c>
      <c r="X9" s="122">
        <v>18750.654809794582</v>
      </c>
      <c r="Y9" s="122">
        <v>18502.295346256738</v>
      </c>
      <c r="Z9" s="122">
        <v>18242.862945137189</v>
      </c>
      <c r="AA9" s="122">
        <v>17972.929477233742</v>
      </c>
      <c r="AB9" s="122">
        <v>17693.082662650431</v>
      </c>
      <c r="AC9" s="122">
        <v>17403.923965076519</v>
      </c>
      <c r="AD9" s="122">
        <v>17106.066468185509</v>
      </c>
      <c r="AE9" s="122">
        <v>16800.132744470269</v>
      </c>
      <c r="AF9" s="122">
        <v>16486.752726682069</v>
      </c>
      <c r="AG9" s="122">
        <v>16166.561591827351</v>
      </c>
      <c r="AH9" s="122">
        <v>15840.19766740707</v>
      </c>
      <c r="AI9" s="122">
        <v>15508.300369257749</v>
      </c>
      <c r="AJ9" s="122">
        <v>15171.50817997756</v>
      </c>
      <c r="AK9" s="122">
        <v>14830.45667649608</v>
      </c>
      <c r="AL9" s="122">
        <v>14485.77661487865</v>
      </c>
      <c r="AM9" s="122">
        <v>14138.09207994966</v>
      </c>
      <c r="AN9" s="122">
        <v>13788.018706776629</v>
      </c>
    </row>
    <row r="10" spans="1:40" x14ac:dyDescent="0.2">
      <c r="A10" s="123" t="s">
        <v>72</v>
      </c>
      <c r="B10" s="122">
        <v>12304.162743704101</v>
      </c>
      <c r="C10" s="122">
        <v>12293.53014996716</v>
      </c>
      <c r="D10" s="122">
        <v>12328.258185465391</v>
      </c>
      <c r="E10" s="122">
        <v>12394.815435829099</v>
      </c>
      <c r="F10" s="122">
        <v>12479.704638918331</v>
      </c>
      <c r="G10" s="122">
        <v>12569.18490422286</v>
      </c>
      <c r="H10" s="122">
        <v>12649.14454857101</v>
      </c>
      <c r="I10" s="122">
        <v>12705.129451463201</v>
      </c>
      <c r="J10" s="122">
        <v>12722.53335615377</v>
      </c>
      <c r="K10" s="122">
        <v>12691.13456062666</v>
      </c>
      <c r="L10" s="122">
        <v>12617.923513286611</v>
      </c>
      <c r="M10" s="122">
        <v>12514.320773168951</v>
      </c>
      <c r="N10" s="122">
        <v>12391.67417275446</v>
      </c>
      <c r="O10" s="122">
        <v>12261.041384728909</v>
      </c>
      <c r="P10" s="122">
        <v>12131.225251484449</v>
      </c>
      <c r="Q10" s="122">
        <v>12003.3591342986</v>
      </c>
      <c r="R10" s="122">
        <v>11876.72098254292</v>
      </c>
      <c r="S10" s="122">
        <v>11750.618401757991</v>
      </c>
      <c r="T10" s="122">
        <v>11624.38814032968</v>
      </c>
      <c r="U10" s="122">
        <v>11497.3959630233</v>
      </c>
      <c r="V10" s="122">
        <v>11369.0368820822</v>
      </c>
      <c r="W10" s="122">
        <v>11238.7357165426</v>
      </c>
      <c r="X10" s="122">
        <v>11105.94794984126</v>
      </c>
      <c r="Y10" s="122">
        <v>10970.16085476974</v>
      </c>
      <c r="Z10" s="122">
        <v>10830.894853429039</v>
      </c>
      <c r="AA10" s="122">
        <v>10687.705078131879</v>
      </c>
      <c r="AB10" s="122">
        <v>10540.183097269721</v>
      </c>
      <c r="AC10" s="122">
        <v>10387.958768085749</v>
      </c>
      <c r="AD10" s="122">
        <v>10230.70217616457</v>
      </c>
      <c r="AE10" s="122">
        <v>10068.12561935387</v>
      </c>
      <c r="AF10" s="122">
        <v>9899.9855918702833</v>
      </c>
      <c r="AG10" s="122">
        <v>9726.0847226095993</v>
      </c>
      <c r="AH10" s="122">
        <v>9546.2736202807446</v>
      </c>
      <c r="AI10" s="122">
        <v>9360.4525770160872</v>
      </c>
      <c r="AJ10" s="122">
        <v>9168.5730816740179</v>
      </c>
      <c r="AK10" s="122">
        <v>8970.6390942407561</v>
      </c>
      <c r="AL10" s="122">
        <v>8766.7080336415347</v>
      </c>
      <c r="AM10" s="122">
        <v>8556.8914329672843</v>
      </c>
      <c r="AN10" s="122">
        <v>8341.3552186731085</v>
      </c>
    </row>
    <row r="11" spans="1:40" x14ac:dyDescent="0.2">
      <c r="A11" s="123" t="s">
        <v>73</v>
      </c>
      <c r="B11" s="122">
        <v>4568.3236898109044</v>
      </c>
      <c r="C11" s="122">
        <v>4555.8710176758441</v>
      </c>
      <c r="D11" s="122">
        <v>4552.9743786243762</v>
      </c>
      <c r="E11" s="122">
        <v>4556.3033750132063</v>
      </c>
      <c r="F11" s="122">
        <v>4562.554940416203</v>
      </c>
      <c r="G11" s="122">
        <v>4568.4201052031704</v>
      </c>
      <c r="H11" s="122">
        <v>4570.5747990678674</v>
      </c>
      <c r="I11" s="122">
        <v>4565.6947571333394</v>
      </c>
      <c r="J11" s="122">
        <v>4550.4945380300978</v>
      </c>
      <c r="K11" s="122">
        <v>4522.7311794047318</v>
      </c>
      <c r="L11" s="122">
        <v>4484.0421577273719</v>
      </c>
      <c r="M11" s="122">
        <v>4437.0261620389119</v>
      </c>
      <c r="N11" s="122">
        <v>4384.2401839520526</v>
      </c>
      <c r="O11" s="122">
        <v>4328.1608228532004</v>
      </c>
      <c r="P11" s="122">
        <v>4270.7723664681598</v>
      </c>
      <c r="Q11" s="122">
        <v>4212.4350742442502</v>
      </c>
      <c r="R11" s="122">
        <v>4153.1171473673621</v>
      </c>
      <c r="S11" s="122">
        <v>4092.7923503332968</v>
      </c>
      <c r="T11" s="122">
        <v>4031.44010890652</v>
      </c>
      <c r="U11" s="122">
        <v>3969.0455991618642</v>
      </c>
      <c r="V11" s="122">
        <v>3905.599825618448</v>
      </c>
      <c r="W11" s="122">
        <v>3841.0996865021789</v>
      </c>
      <c r="X11" s="122">
        <v>3775.5480242140611</v>
      </c>
      <c r="Y11" s="122">
        <v>3708.953659138836</v>
      </c>
      <c r="Z11" s="122">
        <v>3641.3314050015661</v>
      </c>
      <c r="AA11" s="122">
        <v>3572.70206407051</v>
      </c>
      <c r="AB11" s="122">
        <v>3503.092400613466</v>
      </c>
      <c r="AC11" s="122">
        <v>3432.5350911416399</v>
      </c>
      <c r="AD11" s="122">
        <v>3361.0686501211321</v>
      </c>
      <c r="AE11" s="122">
        <v>3288.7373299958031</v>
      </c>
      <c r="AF11" s="122">
        <v>3215.5909945482249</v>
      </c>
      <c r="AG11" s="122">
        <v>3141.6849648249458</v>
      </c>
      <c r="AH11" s="122">
        <v>3067.0798370692069</v>
      </c>
      <c r="AI11" s="122">
        <v>2991.841272336118</v>
      </c>
      <c r="AJ11" s="122">
        <v>2916.0397577114891</v>
      </c>
      <c r="AK11" s="122">
        <v>2839.7503393134421</v>
      </c>
      <c r="AL11" s="122">
        <v>2763.0523275242722</v>
      </c>
      <c r="AM11" s="122">
        <v>2686.0289751755981</v>
      </c>
      <c r="AN11" s="122">
        <v>2608.767129690546</v>
      </c>
    </row>
    <row r="12" spans="1:40" x14ac:dyDescent="0.2">
      <c r="A12" s="123" t="s">
        <v>74</v>
      </c>
      <c r="B12" s="122">
        <v>2146.8175625414901</v>
      </c>
      <c r="C12" s="122">
        <v>2121.8041985476989</v>
      </c>
      <c r="D12" s="122">
        <v>2101.3955013383888</v>
      </c>
      <c r="E12" s="122">
        <v>2084.17758840646</v>
      </c>
      <c r="F12" s="122">
        <v>2068.798417266848</v>
      </c>
      <c r="G12" s="122">
        <v>2053.9518588723731</v>
      </c>
      <c r="H12" s="122">
        <v>2038.3702739524581</v>
      </c>
      <c r="I12" s="122">
        <v>2020.825098535028</v>
      </c>
      <c r="J12" s="122">
        <v>2000.135005326262</v>
      </c>
      <c r="K12" s="122">
        <v>1975.5144688345031</v>
      </c>
      <c r="L12" s="122">
        <v>1947.556074430657</v>
      </c>
      <c r="M12" s="122">
        <v>1917.1689913475709</v>
      </c>
      <c r="N12" s="122">
        <v>1885.225509960597</v>
      </c>
      <c r="O12" s="122">
        <v>1852.552496115751</v>
      </c>
      <c r="P12" s="122">
        <v>1819.800517420656</v>
      </c>
      <c r="Q12" s="122">
        <v>1787.0821847347879</v>
      </c>
      <c r="R12" s="122">
        <v>1754.381772131537</v>
      </c>
      <c r="S12" s="122">
        <v>1721.685756120102</v>
      </c>
      <c r="T12" s="122">
        <v>1688.9827919044619</v>
      </c>
      <c r="U12" s="122">
        <v>1656.2636888096511</v>
      </c>
      <c r="V12" s="122">
        <v>1623.521384302521</v>
      </c>
      <c r="W12" s="122">
        <v>1590.750916059038</v>
      </c>
      <c r="X12" s="122">
        <v>1557.9493915569869</v>
      </c>
      <c r="Y12" s="122">
        <v>1525.115954702314</v>
      </c>
      <c r="Z12" s="122">
        <v>1492.251749029037</v>
      </c>
      <c r="AA12" s="122">
        <v>1459.3598770471449</v>
      </c>
      <c r="AB12" s="122">
        <v>1426.445355350239</v>
      </c>
      <c r="AC12" s="122">
        <v>1393.515065134806</v>
      </c>
      <c r="AD12" s="122">
        <v>1360.577697826146</v>
      </c>
      <c r="AE12" s="122">
        <v>1327.643695552028</v>
      </c>
      <c r="AF12" s="122">
        <v>1294.7251862538669</v>
      </c>
      <c r="AG12" s="122">
        <v>1261.8359132768221</v>
      </c>
      <c r="AH12" s="122">
        <v>1228.991159334129</v>
      </c>
      <c r="AI12" s="122">
        <v>1196.207664797254</v>
      </c>
      <c r="AJ12" s="122">
        <v>1163.50354032161</v>
      </c>
      <c r="AK12" s="122">
        <v>1130.8981738773</v>
      </c>
      <c r="AL12" s="122">
        <v>1098.412132315364</v>
      </c>
      <c r="AM12" s="122">
        <v>1066.0670576615339</v>
      </c>
      <c r="AN12" s="122">
        <v>1033.885558391403</v>
      </c>
    </row>
    <row r="13" spans="1:40" x14ac:dyDescent="0.2">
      <c r="A13" s="123" t="s">
        <v>75</v>
      </c>
      <c r="B13" s="122">
        <v>1532.4140383714739</v>
      </c>
      <c r="C13" s="122">
        <v>1517.498797603236</v>
      </c>
      <c r="D13" s="122">
        <v>1506.1723574595451</v>
      </c>
      <c r="E13" s="122">
        <v>1497.3169529261449</v>
      </c>
      <c r="F13" s="122">
        <v>1489.855782768592</v>
      </c>
      <c r="G13" s="122">
        <v>1482.7393344514369</v>
      </c>
      <c r="H13" s="122">
        <v>1474.939286265077</v>
      </c>
      <c r="I13" s="122">
        <v>1465.4496576504739</v>
      </c>
      <c r="J13" s="122">
        <v>1453.294927728472</v>
      </c>
      <c r="K13" s="122">
        <v>1437.819670545503</v>
      </c>
      <c r="L13" s="122">
        <v>1419.504571383977</v>
      </c>
      <c r="M13" s="122">
        <v>1399.0970186905929</v>
      </c>
      <c r="N13" s="122">
        <v>1377.318805706534</v>
      </c>
      <c r="O13" s="122">
        <v>1354.8576983842479</v>
      </c>
      <c r="P13" s="122">
        <v>1332.2570266643991</v>
      </c>
      <c r="Q13" s="122">
        <v>1309.611677838185</v>
      </c>
      <c r="R13" s="122">
        <v>1286.909230932288</v>
      </c>
      <c r="S13" s="122">
        <v>1264.1389845584149</v>
      </c>
      <c r="T13" s="122">
        <v>1241.291950041526</v>
      </c>
      <c r="U13" s="122">
        <v>1218.360843666565</v>
      </c>
      <c r="V13" s="122">
        <v>1195.3400775313789</v>
      </c>
      <c r="W13" s="122">
        <v>1172.225748510225</v>
      </c>
      <c r="X13" s="122">
        <v>1149.0156248512089</v>
      </c>
      <c r="Y13" s="122">
        <v>1125.709129952495</v>
      </c>
      <c r="Z13" s="122">
        <v>1102.3073228862261</v>
      </c>
      <c r="AA13" s="122">
        <v>1078.8128752662481</v>
      </c>
      <c r="AB13" s="122">
        <v>1055.2300440858251</v>
      </c>
      <c r="AC13" s="122">
        <v>1031.5646401848601</v>
      </c>
      <c r="AD13" s="122">
        <v>1007.823992042671</v>
      </c>
      <c r="AE13" s="122">
        <v>984.01690463206285</v>
      </c>
      <c r="AF13" s="122">
        <v>960.15361311344293</v>
      </c>
      <c r="AG13" s="122">
        <v>936.24573119360139</v>
      </c>
      <c r="AH13" s="122">
        <v>912.30619402274726</v>
      </c>
      <c r="AI13" s="122">
        <v>888.34919555488443</v>
      </c>
      <c r="AJ13" s="122">
        <v>864.39012035059</v>
      </c>
      <c r="AK13" s="122">
        <v>840.4454698572705</v>
      </c>
      <c r="AL13" s="122">
        <v>816.53278325957206</v>
      </c>
      <c r="AM13" s="122">
        <v>792.67055305155054</v>
      </c>
      <c r="AN13" s="122">
        <v>768.87813554167815</v>
      </c>
    </row>
    <row r="14" spans="1:40" x14ac:dyDescent="0.2">
      <c r="A14" s="123" t="s">
        <v>76</v>
      </c>
      <c r="B14" s="122">
        <v>1144.432816780665</v>
      </c>
      <c r="C14" s="122">
        <v>1220.6730223883801</v>
      </c>
      <c r="D14" s="122">
        <v>1295.6052577683549</v>
      </c>
      <c r="E14" s="122">
        <v>1368.6472204396789</v>
      </c>
      <c r="F14" s="122">
        <v>1439.2523644372859</v>
      </c>
      <c r="G14" s="122">
        <v>1506.919831980968</v>
      </c>
      <c r="H14" s="122">
        <v>1571.202862339303</v>
      </c>
      <c r="I14" s="122">
        <v>1631.715511775644</v>
      </c>
      <c r="J14" s="122">
        <v>1688.1375929347339</v>
      </c>
      <c r="K14" s="122">
        <v>1740.296706364014</v>
      </c>
      <c r="L14" s="122">
        <v>1788.423654045371</v>
      </c>
      <c r="M14" s="122">
        <v>1832.940817818745</v>
      </c>
      <c r="N14" s="122">
        <v>1874.3758953961569</v>
      </c>
      <c r="O14" s="122">
        <v>1913.35003803739</v>
      </c>
      <c r="P14" s="122">
        <v>1950.417203731771</v>
      </c>
      <c r="Q14" s="122">
        <v>1985.583423528298</v>
      </c>
      <c r="R14" s="122">
        <v>2018.7151696679671</v>
      </c>
      <c r="S14" s="122">
        <v>2049.6844288372099</v>
      </c>
      <c r="T14" s="122">
        <v>2078.3695124747892</v>
      </c>
      <c r="U14" s="122">
        <v>2104.6558414852939</v>
      </c>
      <c r="V14" s="122">
        <v>2128.4366983988461</v>
      </c>
      <c r="W14" s="122">
        <v>2149.6139401724349</v>
      </c>
      <c r="X14" s="122">
        <v>2168.0986650616519</v>
      </c>
      <c r="Y14" s="122">
        <v>2183.8118273018072</v>
      </c>
      <c r="Z14" s="122">
        <v>2196.684793721985</v>
      </c>
      <c r="AA14" s="122">
        <v>2206.6598368715181</v>
      </c>
      <c r="AB14" s="122">
        <v>2213.6905597612072</v>
      </c>
      <c r="AC14" s="122">
        <v>2217.7422479063289</v>
      </c>
      <c r="AD14" s="122">
        <v>2218.792144998637</v>
      </c>
      <c r="AE14" s="122">
        <v>2216.8296492232889</v>
      </c>
      <c r="AF14" s="122">
        <v>2211.856427965919</v>
      </c>
      <c r="AG14" s="122">
        <v>2203.8864494166301</v>
      </c>
      <c r="AH14" s="122">
        <v>2192.9459303622239</v>
      </c>
      <c r="AI14" s="122">
        <v>2179.0732002562768</v>
      </c>
      <c r="AJ14" s="122">
        <v>2162.318482458782</v>
      </c>
      <c r="AK14" s="122">
        <v>2142.743594333273</v>
      </c>
      <c r="AL14" s="122">
        <v>2120.4215686697639</v>
      </c>
      <c r="AM14" s="122">
        <v>2095.4361996565308</v>
      </c>
      <c r="AN14" s="122">
        <v>2067.8815173439079</v>
      </c>
    </row>
    <row r="15" spans="1:40" x14ac:dyDescent="0.2">
      <c r="A15" s="123" t="s">
        <v>77</v>
      </c>
      <c r="B15" s="122">
        <v>9.2604801376398402</v>
      </c>
      <c r="C15" s="122">
        <v>9.5177244304521853</v>
      </c>
      <c r="D15" s="122">
        <v>9.7667730150912018</v>
      </c>
      <c r="E15" s="122">
        <v>10.00464373741891</v>
      </c>
      <c r="F15" s="122">
        <v>10.228193743879491</v>
      </c>
      <c r="G15" s="122">
        <v>10.43415458859625</v>
      </c>
      <c r="H15" s="122">
        <v>10.61917577812455</v>
      </c>
      <c r="I15" s="122">
        <v>10.77987670268887</v>
      </c>
      <c r="J15" s="122">
        <v>10.91290657444492</v>
      </c>
      <c r="K15" s="122">
        <v>11.01615914840011</v>
      </c>
      <c r="L15" s="122">
        <v>11.09234871729395</v>
      </c>
      <c r="M15" s="122">
        <v>11.145666542245269</v>
      </c>
      <c r="N15" s="122">
        <v>11.180557649110529</v>
      </c>
      <c r="O15" s="122">
        <v>11.20163566518643</v>
      </c>
      <c r="P15" s="122">
        <v>11.212795798457529</v>
      </c>
      <c r="Q15" s="122">
        <v>11.21470530619241</v>
      </c>
      <c r="R15" s="122">
        <v>11.20723700756999</v>
      </c>
      <c r="S15" s="122">
        <v>11.190287363210389</v>
      </c>
      <c r="T15" s="122">
        <v>11.16377742488304</v>
      </c>
      <c r="U15" s="122">
        <v>11.127653690060001</v>
      </c>
      <c r="V15" s="122">
        <v>11.08188885300345</v>
      </c>
      <c r="W15" s="122">
        <v>11.026482444529259</v>
      </c>
      <c r="X15" s="122">
        <v>10.96146135312808</v>
      </c>
      <c r="Y15" s="122">
        <v>10.886880220747781</v>
      </c>
      <c r="Z15" s="122">
        <v>10.80282170724692</v>
      </c>
      <c r="AA15" s="122">
        <v>10.70939661831216</v>
      </c>
      <c r="AB15" s="122">
        <v>10.60674389248987</v>
      </c>
      <c r="AC15" s="122">
        <v>10.495030443907391</v>
      </c>
      <c r="AD15" s="122">
        <v>10.374450858246799</v>
      </c>
      <c r="AE15" s="122">
        <v>10.24522694057443</v>
      </c>
      <c r="AF15" s="122">
        <v>10.10760711471581</v>
      </c>
      <c r="AG15" s="122">
        <v>9.9618656749878784</v>
      </c>
      <c r="AH15" s="122">
        <v>9.8083018922479912</v>
      </c>
      <c r="AI15" s="122">
        <v>9.6472389773821785</v>
      </c>
      <c r="AJ15" s="122">
        <v>9.4790229065210898</v>
      </c>
      <c r="AK15" s="122">
        <v>9.3040211134296111</v>
      </c>
      <c r="AL15" s="122">
        <v>9.1226210556533243</v>
      </c>
      <c r="AM15" s="122">
        <v>8.9352286621083454</v>
      </c>
      <c r="AN15" s="122">
        <v>8.7422666708598928</v>
      </c>
    </row>
    <row r="16" spans="1:40" x14ac:dyDescent="0.2">
      <c r="A16" s="123" t="s">
        <v>79</v>
      </c>
      <c r="B16" s="122">
        <v>11981.68421833607</v>
      </c>
      <c r="C16" s="122">
        <v>12102.24716885043</v>
      </c>
      <c r="D16" s="122">
        <v>12223.77381076753</v>
      </c>
      <c r="E16" s="122">
        <v>12341.79671252106</v>
      </c>
      <c r="F16" s="122">
        <v>12451.679351564761</v>
      </c>
      <c r="G16" s="122">
        <v>12548.637788824341</v>
      </c>
      <c r="H16" s="122">
        <v>12627.780198199451</v>
      </c>
      <c r="I16" s="122">
        <v>12684.16486112496</v>
      </c>
      <c r="J16" s="122">
        <v>12712.876725246701</v>
      </c>
      <c r="K16" s="122">
        <v>12710.58361822852</v>
      </c>
      <c r="L16" s="122">
        <v>12679.99949377381</v>
      </c>
      <c r="M16" s="122">
        <v>12625.46561194186</v>
      </c>
      <c r="N16" s="122">
        <v>12551.404574245051</v>
      </c>
      <c r="O16" s="122">
        <v>12462.246781893369</v>
      </c>
      <c r="P16" s="122">
        <v>12361.73908404955</v>
      </c>
      <c r="Q16" s="122">
        <v>12251.04783308771</v>
      </c>
      <c r="R16" s="122">
        <v>12130.71344431947</v>
      </c>
      <c r="S16" s="122">
        <v>12001.28933763737</v>
      </c>
      <c r="T16" s="122">
        <v>11863.338744963859</v>
      </c>
      <c r="U16" s="122">
        <v>11717.431623640119</v>
      </c>
      <c r="V16" s="122">
        <v>11564.14169274308</v>
      </c>
      <c r="W16" s="122">
        <v>11404.043607110139</v>
      </c>
      <c r="X16" s="122">
        <v>11237.71028164483</v>
      </c>
      <c r="Y16" s="122">
        <v>11065.710376301109</v>
      </c>
      <c r="Z16" s="122">
        <v>10888.605950020639</v>
      </c>
      <c r="AA16" s="122">
        <v>10706.950289848681</v>
      </c>
      <c r="AB16" s="122">
        <v>10521.285919496981</v>
      </c>
      <c r="AC16" s="122">
        <v>10332.142789773459</v>
      </c>
      <c r="AD16" s="122">
        <v>10140.036651567911</v>
      </c>
      <c r="AE16" s="122">
        <v>9945.4676104839564</v>
      </c>
      <c r="AF16" s="122">
        <v>9748.9188607442866</v>
      </c>
      <c r="AG16" s="122">
        <v>9550.8555946756533</v>
      </c>
      <c r="AH16" s="122">
        <v>9351.7240829031052</v>
      </c>
      <c r="AI16" s="122">
        <v>9151.9509193522372</v>
      </c>
      <c r="AJ16" s="122">
        <v>8951.9424242693221</v>
      </c>
      <c r="AK16" s="122">
        <v>8752.0841977220298</v>
      </c>
      <c r="AL16" s="122">
        <v>8552.74081543186</v>
      </c>
      <c r="AM16" s="122">
        <v>8354.2556583076421</v>
      </c>
      <c r="AN16" s="122">
        <v>8156.9508666910306</v>
      </c>
    </row>
    <row r="17" spans="1:40" x14ac:dyDescent="0.2">
      <c r="A17" s="123" t="s">
        <v>80</v>
      </c>
      <c r="B17" s="122">
        <v>6627.9200426937196</v>
      </c>
      <c r="C17" s="122">
        <v>6790.6707984691939</v>
      </c>
      <c r="D17" s="122">
        <v>6948.5035438506866</v>
      </c>
      <c r="E17" s="122">
        <v>7099.2571345209262</v>
      </c>
      <c r="F17" s="122">
        <v>7240.6469784253586</v>
      </c>
      <c r="G17" s="122">
        <v>7370.2889045366428</v>
      </c>
      <c r="H17" s="122">
        <v>7485.7298180197577</v>
      </c>
      <c r="I17" s="122">
        <v>7584.4852203338896</v>
      </c>
      <c r="J17" s="122">
        <v>7664.0834126362952</v>
      </c>
      <c r="K17" s="122">
        <v>7722.9596739942226</v>
      </c>
      <c r="L17" s="122">
        <v>7763.0758328452694</v>
      </c>
      <c r="M17" s="122">
        <v>7787.4441472442459</v>
      </c>
      <c r="N17" s="122">
        <v>7799.2286712226432</v>
      </c>
      <c r="O17" s="122">
        <v>7801.6864788675657</v>
      </c>
      <c r="P17" s="122">
        <v>7797.5542286462423</v>
      </c>
      <c r="Q17" s="122">
        <v>7787.3183978504521</v>
      </c>
      <c r="R17" s="122">
        <v>7770.9126568702404</v>
      </c>
      <c r="S17" s="122">
        <v>7748.2859573436872</v>
      </c>
      <c r="T17" s="122">
        <v>7719.4030945433951</v>
      </c>
      <c r="U17" s="122">
        <v>7684.245209537853</v>
      </c>
      <c r="V17" s="122">
        <v>7642.8102260617179</v>
      </c>
      <c r="W17" s="122">
        <v>7595.1132173042333</v>
      </c>
      <c r="X17" s="122">
        <v>7541.1866981539488</v>
      </c>
      <c r="Y17" s="122">
        <v>7481.0808388175255</v>
      </c>
      <c r="Z17" s="122">
        <v>7414.8635961610134</v>
      </c>
      <c r="AA17" s="122">
        <v>7342.6207596002841</v>
      </c>
      <c r="AB17" s="122">
        <v>7264.455908892347</v>
      </c>
      <c r="AC17" s="122">
        <v>7180.4902817456214</v>
      </c>
      <c r="AD17" s="122">
        <v>7090.8625497731546</v>
      </c>
      <c r="AE17" s="122">
        <v>6995.7285019524124</v>
      </c>
      <c r="AF17" s="122">
        <v>6895.2606354237996</v>
      </c>
      <c r="AG17" s="122">
        <v>6789.6476541523416</v>
      </c>
      <c r="AH17" s="122">
        <v>6679.0938766861909</v>
      </c>
      <c r="AI17" s="122">
        <v>6563.8185549655745</v>
      </c>
      <c r="AJ17" s="122">
        <v>6444.0551068597824</v>
      </c>
      <c r="AK17" s="122">
        <v>6320.0502658297937</v>
      </c>
      <c r="AL17" s="122">
        <v>6192.0631518230357</v>
      </c>
      <c r="AM17" s="122">
        <v>6060.3642681975143</v>
      </c>
      <c r="AN17" s="122">
        <v>5925.234430136129</v>
      </c>
    </row>
    <row r="18" spans="1:40" x14ac:dyDescent="0.2">
      <c r="A18" s="123" t="s">
        <v>81</v>
      </c>
      <c r="B18" s="122">
        <v>7272.1184742926107</v>
      </c>
      <c r="C18" s="122">
        <v>7483.6637052869846</v>
      </c>
      <c r="D18" s="122">
        <v>7688.3887252694194</v>
      </c>
      <c r="E18" s="122">
        <v>7883.9562197631958</v>
      </c>
      <c r="F18" s="122">
        <v>8067.9077612547726</v>
      </c>
      <c r="G18" s="122">
        <v>8237.6918698552527</v>
      </c>
      <c r="H18" s="122">
        <v>8390.6983662881703</v>
      </c>
      <c r="I18" s="122">
        <v>8524.298924733941</v>
      </c>
      <c r="J18" s="122">
        <v>8635.8934873394919</v>
      </c>
      <c r="K18" s="122">
        <v>8723.852696087577</v>
      </c>
      <c r="L18" s="122">
        <v>8790.2979117893246</v>
      </c>
      <c r="M18" s="122">
        <v>8838.5132633981575</v>
      </c>
      <c r="N18" s="122">
        <v>8871.9957692946391</v>
      </c>
      <c r="O18" s="122">
        <v>8894.3875429306863</v>
      </c>
      <c r="P18" s="122">
        <v>8908.7695209744179</v>
      </c>
      <c r="Q18" s="122">
        <v>8915.6604739096056</v>
      </c>
      <c r="R18" s="122">
        <v>8914.9481251481102</v>
      </c>
      <c r="S18" s="122">
        <v>8906.5395145999519</v>
      </c>
      <c r="T18" s="122">
        <v>8890.3618038374861</v>
      </c>
      <c r="U18" s="122">
        <v>8866.3630028305852</v>
      </c>
      <c r="V18" s="122">
        <v>8834.5126112796897</v>
      </c>
      <c r="W18" s="122">
        <v>8794.8021679544672</v>
      </c>
      <c r="X18" s="122">
        <v>8747.2457018952991</v>
      </c>
      <c r="Y18" s="122">
        <v>8691.8800798579759</v>
      </c>
      <c r="Z18" s="122">
        <v>8628.765244970893</v>
      </c>
      <c r="AA18" s="122">
        <v>8557.9843422309877</v>
      </c>
      <c r="AB18" s="122">
        <v>8479.6437271807608</v>
      </c>
      <c r="AC18" s="122">
        <v>8393.8728548828876</v>
      </c>
      <c r="AD18" s="122">
        <v>8300.8240471342015</v>
      </c>
      <c r="AE18" s="122">
        <v>8200.6721367294031</v>
      </c>
      <c r="AF18" s="122">
        <v>8093.6139884928489</v>
      </c>
      <c r="AG18" s="122">
        <v>7979.8678977317659</v>
      </c>
      <c r="AH18" s="122">
        <v>7859.6728677223564</v>
      </c>
      <c r="AI18" s="122">
        <v>7733.2877688080234</v>
      </c>
      <c r="AJ18" s="122">
        <v>7600.990382660525</v>
      </c>
      <c r="AK18" s="122">
        <v>7463.0763362168464</v>
      </c>
      <c r="AL18" s="122">
        <v>7319.8579307503778</v>
      </c>
      <c r="AM18" s="122">
        <v>7171.6628724496413</v>
      </c>
      <c r="AN18" s="122">
        <v>7018.8329117573767</v>
      </c>
    </row>
    <row r="19" spans="1:40" x14ac:dyDescent="0.2">
      <c r="A19" s="123" t="s">
        <v>82</v>
      </c>
      <c r="B19" s="122">
        <v>9019.4531857153415</v>
      </c>
      <c r="C19" s="122">
        <v>9191.6066129831506</v>
      </c>
      <c r="D19" s="122">
        <v>9359.640178156953</v>
      </c>
      <c r="E19" s="122">
        <v>9520.4745433777352</v>
      </c>
      <c r="F19" s="122">
        <v>9670.8572573595848</v>
      </c>
      <c r="G19" s="122">
        <v>9807.3912025479895</v>
      </c>
      <c r="H19" s="122">
        <v>9926.574099003843</v>
      </c>
      <c r="I19" s="122">
        <v>10024.849409416889</v>
      </c>
      <c r="J19" s="122">
        <v>10098.668587856841</v>
      </c>
      <c r="K19" s="122">
        <v>10145.760940784559</v>
      </c>
      <c r="L19" s="122">
        <v>10168.82459018293</v>
      </c>
      <c r="M19" s="122">
        <v>10171.971381345629</v>
      </c>
      <c r="N19" s="122">
        <v>10159.45388049722</v>
      </c>
      <c r="O19" s="122">
        <v>10135.59091382965</v>
      </c>
      <c r="P19" s="122">
        <v>10103.980807165261</v>
      </c>
      <c r="Q19" s="122">
        <v>10065.294162901169</v>
      </c>
      <c r="R19" s="122">
        <v>10019.484499132021</v>
      </c>
      <c r="S19" s="122">
        <v>9966.5226147403246</v>
      </c>
      <c r="T19" s="122">
        <v>9906.3971436601296</v>
      </c>
      <c r="U19" s="122">
        <v>9839.1150433621915</v>
      </c>
      <c r="V19" s="122">
        <v>9764.7020122686008</v>
      </c>
      <c r="W19" s="122">
        <v>9683.2028310846708</v>
      </c>
      <c r="X19" s="122">
        <v>9594.6816233724749</v>
      </c>
      <c r="Y19" s="122">
        <v>9499.2220310798839</v>
      </c>
      <c r="Z19" s="122">
        <v>9396.9273011834666</v>
      </c>
      <c r="AA19" s="122">
        <v>9287.9202800977801</v>
      </c>
      <c r="AB19" s="122">
        <v>9172.3433130494395</v>
      </c>
      <c r="AC19" s="122">
        <v>9050.3580462040245</v>
      </c>
      <c r="AD19" s="122">
        <v>8922.1451299684195</v>
      </c>
      <c r="AE19" s="122">
        <v>8787.9038225619352</v>
      </c>
      <c r="AF19" s="122">
        <v>8647.8514936554275</v>
      </c>
      <c r="AG19" s="122">
        <v>8502.2230286089489</v>
      </c>
      <c r="AH19" s="122">
        <v>8351.2701345932073</v>
      </c>
      <c r="AI19" s="122">
        <v>8195.2605506480359</v>
      </c>
      <c r="AJ19" s="122">
        <v>8034.4771645068586</v>
      </c>
      <c r="AK19" s="122">
        <v>7869.217039792391</v>
      </c>
      <c r="AL19" s="122">
        <v>7699.7903579554122</v>
      </c>
      <c r="AM19" s="122">
        <v>7526.5192800809245</v>
      </c>
      <c r="AN19" s="122">
        <v>7349.7367344125441</v>
      </c>
    </row>
    <row r="20" spans="1:40" x14ac:dyDescent="0.2">
      <c r="A20" s="123" t="s">
        <v>83</v>
      </c>
      <c r="B20" s="122">
        <v>8119.836142530613</v>
      </c>
      <c r="C20" s="122">
        <v>8038.9557424914483</v>
      </c>
      <c r="D20" s="122">
        <v>7976.5016557871177</v>
      </c>
      <c r="E20" s="122">
        <v>7926.7691374140704</v>
      </c>
      <c r="F20" s="122">
        <v>7884.2677887186228</v>
      </c>
      <c r="G20" s="122">
        <v>7843.6536571655606</v>
      </c>
      <c r="H20" s="122">
        <v>7799.6984931656616</v>
      </c>
      <c r="I20" s="122">
        <v>7747.2944661080228</v>
      </c>
      <c r="J20" s="122">
        <v>7681.4928894996883</v>
      </c>
      <c r="K20" s="122">
        <v>7598.9422240720269</v>
      </c>
      <c r="L20" s="122">
        <v>7501.9432267446846</v>
      </c>
      <c r="M20" s="122">
        <v>7394.1259884734754</v>
      </c>
      <c r="N20" s="122">
        <v>7278.9993923362044</v>
      </c>
      <c r="O20" s="122">
        <v>7159.9106916108158</v>
      </c>
      <c r="P20" s="122">
        <v>7039.520261486774</v>
      </c>
      <c r="Q20" s="122">
        <v>6918.3579061781511</v>
      </c>
      <c r="R20" s="122">
        <v>6796.4416018663551</v>
      </c>
      <c r="S20" s="122">
        <v>6673.7948587185947</v>
      </c>
      <c r="T20" s="122">
        <v>6550.446643655423</v>
      </c>
      <c r="U20" s="122">
        <v>6426.4312893071528</v>
      </c>
      <c r="V20" s="122">
        <v>6301.78838855301</v>
      </c>
      <c r="W20" s="122">
        <v>6176.5626741211136</v>
      </c>
      <c r="X20" s="122">
        <v>6050.8038828157687</v>
      </c>
      <c r="Y20" s="122">
        <v>5924.566604033882</v>
      </c>
      <c r="Z20" s="122">
        <v>5797.9101123321798</v>
      </c>
      <c r="AA20" s="122">
        <v>5670.8981839119033</v>
      </c>
      <c r="AB20" s="122">
        <v>5543.5988969970394</v>
      </c>
      <c r="AC20" s="122">
        <v>5416.0844161955383</v>
      </c>
      <c r="AD20" s="122">
        <v>5288.4307610491551</v>
      </c>
      <c r="AE20" s="122">
        <v>5160.7175590970492</v>
      </c>
      <c r="AF20" s="122">
        <v>5033.0277838984666</v>
      </c>
      <c r="AG20" s="122">
        <v>4905.4474785821467</v>
      </c>
      <c r="AH20" s="122">
        <v>4778.0654656113948</v>
      </c>
      <c r="AI20" s="122">
        <v>4650.9730435748324</v>
      </c>
      <c r="AJ20" s="122">
        <v>4524.2636719317234</v>
      </c>
      <c r="AK20" s="122">
        <v>4398.0326447566522</v>
      </c>
      <c r="AL20" s="122">
        <v>4272.3767546405388</v>
      </c>
      <c r="AM20" s="122">
        <v>4147.3939480117142</v>
      </c>
      <c r="AN20" s="122">
        <v>4023.1829732417982</v>
      </c>
    </row>
    <row r="21" spans="1:40" x14ac:dyDescent="0.2">
      <c r="A21" s="123" t="s">
        <v>84</v>
      </c>
      <c r="B21" s="122">
        <v>5144.2443998897388</v>
      </c>
      <c r="C21" s="122">
        <v>5106.4069660561627</v>
      </c>
      <c r="D21" s="122">
        <v>5079.5148989097461</v>
      </c>
      <c r="E21" s="122">
        <v>5060.0185548939216</v>
      </c>
      <c r="F21" s="122">
        <v>5044.4649467772306</v>
      </c>
      <c r="G21" s="122">
        <v>5029.4594150621797</v>
      </c>
      <c r="H21" s="122">
        <v>5011.6505345525366</v>
      </c>
      <c r="I21" s="122">
        <v>4987.7375803124833</v>
      </c>
      <c r="J21" s="122">
        <v>4954.4999502738756</v>
      </c>
      <c r="K21" s="122">
        <v>4909.7389864256029</v>
      </c>
      <c r="L21" s="122">
        <v>4854.9378312392873</v>
      </c>
      <c r="M21" s="122">
        <v>4792.4637601988043</v>
      </c>
      <c r="N21" s="122">
        <v>4724.6223693300699</v>
      </c>
      <c r="O21" s="122">
        <v>4653.6280644611879</v>
      </c>
      <c r="P21" s="122">
        <v>4581.2549076816267</v>
      </c>
      <c r="Q21" s="122">
        <v>4507.8787553352286</v>
      </c>
      <c r="R21" s="122">
        <v>4433.5381802292941</v>
      </c>
      <c r="S21" s="122">
        <v>4358.2748015491934</v>
      </c>
      <c r="T21" s="122">
        <v>4282.1332125610097</v>
      </c>
      <c r="U21" s="122">
        <v>4205.1608978080012</v>
      </c>
      <c r="V21" s="122">
        <v>4127.4081397707641</v>
      </c>
      <c r="W21" s="122">
        <v>4048.9279150171619</v>
      </c>
      <c r="X21" s="122">
        <v>3969.7757799265842</v>
      </c>
      <c r="Y21" s="122">
        <v>3890.0097461328919</v>
      </c>
      <c r="Z21" s="122">
        <v>3809.6901458918401</v>
      </c>
      <c r="AA21" s="122">
        <v>3728.8794876407069</v>
      </c>
      <c r="AB21" s="122">
        <v>3647.6423020807752</v>
      </c>
      <c r="AC21" s="122">
        <v>3566.0449791754581</v>
      </c>
      <c r="AD21" s="122">
        <v>3484.155596519854</v>
      </c>
      <c r="AE21" s="122">
        <v>3402.0437395982881</v>
      </c>
      <c r="AF21" s="122">
        <v>3319.7803145068078</v>
      </c>
      <c r="AG21" s="122">
        <v>3237.4373537757529</v>
      </c>
      <c r="AH21" s="122">
        <v>3155.087815983376</v>
      </c>
      <c r="AI21" s="122">
        <v>3072.8053799046229</v>
      </c>
      <c r="AJ21" s="122">
        <v>2990.6642339887781</v>
      </c>
      <c r="AK21" s="122">
        <v>2908.7388620057909</v>
      </c>
      <c r="AL21" s="122">
        <v>2827.1038257425421</v>
      </c>
      <c r="AM21" s="122">
        <v>2745.8335456673431</v>
      </c>
      <c r="AN21" s="122">
        <v>2665.0020805126078</v>
      </c>
    </row>
    <row r="22" spans="1:40" x14ac:dyDescent="0.2">
      <c r="A22" s="123" t="s">
        <v>85</v>
      </c>
      <c r="B22" s="122">
        <v>3355.3629553285882</v>
      </c>
      <c r="C22" s="122">
        <v>3327.747243294622</v>
      </c>
      <c r="D22" s="122">
        <v>3306.075530343322</v>
      </c>
      <c r="E22" s="122">
        <v>3288.3290058768648</v>
      </c>
      <c r="F22" s="122">
        <v>3272.5496936877589</v>
      </c>
      <c r="G22" s="122">
        <v>3256.8231215807282</v>
      </c>
      <c r="H22" s="122">
        <v>3239.2724130946481</v>
      </c>
      <c r="I22" s="122">
        <v>3218.063360690001</v>
      </c>
      <c r="J22" s="122">
        <v>3191.420047537928</v>
      </c>
      <c r="K22" s="122">
        <v>3158.1649621037141</v>
      </c>
      <c r="L22" s="122">
        <v>3119.2441782936462</v>
      </c>
      <c r="M22" s="122">
        <v>3076.1015908090671</v>
      </c>
      <c r="N22" s="122">
        <v>3030.1332932078808</v>
      </c>
      <c r="O22" s="122">
        <v>2982.6724910819362</v>
      </c>
      <c r="P22" s="122">
        <v>2934.776156572555</v>
      </c>
      <c r="Q22" s="122">
        <v>2886.6351943632658</v>
      </c>
      <c r="R22" s="122">
        <v>2838.232973167912</v>
      </c>
      <c r="S22" s="122">
        <v>2789.5561657462631</v>
      </c>
      <c r="T22" s="122">
        <v>2740.5947438804251</v>
      </c>
      <c r="U22" s="122">
        <v>2691.3419692798361</v>
      </c>
      <c r="V22" s="122">
        <v>2641.7943795717829</v>
      </c>
      <c r="W22" s="122">
        <v>2591.9517685678752</v>
      </c>
      <c r="X22" s="122">
        <v>2541.8171600347919</v>
      </c>
      <c r="Y22" s="122">
        <v>2491.3967742411519</v>
      </c>
      <c r="Z22" s="122">
        <v>2440.699986600961</v>
      </c>
      <c r="AA22" s="122">
        <v>2389.7392777887139</v>
      </c>
      <c r="AB22" s="122">
        <v>2338.5301747611938</v>
      </c>
      <c r="AC22" s="122">
        <v>2287.0911821870768</v>
      </c>
      <c r="AD22" s="122">
        <v>2235.443703856949</v>
      </c>
      <c r="AE22" s="122">
        <v>2183.611953723575</v>
      </c>
      <c r="AF22" s="122">
        <v>2131.6228563045911</v>
      </c>
      <c r="AG22" s="122">
        <v>2079.505936267346</v>
      </c>
      <c r="AH22" s="122">
        <v>2027.293197107492</v>
      </c>
      <c r="AI22" s="122">
        <v>1975.01898892895</v>
      </c>
      <c r="AJ22" s="122">
        <v>1922.719865432284</v>
      </c>
      <c r="AK22" s="122">
        <v>1870.434430320644</v>
      </c>
      <c r="AL22" s="122">
        <v>1818.2031734364909</v>
      </c>
      <c r="AM22" s="122">
        <v>1766.0682970474261</v>
      </c>
      <c r="AN22" s="122">
        <v>1714.0735328046619</v>
      </c>
    </row>
    <row r="23" spans="1:40" x14ac:dyDescent="0.2">
      <c r="A23" s="123" t="s">
        <v>86</v>
      </c>
      <c r="B23" s="122">
        <v>3069.0985404160142</v>
      </c>
      <c r="C23" s="122">
        <v>3090.3396817543749</v>
      </c>
      <c r="D23" s="122">
        <v>3112.7171574657568</v>
      </c>
      <c r="E23" s="122">
        <v>3134.9506671401882</v>
      </c>
      <c r="F23" s="122">
        <v>3155.7233849224549</v>
      </c>
      <c r="G23" s="122">
        <v>3173.685342892893</v>
      </c>
      <c r="H23" s="122">
        <v>3187.4624727736391</v>
      </c>
      <c r="I23" s="122">
        <v>3195.6714741286041</v>
      </c>
      <c r="J23" s="122">
        <v>3196.94053563846</v>
      </c>
      <c r="K23" s="122">
        <v>3190.3749770807981</v>
      </c>
      <c r="L23" s="122">
        <v>3176.890065891268</v>
      </c>
      <c r="M23" s="122">
        <v>3157.870159286319</v>
      </c>
      <c r="N23" s="122">
        <v>3134.7024318482331</v>
      </c>
      <c r="O23" s="122">
        <v>3108.7563350830042</v>
      </c>
      <c r="P23" s="122">
        <v>3081.1500480662398</v>
      </c>
      <c r="Q23" s="122">
        <v>3052.1010289170949</v>
      </c>
      <c r="R23" s="122">
        <v>3021.607796263133</v>
      </c>
      <c r="S23" s="122">
        <v>2989.672716570954</v>
      </c>
      <c r="T23" s="122">
        <v>2956.3020942415319</v>
      </c>
      <c r="U23" s="122">
        <v>2921.506248670677</v>
      </c>
      <c r="V23" s="122">
        <v>2885.2995772180338</v>
      </c>
      <c r="W23" s="122">
        <v>2847.7006030754842</v>
      </c>
      <c r="X23" s="122">
        <v>2808.7320070842379</v>
      </c>
      <c r="Y23" s="122">
        <v>2768.4206426187102</v>
      </c>
      <c r="Z23" s="122">
        <v>2726.797532735141</v>
      </c>
      <c r="AA23" s="122">
        <v>2683.8978488733228</v>
      </c>
      <c r="AB23" s="122">
        <v>2639.7608705003981</v>
      </c>
      <c r="AC23" s="122">
        <v>2594.4299251965499</v>
      </c>
      <c r="AD23" s="122">
        <v>2547.9523088024712</v>
      </c>
      <c r="AE23" s="122">
        <v>2500.3791853774801</v>
      </c>
      <c r="AF23" s="122">
        <v>2451.7654668540981</v>
      </c>
      <c r="AG23" s="122">
        <v>2402.1696724189078</v>
      </c>
      <c r="AH23" s="122">
        <v>2351.6537677994061</v>
      </c>
      <c r="AI23" s="122">
        <v>2300.2829847914791</v>
      </c>
      <c r="AJ23" s="122">
        <v>2248.1256215201952</v>
      </c>
      <c r="AK23" s="122">
        <v>2195.2528240870079</v>
      </c>
      <c r="AL23" s="122">
        <v>2141.7383504171012</v>
      </c>
      <c r="AM23" s="122">
        <v>2087.658317280489</v>
      </c>
      <c r="AN23" s="122">
        <v>2033.090931617216</v>
      </c>
    </row>
    <row r="24" spans="1:40" x14ac:dyDescent="0.2">
      <c r="A24" s="123" t="s">
        <v>87</v>
      </c>
      <c r="B24" s="122">
        <v>1802.133487467564</v>
      </c>
      <c r="C24" s="122">
        <v>1812.3438943073929</v>
      </c>
      <c r="D24" s="122">
        <v>1823.4025501270271</v>
      </c>
      <c r="E24" s="122">
        <v>1834.537288583083</v>
      </c>
      <c r="F24" s="122">
        <v>1844.9572462320771</v>
      </c>
      <c r="G24" s="122">
        <v>1853.8542505517551</v>
      </c>
      <c r="H24" s="122">
        <v>1860.4076871438031</v>
      </c>
      <c r="I24" s="122">
        <v>1863.792937419495</v>
      </c>
      <c r="J24" s="122">
        <v>1863.1933970966929</v>
      </c>
      <c r="K24" s="122">
        <v>1858.0756131560131</v>
      </c>
      <c r="L24" s="122">
        <v>1848.9757279681271</v>
      </c>
      <c r="M24" s="122">
        <v>1836.7046177301499</v>
      </c>
      <c r="N24" s="122">
        <v>1822.0723086012631</v>
      </c>
      <c r="O24" s="122">
        <v>1805.8762287031279</v>
      </c>
      <c r="P24" s="122">
        <v>1788.766041175606</v>
      </c>
      <c r="Q24" s="122">
        <v>1770.8680404723209</v>
      </c>
      <c r="R24" s="122">
        <v>1752.1814224566519</v>
      </c>
      <c r="S24" s="122">
        <v>1732.707555784913</v>
      </c>
      <c r="T24" s="122">
        <v>1712.450030402109</v>
      </c>
      <c r="U24" s="122">
        <v>1691.414698848557</v>
      </c>
      <c r="V24" s="122">
        <v>1669.609709785884</v>
      </c>
      <c r="W24" s="122">
        <v>1647.045533177002</v>
      </c>
      <c r="X24" s="122">
        <v>1623.7349765864931</v>
      </c>
      <c r="Y24" s="122">
        <v>1599.6931921057219</v>
      </c>
      <c r="Z24" s="122">
        <v>1574.937673450984</v>
      </c>
      <c r="AA24" s="122">
        <v>1549.488242832638</v>
      </c>
      <c r="AB24" s="122">
        <v>1523.3670272488939</v>
      </c>
      <c r="AC24" s="122">
        <v>1496.598423919057</v>
      </c>
      <c r="AD24" s="122">
        <v>1469.209054637555</v>
      </c>
      <c r="AE24" s="122">
        <v>1441.227708901562</v>
      </c>
      <c r="AF24" s="122">
        <v>1412.6852757410061</v>
      </c>
      <c r="AG24" s="122">
        <v>1383.614664259818</v>
      </c>
      <c r="AH24" s="122">
        <v>1354.0507129806949</v>
      </c>
      <c r="AI24" s="122">
        <v>1324.030088171937</v>
      </c>
      <c r="AJ24" s="122">
        <v>1293.5911714232029</v>
      </c>
      <c r="AK24" s="122">
        <v>1262.773936826597</v>
      </c>
      <c r="AL24" s="122">
        <v>1231.6198182094911</v>
      </c>
      <c r="AM24" s="122">
        <v>1200.1715669550481</v>
      </c>
      <c r="AN24" s="122">
        <v>1168.4731010344369</v>
      </c>
    </row>
    <row r="25" spans="1:40" x14ac:dyDescent="0.2">
      <c r="A25" s="123" t="s">
        <v>88</v>
      </c>
      <c r="B25" s="122">
        <v>4094.0668183633061</v>
      </c>
      <c r="C25" s="122">
        <v>4105.0235933320291</v>
      </c>
      <c r="D25" s="122">
        <v>4122.9583349077566</v>
      </c>
      <c r="E25" s="122">
        <v>4145.1781604857952</v>
      </c>
      <c r="F25" s="122">
        <v>4168.9514073451237</v>
      </c>
      <c r="G25" s="122">
        <v>4191.4882281878045</v>
      </c>
      <c r="H25" s="122">
        <v>4209.9395893093988</v>
      </c>
      <c r="I25" s="122">
        <v>4221.415322330894</v>
      </c>
      <c r="J25" s="122">
        <v>4223.0217180521358</v>
      </c>
      <c r="K25" s="122">
        <v>4212.7099999479096</v>
      </c>
      <c r="L25" s="122">
        <v>4191.690391733131</v>
      </c>
      <c r="M25" s="122">
        <v>4162.0201276024391</v>
      </c>
      <c r="N25" s="122">
        <v>4125.7647532938718</v>
      </c>
      <c r="O25" s="122">
        <v>4084.9619296999758</v>
      </c>
      <c r="P25" s="122">
        <v>4041.2891286749732</v>
      </c>
      <c r="Q25" s="122">
        <v>3995.1565042037191</v>
      </c>
      <c r="R25" s="122">
        <v>3946.6659937692129</v>
      </c>
      <c r="S25" s="122">
        <v>3895.9232306390968</v>
      </c>
      <c r="T25" s="122">
        <v>3843.0371693982752</v>
      </c>
      <c r="U25" s="122">
        <v>3788.1197059471542</v>
      </c>
      <c r="V25" s="122">
        <v>3731.2852937633979</v>
      </c>
      <c r="W25" s="122">
        <v>3672.6505582073219</v>
      </c>
      <c r="X25" s="122">
        <v>3612.3339106221051</v>
      </c>
      <c r="Y25" s="122">
        <v>3550.4551639420829</v>
      </c>
      <c r="Z25" s="122">
        <v>3487.1351514746721</v>
      </c>
      <c r="AA25" s="122">
        <v>3422.4953504655318</v>
      </c>
      <c r="AB25" s="122">
        <v>3356.6575119921658</v>
      </c>
      <c r="AC25" s="122">
        <v>3289.7432986597951</v>
      </c>
      <c r="AD25" s="122">
        <v>3221.8739314946838</v>
      </c>
      <c r="AE25" s="122">
        <v>3153.1698473459269</v>
      </c>
      <c r="AF25" s="122">
        <v>3083.7503680167251</v>
      </c>
      <c r="AG25" s="122">
        <v>3013.7333822520118</v>
      </c>
      <c r="AH25" s="122">
        <v>2943.2350416114318</v>
      </c>
      <c r="AI25" s="122">
        <v>2872.3694711548701</v>
      </c>
      <c r="AJ25" s="122">
        <v>2801.2484957651959</v>
      </c>
      <c r="AK25" s="122">
        <v>2729.9813828271949</v>
      </c>
      <c r="AL25" s="122">
        <v>2658.6746018764138</v>
      </c>
      <c r="AM25" s="122">
        <v>2587.4316017256169</v>
      </c>
      <c r="AN25" s="122">
        <v>2516.3526054714862</v>
      </c>
    </row>
    <row r="26" spans="1:40" x14ac:dyDescent="0.2">
      <c r="A26" s="123" t="s">
        <v>89</v>
      </c>
      <c r="B26" s="122">
        <v>1947.952829944534</v>
      </c>
      <c r="C26" s="122">
        <v>1984.347618336177</v>
      </c>
      <c r="D26" s="122">
        <v>2019.897745451452</v>
      </c>
      <c r="E26" s="122">
        <v>2053.935099898395</v>
      </c>
      <c r="F26" s="122">
        <v>2085.7542679607691</v>
      </c>
      <c r="G26" s="122">
        <v>2114.6185965654581</v>
      </c>
      <c r="H26" s="122">
        <v>2139.7686752770492</v>
      </c>
      <c r="I26" s="122">
        <v>2160.4333149574359</v>
      </c>
      <c r="J26" s="122">
        <v>2175.8430133360348</v>
      </c>
      <c r="K26" s="122">
        <v>2185.5050092531269</v>
      </c>
      <c r="L26" s="122">
        <v>2190.002304548048</v>
      </c>
      <c r="M26" s="122">
        <v>2190.2229735350238</v>
      </c>
      <c r="N26" s="122">
        <v>2187.0844664977858</v>
      </c>
      <c r="O26" s="122">
        <v>2181.5176210319082</v>
      </c>
      <c r="P26" s="122">
        <v>2174.2974929727588</v>
      </c>
      <c r="Q26" s="122">
        <v>2165.5689253407459</v>
      </c>
      <c r="R26" s="122">
        <v>2155.32243885762</v>
      </c>
      <c r="S26" s="122">
        <v>2143.5522340546572</v>
      </c>
      <c r="T26" s="122">
        <v>2130.2563081666581</v>
      </c>
      <c r="U26" s="122">
        <v>2115.436558055329</v>
      </c>
      <c r="V26" s="122">
        <v>2099.0988680405021</v>
      </c>
      <c r="W26" s="122">
        <v>2081.253181576998</v>
      </c>
      <c r="X26" s="122">
        <v>2061.913555785949</v>
      </c>
      <c r="Y26" s="122">
        <v>2041.098197931879</v>
      </c>
      <c r="Z26" s="122">
        <v>2018.82948303068</v>
      </c>
      <c r="AA26" s="122">
        <v>1995.1339518783891</v>
      </c>
      <c r="AB26" s="122">
        <v>1970.042288906028</v>
      </c>
      <c r="AC26" s="122">
        <v>1943.5892793908299</v>
      </c>
      <c r="AD26" s="122">
        <v>1915.8137456883089</v>
      </c>
      <c r="AE26" s="122">
        <v>1886.7584622920999</v>
      </c>
      <c r="AF26" s="122">
        <v>1856.470049677723</v>
      </c>
      <c r="AG26" s="122">
        <v>1824.998847041795</v>
      </c>
      <c r="AH26" s="122">
        <v>1792.3987642081329</v>
      </c>
      <c r="AI26" s="122">
        <v>1758.727113135104</v>
      </c>
      <c r="AJ26" s="122">
        <v>1724.044419623355</v>
      </c>
      <c r="AK26" s="122">
        <v>1688.4142159876949</v>
      </c>
      <c r="AL26" s="122">
        <v>1651.9028156199679</v>
      </c>
      <c r="AM26" s="122">
        <v>1614.5790705294289</v>
      </c>
      <c r="AN26" s="122">
        <v>1576.5141131017119</v>
      </c>
    </row>
    <row r="27" spans="1:40" x14ac:dyDescent="0.2">
      <c r="A27" s="123" t="s">
        <v>90</v>
      </c>
      <c r="B27" s="122">
        <v>2335.083832377868</v>
      </c>
      <c r="C27" s="122">
        <v>2363.4193744292638</v>
      </c>
      <c r="D27" s="122">
        <v>2391.7159523911441</v>
      </c>
      <c r="E27" s="122">
        <v>2419.092450358773</v>
      </c>
      <c r="F27" s="122">
        <v>2444.6289570148369</v>
      </c>
      <c r="G27" s="122">
        <v>2467.3719311555969</v>
      </c>
      <c r="H27" s="122">
        <v>2486.342956067368</v>
      </c>
      <c r="I27" s="122">
        <v>2500.5512184799741</v>
      </c>
      <c r="J27" s="122">
        <v>2509.009736021048</v>
      </c>
      <c r="K27" s="122">
        <v>2511.079565496369</v>
      </c>
      <c r="L27" s="122">
        <v>2507.461127212981</v>
      </c>
      <c r="M27" s="122">
        <v>2499.215617356323</v>
      </c>
      <c r="N27" s="122">
        <v>2487.4204448462938</v>
      </c>
      <c r="O27" s="122">
        <v>2473.1519711962319</v>
      </c>
      <c r="P27" s="122">
        <v>2457.296956646921</v>
      </c>
      <c r="Q27" s="122">
        <v>2440.0264740249149</v>
      </c>
      <c r="R27" s="122">
        <v>2421.3370221337459</v>
      </c>
      <c r="S27" s="122">
        <v>2401.228594747618</v>
      </c>
      <c r="T27" s="122">
        <v>2379.704775733298</v>
      </c>
      <c r="U27" s="122">
        <v>2356.772821532601</v>
      </c>
      <c r="V27" s="122">
        <v>2332.4437300073591</v>
      </c>
      <c r="W27" s="122">
        <v>2306.7322946978829</v>
      </c>
      <c r="X27" s="122">
        <v>2279.6571436052909</v>
      </c>
      <c r="Y27" s="122">
        <v>2251.2407616776859</v>
      </c>
      <c r="Z27" s="122">
        <v>2221.5094962600642</v>
      </c>
      <c r="AA27" s="122">
        <v>2190.4935448576898</v>
      </c>
      <c r="AB27" s="122">
        <v>2158.226924662114</v>
      </c>
      <c r="AC27" s="122">
        <v>2124.7474233977869</v>
      </c>
      <c r="AD27" s="122">
        <v>2090.0965311644181</v>
      </c>
      <c r="AE27" s="122">
        <v>2054.3193530754561</v>
      </c>
      <c r="AF27" s="122">
        <v>2017.4645026251869</v>
      </c>
      <c r="AG27" s="122">
        <v>1979.583975855264</v>
      </c>
      <c r="AH27" s="122">
        <v>1940.733006534497</v>
      </c>
      <c r="AI27" s="122">
        <v>1900.9699027128779</v>
      </c>
      <c r="AJ27" s="122">
        <v>1860.3558651600069</v>
      </c>
      <c r="AK27" s="122">
        <v>1818.9547883485491</v>
      </c>
      <c r="AL27" s="122">
        <v>1776.8330447933581</v>
      </c>
      <c r="AM27" s="122">
        <v>1734.0592537047651</v>
      </c>
      <c r="AN27" s="122">
        <v>1690.704035059056</v>
      </c>
    </row>
    <row r="28" spans="1:40" x14ac:dyDescent="0.2">
      <c r="A28" s="123" t="s">
        <v>91</v>
      </c>
      <c r="B28" s="122">
        <v>6224.4128368227912</v>
      </c>
      <c r="C28" s="122">
        <v>6212.6356384524033</v>
      </c>
      <c r="D28" s="122">
        <v>6212.5178315713874</v>
      </c>
      <c r="E28" s="122">
        <v>6219.8923618994813</v>
      </c>
      <c r="F28" s="122">
        <v>6230.6123497241188</v>
      </c>
      <c r="G28" s="122">
        <v>6240.5148538431677</v>
      </c>
      <c r="H28" s="122">
        <v>6245.4124346104009</v>
      </c>
      <c r="I28" s="122">
        <v>6241.1126876466888</v>
      </c>
      <c r="J28" s="122">
        <v>6223.465815366103</v>
      </c>
      <c r="K28" s="122">
        <v>6189.5847025714238</v>
      </c>
      <c r="L28" s="122">
        <v>6141.3034866110256</v>
      </c>
      <c r="M28" s="122">
        <v>6081.6403449566742</v>
      </c>
      <c r="N28" s="122">
        <v>6013.5830002074226</v>
      </c>
      <c r="O28" s="122">
        <v>5940.042686397408</v>
      </c>
      <c r="P28" s="122">
        <v>5863.3878852541266</v>
      </c>
      <c r="Q28" s="122">
        <v>5784.169233505957</v>
      </c>
      <c r="R28" s="122">
        <v>5702.4962907518657</v>
      </c>
      <c r="S28" s="122">
        <v>5618.4825302961808</v>
      </c>
      <c r="T28" s="122">
        <v>5532.2450589646778</v>
      </c>
      <c r="U28" s="122">
        <v>5443.9043254072712</v>
      </c>
      <c r="V28" s="122">
        <v>5353.5838179423226</v>
      </c>
      <c r="W28" s="122">
        <v>5261.4097530506142</v>
      </c>
      <c r="X28" s="122">
        <v>5167.5107556748217</v>
      </c>
      <c r="Y28" s="122">
        <v>5072.0175325224855</v>
      </c>
      <c r="Z28" s="122">
        <v>4975.0625396065343</v>
      </c>
      <c r="AA28" s="122">
        <v>4876.7796452877556</v>
      </c>
      <c r="AB28" s="122">
        <v>4777.3037901067792</v>
      </c>
      <c r="AC28" s="122">
        <v>4676.7706447104774</v>
      </c>
      <c r="AD28" s="122">
        <v>4575.3162671875571</v>
      </c>
      <c r="AE28" s="122">
        <v>4473.0767611317351</v>
      </c>
      <c r="AF28" s="122">
        <v>4370.187935747048</v>
      </c>
      <c r="AG28" s="122">
        <v>4266.7849692992977</v>
      </c>
      <c r="AH28" s="122">
        <v>4163.0020772003409</v>
      </c>
      <c r="AI28" s="122">
        <v>4058.9721859873098</v>
      </c>
      <c r="AJ28" s="122">
        <v>3954.8266144281861</v>
      </c>
      <c r="AK28" s="122">
        <v>3850.6947629472579</v>
      </c>
      <c r="AL28" s="122">
        <v>3746.7038125203658</v>
      </c>
      <c r="AM28" s="122">
        <v>3642.978434139759</v>
      </c>
      <c r="AN28" s="122">
        <v>3539.6405098929222</v>
      </c>
    </row>
    <row r="29" spans="1:40" x14ac:dyDescent="0.2">
      <c r="A29" s="123" t="s">
        <v>92</v>
      </c>
      <c r="B29" s="122">
        <v>24050.846611769</v>
      </c>
      <c r="C29" s="122">
        <v>24509.03024066459</v>
      </c>
      <c r="D29" s="122">
        <v>25001.58966458288</v>
      </c>
      <c r="E29" s="122">
        <v>25512.924013843909</v>
      </c>
      <c r="F29" s="122">
        <v>26026.115085443751</v>
      </c>
      <c r="G29" s="122">
        <v>26522.8588930019</v>
      </c>
      <c r="H29" s="122">
        <v>26983.518773909389</v>
      </c>
      <c r="I29" s="122">
        <v>27387.315911044348</v>
      </c>
      <c r="J29" s="122">
        <v>27712.670663823072</v>
      </c>
      <c r="K29" s="122">
        <v>27943.235883573008</v>
      </c>
      <c r="L29" s="122">
        <v>28085.349143571479</v>
      </c>
      <c r="M29" s="122">
        <v>28151.995475308431</v>
      </c>
      <c r="N29" s="122">
        <v>28156.986967644141</v>
      </c>
      <c r="O29" s="122">
        <v>28114.620589197049</v>
      </c>
      <c r="P29" s="122">
        <v>28037.1179690467</v>
      </c>
      <c r="Q29" s="122">
        <v>27927.635836360128</v>
      </c>
      <c r="R29" s="122">
        <v>27787.139200358921</v>
      </c>
      <c r="S29" s="122">
        <v>27616.685778867712</v>
      </c>
      <c r="T29" s="122">
        <v>27417.41695064196</v>
      </c>
      <c r="U29" s="122">
        <v>27190.548527257739</v>
      </c>
      <c r="V29" s="122">
        <v>26937.361431257559</v>
      </c>
      <c r="W29" s="122">
        <v>26659.192363286878</v>
      </c>
      <c r="X29" s="122">
        <v>26357.424536275321</v>
      </c>
      <c r="Y29" s="122">
        <v>26033.478549438729</v>
      </c>
      <c r="Z29" s="122">
        <v>25688.803469110098</v>
      </c>
      <c r="AA29" s="122">
        <v>25324.86817725829</v>
      </c>
      <c r="AB29" s="122">
        <v>24943.153042134629</v>
      </c>
      <c r="AC29" s="122">
        <v>24545.141958898032</v>
      </c>
      <c r="AD29" s="122">
        <v>24132.314801411831</v>
      </c>
      <c r="AE29" s="122">
        <v>23706.140319762631</v>
      </c>
      <c r="AF29" s="122">
        <v>23268.069511516529</v>
      </c>
      <c r="AG29" s="122">
        <v>22819.52948836303</v>
      </c>
      <c r="AH29" s="122">
        <v>22361.917853681309</v>
      </c>
      <c r="AI29" s="122">
        <v>21896.597600739111</v>
      </c>
      <c r="AJ29" s="122">
        <v>21424.8925357634</v>
      </c>
      <c r="AK29" s="122">
        <v>20948.083225028891</v>
      </c>
      <c r="AL29" s="122">
        <v>20467.403460436431</v>
      </c>
      <c r="AM29" s="122">
        <v>19984.037233811909</v>
      </c>
      <c r="AN29" s="122">
        <v>19499.116206365761</v>
      </c>
    </row>
    <row r="30" spans="1:40" x14ac:dyDescent="0.2">
      <c r="A30" s="123" t="s">
        <v>93</v>
      </c>
      <c r="B30" s="122">
        <v>11527.535972617879</v>
      </c>
      <c r="C30" s="122">
        <v>12312.13228229486</v>
      </c>
      <c r="D30" s="122">
        <v>13115.93318867129</v>
      </c>
      <c r="E30" s="122">
        <v>13936.845220084409</v>
      </c>
      <c r="F30" s="122">
        <v>14772.681639739631</v>
      </c>
      <c r="G30" s="122">
        <v>15621.18599036952</v>
      </c>
      <c r="H30" s="122">
        <v>16480.05637898263</v>
      </c>
      <c r="I30" s="122">
        <v>17346.97012067429</v>
      </c>
      <c r="J30" s="122">
        <v>18219.608368507401</v>
      </c>
      <c r="K30" s="122">
        <v>19095.58095017296</v>
      </c>
      <c r="L30" s="122">
        <v>19972.115130407339</v>
      </c>
      <c r="M30" s="122">
        <v>20846.312737625809</v>
      </c>
      <c r="N30" s="122">
        <v>21715.26304324418</v>
      </c>
      <c r="O30" s="122">
        <v>22576.065330070589</v>
      </c>
      <c r="P30" s="122">
        <v>23425.917497464121</v>
      </c>
      <c r="Q30" s="122">
        <v>24262.35567860365</v>
      </c>
      <c r="R30" s="122">
        <v>25083.10817617326</v>
      </c>
      <c r="S30" s="122">
        <v>25886.050779505709</v>
      </c>
      <c r="T30" s="122">
        <v>26669.221539692069</v>
      </c>
      <c r="U30" s="122">
        <v>27430.833437058849</v>
      </c>
      <c r="V30" s="122">
        <v>28169.284881571621</v>
      </c>
      <c r="W30" s="122">
        <v>28883.16802470545</v>
      </c>
      <c r="X30" s="122">
        <v>29571.27489733402</v>
      </c>
      <c r="Y30" s="122">
        <v>30232.601421628329</v>
      </c>
      <c r="Z30" s="122">
        <v>30866.349375337741</v>
      </c>
      <c r="AA30" s="122">
        <v>31471.92641375228</v>
      </c>
      <c r="AB30" s="122">
        <v>32048.94427787128</v>
      </c>
      <c r="AC30" s="122">
        <v>32597.215336661789</v>
      </c>
      <c r="AD30" s="122">
        <v>33116.747626740878</v>
      </c>
      <c r="AE30" s="122">
        <v>33607.738564399202</v>
      </c>
      <c r="AF30" s="122">
        <v>34070.567512737471</v>
      </c>
      <c r="AG30" s="122">
        <v>34505.787391013007</v>
      </c>
      <c r="AH30" s="122">
        <v>34914.115514358236</v>
      </c>
      <c r="AI30" s="122">
        <v>35296.423850150757</v>
      </c>
      <c r="AJ30" s="122">
        <v>35653.728872836233</v>
      </c>
      <c r="AK30" s="122">
        <v>35987.181192300093</v>
      </c>
      <c r="AL30" s="122">
        <v>36298.055122339611</v>
      </c>
      <c r="AM30" s="122">
        <v>36587.738345794118</v>
      </c>
      <c r="AN30" s="122">
        <v>36857.72182182251</v>
      </c>
    </row>
    <row r="31" spans="1:40" x14ac:dyDescent="0.2">
      <c r="A31" s="123" t="s">
        <v>94</v>
      </c>
      <c r="B31" s="122">
        <v>1857.221055664822</v>
      </c>
      <c r="C31" s="122">
        <v>1905.242239858628</v>
      </c>
      <c r="D31" s="122">
        <v>1955.9873515630741</v>
      </c>
      <c r="E31" s="122">
        <v>2008.237785906377</v>
      </c>
      <c r="F31" s="122">
        <v>2060.6369898954081</v>
      </c>
      <c r="G31" s="122">
        <v>2111.6849618916699</v>
      </c>
      <c r="H31" s="122">
        <v>2159.7428996230601</v>
      </c>
      <c r="I31" s="122">
        <v>2203.0496664001262</v>
      </c>
      <c r="J31" s="122">
        <v>2239.7515225233242</v>
      </c>
      <c r="K31" s="122">
        <v>2268.4047365982451</v>
      </c>
      <c r="L31" s="122">
        <v>2289.4413215138561</v>
      </c>
      <c r="M31" s="122">
        <v>2303.86851260717</v>
      </c>
      <c r="N31" s="122">
        <v>2312.788909365061</v>
      </c>
      <c r="O31" s="122">
        <v>2317.3699531363941</v>
      </c>
      <c r="P31" s="122">
        <v>2318.6242420184599</v>
      </c>
      <c r="Q31" s="122">
        <v>2316.8079970422918</v>
      </c>
      <c r="R31" s="122">
        <v>2311.9958684136668</v>
      </c>
      <c r="S31" s="122">
        <v>2304.273739345057</v>
      </c>
      <c r="T31" s="122">
        <v>2293.737748352492</v>
      </c>
      <c r="U31" s="122">
        <v>2280.493275832067</v>
      </c>
      <c r="V31" s="122">
        <v>2264.6539068732141</v>
      </c>
      <c r="W31" s="122">
        <v>2246.340381799354</v>
      </c>
      <c r="X31" s="122">
        <v>2225.679545335609</v>
      </c>
      <c r="Y31" s="122">
        <v>2202.8033046065389</v>
      </c>
      <c r="Z31" s="122">
        <v>2177.8476053831359</v>
      </c>
      <c r="AA31" s="122">
        <v>2150.9514351469211</v>
      </c>
      <c r="AB31" s="122">
        <v>2122.2558606381149</v>
      </c>
      <c r="AC31" s="122">
        <v>2091.9031066222828</v>
      </c>
      <c r="AD31" s="122">
        <v>2060.0356816625149</v>
      </c>
      <c r="AE31" s="122">
        <v>2026.795555737091</v>
      </c>
      <c r="AF31" s="122">
        <v>1992.323393610219</v>
      </c>
      <c r="AG31" s="122">
        <v>1956.7578469578939</v>
      </c>
      <c r="AH31" s="122">
        <v>1920.2349073832081</v>
      </c>
      <c r="AI31" s="122">
        <v>1882.88732163483</v>
      </c>
      <c r="AJ31" s="122">
        <v>1844.844069576063</v>
      </c>
      <c r="AK31" s="122">
        <v>1806.229904746202</v>
      </c>
      <c r="AL31" s="122">
        <v>1767.164956714731</v>
      </c>
      <c r="AM31" s="122">
        <v>1727.7643938554311</v>
      </c>
      <c r="AN31" s="122">
        <v>1688.138144662898</v>
      </c>
    </row>
    <row r="32" spans="1:40" x14ac:dyDescent="0.2">
      <c r="A32" s="123" t="s">
        <v>95</v>
      </c>
      <c r="B32" s="122">
        <v>7705.3000762763377</v>
      </c>
      <c r="C32" s="122">
        <v>7774.7022558818962</v>
      </c>
      <c r="D32" s="122">
        <v>7845.7192955027294</v>
      </c>
      <c r="E32" s="122">
        <v>7915.2702069792804</v>
      </c>
      <c r="F32" s="122">
        <v>7980.1654034098019</v>
      </c>
      <c r="G32" s="122">
        <v>8037.11899609383</v>
      </c>
      <c r="H32" s="122">
        <v>8082.7742766350902</v>
      </c>
      <c r="I32" s="122">
        <v>8113.7428356129558</v>
      </c>
      <c r="J32" s="122">
        <v>8126.6574039699954</v>
      </c>
      <c r="K32" s="122">
        <v>8119.3281246126371</v>
      </c>
      <c r="L32" s="122">
        <v>8094.0600732664407</v>
      </c>
      <c r="M32" s="122">
        <v>8054.3411104773559</v>
      </c>
      <c r="N32" s="122">
        <v>8003.6843698294842</v>
      </c>
      <c r="O32" s="122">
        <v>7945.5744986237414</v>
      </c>
      <c r="P32" s="122">
        <v>7882.8671325472214</v>
      </c>
      <c r="Q32" s="122">
        <v>7816.1168626251238</v>
      </c>
      <c r="R32" s="122">
        <v>7745.3181440158151</v>
      </c>
      <c r="S32" s="122">
        <v>7670.4757786075543</v>
      </c>
      <c r="T32" s="122">
        <v>7591.605174113558</v>
      </c>
      <c r="U32" s="122">
        <v>7508.7325670045302</v>
      </c>
      <c r="V32" s="122">
        <v>7421.8952063946581</v>
      </c>
      <c r="W32" s="122">
        <v>7331.1414961318824</v>
      </c>
      <c r="X32" s="122">
        <v>7236.5310925077374</v>
      </c>
      <c r="Y32" s="122">
        <v>7138.1349551952007</v>
      </c>
      <c r="Z32" s="122">
        <v>7036.0353492477052</v>
      </c>
      <c r="AA32" s="122">
        <v>6930.3257962436928</v>
      </c>
      <c r="AB32" s="122">
        <v>6821.1109729422869</v>
      </c>
      <c r="AC32" s="122">
        <v>6708.5065561232941</v>
      </c>
      <c r="AD32" s="122">
        <v>6592.6390126175629</v>
      </c>
      <c r="AE32" s="122">
        <v>6473.6453338907086</v>
      </c>
      <c r="AF32" s="122">
        <v>6351.672714920961</v>
      </c>
      <c r="AG32" s="122">
        <v>6226.8781775082716</v>
      </c>
      <c r="AH32" s="122">
        <v>6099.4281385642198</v>
      </c>
      <c r="AI32" s="122">
        <v>5969.4979243559874</v>
      </c>
      <c r="AJ32" s="122">
        <v>5837.2712321106483</v>
      </c>
      <c r="AK32" s="122">
        <v>5702.9395408235487</v>
      </c>
      <c r="AL32" s="122">
        <v>5566.7014735513631</v>
      </c>
      <c r="AM32" s="122">
        <v>5428.7621139045896</v>
      </c>
      <c r="AN32" s="122">
        <v>5289.3322798785048</v>
      </c>
    </row>
    <row r="33" spans="1:40" x14ac:dyDescent="0.2">
      <c r="A33" s="123" t="s">
        <v>96</v>
      </c>
      <c r="B33" s="122">
        <v>16124.371416167731</v>
      </c>
      <c r="C33" s="122">
        <v>16360.941639490149</v>
      </c>
      <c r="D33" s="122">
        <v>16620.93017308964</v>
      </c>
      <c r="E33" s="122">
        <v>16893.907398668689</v>
      </c>
      <c r="F33" s="122">
        <v>17168.757882385591</v>
      </c>
      <c r="G33" s="122">
        <v>17433.631141008958</v>
      </c>
      <c r="H33" s="122">
        <v>17675.97047222051</v>
      </c>
      <c r="I33" s="122">
        <v>17882.628191013158</v>
      </c>
      <c r="J33" s="122">
        <v>18040.074188310071</v>
      </c>
      <c r="K33" s="122">
        <v>18138.24414201641</v>
      </c>
      <c r="L33" s="122">
        <v>18181.616961637581</v>
      </c>
      <c r="M33" s="122">
        <v>18178.80446710781</v>
      </c>
      <c r="N33" s="122">
        <v>18138.81463197734</v>
      </c>
      <c r="O33" s="122">
        <v>18070.845521903091</v>
      </c>
      <c r="P33" s="122">
        <v>17982.684977220841</v>
      </c>
      <c r="Q33" s="122">
        <v>17876.3460633336</v>
      </c>
      <c r="R33" s="122">
        <v>17752.440913176692</v>
      </c>
      <c r="S33" s="122">
        <v>17611.626011180371</v>
      </c>
      <c r="T33" s="122">
        <v>17454.597581109501</v>
      </c>
      <c r="U33" s="122">
        <v>17282.086916295269</v>
      </c>
      <c r="V33" s="122">
        <v>17094.855689534761</v>
      </c>
      <c r="W33" s="122">
        <v>16893.691278200091</v>
      </c>
      <c r="X33" s="122">
        <v>16679.402138099202</v>
      </c>
      <c r="Y33" s="122">
        <v>16452.813257407641</v>
      </c>
      <c r="Z33" s="122">
        <v>16214.761719581589</v>
      </c>
      <c r="AA33" s="122">
        <v>15966.092401610549</v>
      </c>
      <c r="AB33" s="122">
        <v>15707.653831308309</v>
      </c>
      <c r="AC33" s="122">
        <v>15440.29422461335</v>
      </c>
      <c r="AD33" s="122">
        <v>15164.857721108639</v>
      </c>
      <c r="AE33" s="122">
        <v>14882.18083321003</v>
      </c>
      <c r="AF33" s="122">
        <v>14593.089121741859</v>
      </c>
      <c r="AG33" s="122">
        <v>14298.394107948279</v>
      </c>
      <c r="AH33" s="122">
        <v>13998.890429401919</v>
      </c>
      <c r="AI33" s="122">
        <v>13695.35324479169</v>
      </c>
      <c r="AJ33" s="122">
        <v>13388.535890217951</v>
      </c>
      <c r="AK33" s="122">
        <v>13079.167787411639</v>
      </c>
      <c r="AL33" s="122">
        <v>12767.952602236661</v>
      </c>
      <c r="AM33" s="122">
        <v>12455.566649943559</v>
      </c>
      <c r="AN33" s="122">
        <v>12142.65754192354</v>
      </c>
    </row>
    <row r="34" spans="1:40" x14ac:dyDescent="0.2">
      <c r="A34" s="123" t="s">
        <v>97</v>
      </c>
      <c r="B34" s="122">
        <v>21502.759178911721</v>
      </c>
      <c r="C34" s="122">
        <v>21812.147137662982</v>
      </c>
      <c r="D34" s="122">
        <v>22152.82412593564</v>
      </c>
      <c r="E34" s="122">
        <v>22510.88220307645</v>
      </c>
      <c r="F34" s="122">
        <v>22871.515755041572</v>
      </c>
      <c r="G34" s="122">
        <v>23218.95538839736</v>
      </c>
      <c r="H34" s="122">
        <v>23536.50566306544</v>
      </c>
      <c r="I34" s="122">
        <v>23806.697596556369</v>
      </c>
      <c r="J34" s="122">
        <v>24011.564991957359</v>
      </c>
      <c r="K34" s="122">
        <v>24137.75957123292</v>
      </c>
      <c r="L34" s="122">
        <v>24191.27089177477</v>
      </c>
      <c r="M34" s="122">
        <v>24183.572850596989</v>
      </c>
      <c r="N34" s="122">
        <v>24126.65461112971</v>
      </c>
      <c r="O34" s="122">
        <v>24032.74782832963</v>
      </c>
      <c r="P34" s="122">
        <v>23912.202314542948</v>
      </c>
      <c r="Q34" s="122">
        <v>23767.69257492193</v>
      </c>
      <c r="R34" s="122">
        <v>23600.03078978345</v>
      </c>
      <c r="S34" s="122">
        <v>23410.08692331125</v>
      </c>
      <c r="T34" s="122">
        <v>23198.782692588069</v>
      </c>
      <c r="U34" s="122">
        <v>22967.085463608521</v>
      </c>
      <c r="V34" s="122">
        <v>22716.00212246463</v>
      </c>
      <c r="W34" s="122">
        <v>22446.572967654251</v>
      </c>
      <c r="X34" s="122">
        <v>22159.86566688749</v>
      </c>
      <c r="Y34" s="122">
        <v>21856.96931890009</v>
      </c>
      <c r="Z34" s="122">
        <v>21538.988657681512</v>
      </c>
      <c r="AA34" s="122">
        <v>21207.038433237489</v>
      </c>
      <c r="AB34" s="122">
        <v>20862.237999580851</v>
      </c>
      <c r="AC34" s="122">
        <v>20505.706137130939</v>
      </c>
      <c r="AD34" s="122">
        <v>20138.556133144211</v>
      </c>
      <c r="AE34" s="122">
        <v>19761.891140237611</v>
      </c>
      <c r="AF34" s="122">
        <v>19376.799829547621</v>
      </c>
      <c r="AG34" s="122">
        <v>18984.352351620139</v>
      </c>
      <c r="AH34" s="122">
        <v>18585.596614787271</v>
      </c>
      <c r="AI34" s="122">
        <v>18181.554887583261</v>
      </c>
      <c r="AJ34" s="122">
        <v>17773.220728708449</v>
      </c>
      <c r="AK34" s="122">
        <v>17361.556245188211</v>
      </c>
      <c r="AL34" s="122">
        <v>16947.489676707901</v>
      </c>
      <c r="AM34" s="122">
        <v>16531.913301654931</v>
      </c>
      <c r="AN34" s="122">
        <v>16115.68165816377</v>
      </c>
    </row>
    <row r="35" spans="1:40" x14ac:dyDescent="0.2">
      <c r="A35" s="123" t="s">
        <v>98</v>
      </c>
      <c r="B35" s="122">
        <v>13204.368998026081</v>
      </c>
      <c r="C35" s="122">
        <v>13456.975655392651</v>
      </c>
      <c r="D35" s="122">
        <v>13728.454242096061</v>
      </c>
      <c r="E35" s="122">
        <v>14010.238829113159</v>
      </c>
      <c r="F35" s="122">
        <v>14293.037272400241</v>
      </c>
      <c r="G35" s="122">
        <v>14566.79365564092</v>
      </c>
      <c r="H35" s="122">
        <v>14820.71752659117</v>
      </c>
      <c r="I35" s="122">
        <v>15043.388668277321</v>
      </c>
      <c r="J35" s="122">
        <v>15222.944791175671</v>
      </c>
      <c r="K35" s="122">
        <v>15350.396926266811</v>
      </c>
      <c r="L35" s="122">
        <v>15429.220552864979</v>
      </c>
      <c r="M35" s="122">
        <v>15466.545700477771</v>
      </c>
      <c r="N35" s="122">
        <v>15469.958939782289</v>
      </c>
      <c r="O35" s="122">
        <v>15447.315173439039</v>
      </c>
      <c r="P35" s="122">
        <v>15405.330252231521</v>
      </c>
      <c r="Q35" s="122">
        <v>15345.73863203522</v>
      </c>
      <c r="R35" s="122">
        <v>15269.070448256331</v>
      </c>
      <c r="S35" s="122">
        <v>15175.90703031167</v>
      </c>
      <c r="T35" s="122">
        <v>15066.875911733699</v>
      </c>
      <c r="U35" s="122">
        <v>14942.645739958671</v>
      </c>
      <c r="V35" s="122">
        <v>14803.921133756879</v>
      </c>
      <c r="W35" s="122">
        <v>14651.4375340719</v>
      </c>
      <c r="X35" s="122">
        <v>14485.956091449711</v>
      </c>
      <c r="Y35" s="122">
        <v>14308.258630319269</v>
      </c>
      <c r="Z35" s="122">
        <v>14119.142727193321</v>
      </c>
      <c r="AA35" s="122">
        <v>13919.416936457499</v>
      </c>
      <c r="AB35" s="122">
        <v>13709.896193861779</v>
      </c>
      <c r="AC35" s="122">
        <v>13491.39742418342</v>
      </c>
      <c r="AD35" s="122">
        <v>13264.735375843689</v>
      </c>
      <c r="AE35" s="122">
        <v>13030.718701586609</v>
      </c>
      <c r="AF35" s="122">
        <v>12790.14630070937</v>
      </c>
      <c r="AG35" s="122">
        <v>12543.80393481361</v>
      </c>
      <c r="AH35" s="122">
        <v>12292.461125661161</v>
      </c>
      <c r="AI35" s="122">
        <v>12036.86834049648</v>
      </c>
      <c r="AJ35" s="122">
        <v>11777.7544671708</v>
      </c>
      <c r="AK35" s="122">
        <v>11515.824578586031</v>
      </c>
      <c r="AL35" s="122">
        <v>11251.75798339193</v>
      </c>
      <c r="AM35" s="122">
        <v>10986.206557524711</v>
      </c>
      <c r="AN35" s="122">
        <v>10719.79334907932</v>
      </c>
    </row>
    <row r="36" spans="1:40" x14ac:dyDescent="0.2">
      <c r="A36" s="123" t="s">
        <v>99</v>
      </c>
      <c r="B36" s="122">
        <v>15179.327689922769</v>
      </c>
      <c r="C36" s="122">
        <v>15720.471276674039</v>
      </c>
      <c r="D36" s="122">
        <v>16293.374940433219</v>
      </c>
      <c r="E36" s="122">
        <v>16890.614091985681</v>
      </c>
      <c r="F36" s="122">
        <v>17503.510435740081</v>
      </c>
      <c r="G36" s="122">
        <v>18122.021405670432</v>
      </c>
      <c r="H36" s="122">
        <v>18734.681563636601</v>
      </c>
      <c r="I36" s="122">
        <v>19328.60987131844</v>
      </c>
      <c r="J36" s="122">
        <v>19889.59708648983</v>
      </c>
      <c r="K36" s="122">
        <v>20405.180335772329</v>
      </c>
      <c r="L36" s="122">
        <v>20874.129648666811</v>
      </c>
      <c r="M36" s="122">
        <v>21298.83246930148</v>
      </c>
      <c r="N36" s="122">
        <v>21682.467028203511</v>
      </c>
      <c r="O36" s="122">
        <v>22028.912722105051</v>
      </c>
      <c r="P36" s="122">
        <v>22341.786924092339</v>
      </c>
      <c r="Q36" s="122">
        <v>22621.64970649239</v>
      </c>
      <c r="R36" s="122">
        <v>22868.423387241499</v>
      </c>
      <c r="S36" s="122">
        <v>23082.232866340561</v>
      </c>
      <c r="T36" s="122">
        <v>23263.396041852709</v>
      </c>
      <c r="U36" s="122">
        <v>23412.41275544251</v>
      </c>
      <c r="V36" s="122">
        <v>23529.952510547118</v>
      </c>
      <c r="W36" s="122">
        <v>23616.841207634359</v>
      </c>
      <c r="X36" s="122">
        <v>23674.047137799251</v>
      </c>
      <c r="Y36" s="122">
        <v>23702.66646866866</v>
      </c>
      <c r="Z36" s="122">
        <v>23703.908445765821</v>
      </c>
      <c r="AA36" s="122">
        <v>23679.080518700121</v>
      </c>
      <c r="AB36" s="122">
        <v>23629.573585367121</v>
      </c>
      <c r="AC36" s="122">
        <v>23556.84752934577</v>
      </c>
      <c r="AD36" s="122">
        <v>23462.417206415332</v>
      </c>
      <c r="AE36" s="122">
        <v>23347.839016098951</v>
      </c>
      <c r="AF36" s="122">
        <v>23214.698173860801</v>
      </c>
      <c r="AG36" s="122">
        <v>23064.5967794637</v>
      </c>
      <c r="AH36" s="122">
        <v>22899.142757415451</v>
      </c>
      <c r="AI36" s="122">
        <v>22719.939726716409</v>
      </c>
      <c r="AJ36" s="122">
        <v>22528.577839533951</v>
      </c>
      <c r="AK36" s="122">
        <v>22326.62561218371</v>
      </c>
      <c r="AL36" s="122">
        <v>22115.622757047411</v>
      </c>
      <c r="AM36" s="122">
        <v>21897.074010915479</v>
      </c>
      <c r="AN36" s="122">
        <v>21672.443943767201</v>
      </c>
    </row>
    <row r="37" spans="1:40" x14ac:dyDescent="0.2">
      <c r="A37" s="123" t="s">
        <v>100</v>
      </c>
      <c r="B37" s="122">
        <v>15793.232462385689</v>
      </c>
      <c r="C37" s="122">
        <v>16386.90642016225</v>
      </c>
      <c r="D37" s="122">
        <v>17014.883833574298</v>
      </c>
      <c r="E37" s="122">
        <v>17669.534197481749</v>
      </c>
      <c r="F37" s="122">
        <v>18341.85854320107</v>
      </c>
      <c r="G37" s="122">
        <v>19021.367388024581</v>
      </c>
      <c r="H37" s="122">
        <v>19696.012527877589</v>
      </c>
      <c r="I37" s="122">
        <v>20352.18784782946</v>
      </c>
      <c r="J37" s="122">
        <v>20974.814781627101</v>
      </c>
      <c r="K37" s="122">
        <v>21550.55657984404</v>
      </c>
      <c r="L37" s="122">
        <v>22077.78364657563</v>
      </c>
      <c r="M37" s="122">
        <v>22558.667139199879</v>
      </c>
      <c r="N37" s="122">
        <v>22996.234862519112</v>
      </c>
      <c r="O37" s="122">
        <v>23394.282318377911</v>
      </c>
      <c r="P37" s="122">
        <v>23756.379194594949</v>
      </c>
      <c r="Q37" s="122">
        <v>24082.971789029769</v>
      </c>
      <c r="R37" s="122">
        <v>24373.86884371729</v>
      </c>
      <c r="S37" s="122">
        <v>24629.10818084158</v>
      </c>
      <c r="T37" s="122">
        <v>24848.946736644499</v>
      </c>
      <c r="U37" s="122">
        <v>25033.848818983381</v>
      </c>
      <c r="V37" s="122">
        <v>25184.472866598899</v>
      </c>
      <c r="W37" s="122">
        <v>25301.65699173442</v>
      </c>
      <c r="X37" s="122">
        <v>25386.40358574842</v>
      </c>
      <c r="Y37" s="122">
        <v>25439.86326035703</v>
      </c>
      <c r="Z37" s="122">
        <v>25463.31838576062</v>
      </c>
      <c r="AA37" s="122">
        <v>25458.166471821081</v>
      </c>
      <c r="AB37" s="122">
        <v>25425.903620360099</v>
      </c>
      <c r="AC37" s="122">
        <v>25368.108256226318</v>
      </c>
      <c r="AD37" s="122">
        <v>25286.42532270194</v>
      </c>
      <c r="AE37" s="122">
        <v>25182.551103722311</v>
      </c>
      <c r="AF37" s="122">
        <v>25058.218811841831</v>
      </c>
      <c r="AG37" s="122">
        <v>24915.185057438379</v>
      </c>
      <c r="AH37" s="122">
        <v>24755.21729175678</v>
      </c>
      <c r="AI37" s="122">
        <v>24580.082294456632</v>
      </c>
      <c r="AJ37" s="122">
        <v>24391.535755683759</v>
      </c>
      <c r="AK37" s="122">
        <v>24191.312983580199</v>
      </c>
      <c r="AL37" s="122">
        <v>23981.120750795071</v>
      </c>
      <c r="AM37" s="122">
        <v>23762.630278086839</v>
      </c>
      <c r="AN37" s="122">
        <v>23537.471339606291</v>
      </c>
    </row>
    <row r="38" spans="1:40" x14ac:dyDescent="0.2">
      <c r="A38" s="123" t="s">
        <v>101</v>
      </c>
      <c r="B38" s="122">
        <v>12204.55859303716</v>
      </c>
      <c r="C38" s="122">
        <v>12910.589516383459</v>
      </c>
      <c r="D38" s="122">
        <v>13658.59490190981</v>
      </c>
      <c r="E38" s="122">
        <v>14443.625983957179</v>
      </c>
      <c r="F38" s="122">
        <v>15259.17326945383</v>
      </c>
      <c r="G38" s="122">
        <v>16096.98871607567</v>
      </c>
      <c r="H38" s="122">
        <v>16946.94587630442</v>
      </c>
      <c r="I38" s="122">
        <v>17796.955569977381</v>
      </c>
      <c r="J38" s="122">
        <v>18632.956247517781</v>
      </c>
      <c r="K38" s="122">
        <v>19441.48341546793</v>
      </c>
      <c r="L38" s="122">
        <v>20218.106165317171</v>
      </c>
      <c r="M38" s="122">
        <v>20961.49943619085</v>
      </c>
      <c r="N38" s="122">
        <v>21671.171021371028</v>
      </c>
      <c r="O38" s="122">
        <v>22347.44797255515</v>
      </c>
      <c r="P38" s="122">
        <v>22990.834993760851</v>
      </c>
      <c r="Q38" s="122">
        <v>23600.001283904869</v>
      </c>
      <c r="R38" s="122">
        <v>24173.379538339552</v>
      </c>
      <c r="S38" s="122">
        <v>24709.750873627741</v>
      </c>
      <c r="T38" s="122">
        <v>25208.244603201529</v>
      </c>
      <c r="U38" s="122">
        <v>25668.33347347927</v>
      </c>
      <c r="V38" s="122">
        <v>26089.824769486131</v>
      </c>
      <c r="W38" s="122">
        <v>26472.847752866561</v>
      </c>
      <c r="X38" s="122">
        <v>26817.837933408118</v>
      </c>
      <c r="Y38" s="122">
        <v>27125.518698374752</v>
      </c>
      <c r="Z38" s="122">
        <v>27396.880833019179</v>
      </c>
      <c r="AA38" s="122">
        <v>27633.160461906671</v>
      </c>
      <c r="AB38" s="122">
        <v>27835.815925663479</v>
      </c>
      <c r="AC38" s="122">
        <v>28006.504083159729</v>
      </c>
      <c r="AD38" s="122">
        <v>28147.056496734549</v>
      </c>
      <c r="AE38" s="122">
        <v>28259.455919673052</v>
      </c>
      <c r="AF38" s="122">
        <v>28345.813462507202</v>
      </c>
      <c r="AG38" s="122">
        <v>28408.346769513901</v>
      </c>
      <c r="AH38" s="122">
        <v>28449.359490551731</v>
      </c>
      <c r="AI38" s="122">
        <v>28471.222287507189</v>
      </c>
      <c r="AJ38" s="122">
        <v>28476.355570302479</v>
      </c>
      <c r="AK38" s="122">
        <v>28467.214115686282</v>
      </c>
      <c r="AL38" s="122">
        <v>28446.27368370313</v>
      </c>
      <c r="AM38" s="122">
        <v>28416.019712489709</v>
      </c>
      <c r="AN38" s="122">
        <v>28378.93814235547</v>
      </c>
    </row>
    <row r="39" spans="1:40" x14ac:dyDescent="0.2">
      <c r="A39" s="123" t="s">
        <v>46</v>
      </c>
      <c r="B39" s="122">
        <v>24223.247878201619</v>
      </c>
      <c r="C39" s="122">
        <v>25109.721528919588</v>
      </c>
      <c r="D39" s="122">
        <v>26047.797347849599</v>
      </c>
      <c r="E39" s="122">
        <v>27025.697358390309</v>
      </c>
      <c r="F39" s="122">
        <v>28029.594953493001</v>
      </c>
      <c r="G39" s="122">
        <v>29043.433324642359</v>
      </c>
      <c r="H39" s="122">
        <v>30048.826651117161</v>
      </c>
      <c r="I39" s="122">
        <v>31025.06677260884</v>
      </c>
      <c r="J39" s="122">
        <v>31949.25868555349</v>
      </c>
      <c r="K39" s="122">
        <v>32801.238579049947</v>
      </c>
      <c r="L39" s="122">
        <v>33578.783726480193</v>
      </c>
      <c r="M39" s="122">
        <v>34285.472232371802</v>
      </c>
      <c r="N39" s="122">
        <v>34926.169802935998</v>
      </c>
      <c r="O39" s="122">
        <v>35506.889852041822</v>
      </c>
      <c r="P39" s="122">
        <v>36033.262677246748</v>
      </c>
      <c r="Q39" s="122">
        <v>36506.082278409893</v>
      </c>
      <c r="R39" s="122">
        <v>36925.144143324767</v>
      </c>
      <c r="S39" s="122">
        <v>37290.58060370342</v>
      </c>
      <c r="T39" s="122">
        <v>37602.845523096526</v>
      </c>
      <c r="U39" s="122">
        <v>37862.696458464859</v>
      </c>
      <c r="V39" s="122">
        <v>38071.17470199323</v>
      </c>
      <c r="W39" s="122">
        <v>38229.583613432427</v>
      </c>
      <c r="X39" s="122">
        <v>38339.465649066413</v>
      </c>
      <c r="Y39" s="122">
        <v>38402.578482147801</v>
      </c>
      <c r="Z39" s="122">
        <v>38420.87059224437</v>
      </c>
      <c r="AA39" s="122">
        <v>38396.456678353272</v>
      </c>
      <c r="AB39" s="122">
        <v>38331.593223868003</v>
      </c>
      <c r="AC39" s="122">
        <v>38228.654511490327</v>
      </c>
      <c r="AD39" s="122">
        <v>38090.10935392783</v>
      </c>
      <c r="AE39" s="122">
        <v>37918.498772599938</v>
      </c>
      <c r="AF39" s="122">
        <v>37716.41482241328</v>
      </c>
      <c r="AG39" s="122">
        <v>37486.480726716931</v>
      </c>
      <c r="AH39" s="122">
        <v>37231.332453454757</v>
      </c>
      <c r="AI39" s="122">
        <v>36953.601831860688</v>
      </c>
      <c r="AJ39" s="122">
        <v>36655.901279256963</v>
      </c>
      <c r="AK39" s="122">
        <v>36340.810179981971</v>
      </c>
      <c r="AL39" s="122">
        <v>36010.862933465811</v>
      </c>
      <c r="AM39" s="122">
        <v>35668.538666190238</v>
      </c>
      <c r="AN39" s="122">
        <v>35316.252582807043</v>
      </c>
    </row>
    <row r="40" spans="1:40" x14ac:dyDescent="0.2">
      <c r="A40" s="123" t="s">
        <v>102</v>
      </c>
      <c r="B40" s="122">
        <v>6611.9630030332364</v>
      </c>
      <c r="C40" s="122">
        <v>6778.6311627858704</v>
      </c>
      <c r="D40" s="122">
        <v>6957.1240702119067</v>
      </c>
      <c r="E40" s="122">
        <v>7143.9988183346586</v>
      </c>
      <c r="F40" s="122">
        <v>7335.4135982903426</v>
      </c>
      <c r="G40" s="122">
        <v>7527.0910561226401</v>
      </c>
      <c r="H40" s="122">
        <v>7714.3047358237764</v>
      </c>
      <c r="I40" s="122">
        <v>7891.8931041417618</v>
      </c>
      <c r="J40" s="122">
        <v>8054.3056305708897</v>
      </c>
      <c r="K40" s="122">
        <v>8196.9025254182216</v>
      </c>
      <c r="L40" s="122">
        <v>8319.869573236032</v>
      </c>
      <c r="M40" s="122">
        <v>8424.8697779481881</v>
      </c>
      <c r="N40" s="122">
        <v>8513.8237544958793</v>
      </c>
      <c r="O40" s="122">
        <v>8588.8643454573103</v>
      </c>
      <c r="P40" s="122">
        <v>8651.9053377892596</v>
      </c>
      <c r="Q40" s="122">
        <v>8703.4171608003853</v>
      </c>
      <c r="R40" s="122">
        <v>8743.5422635386185</v>
      </c>
      <c r="S40" s="122">
        <v>8772.4751585494923</v>
      </c>
      <c r="T40" s="122">
        <v>8790.4588995823415</v>
      </c>
      <c r="U40" s="122">
        <v>8797.7813186198709</v>
      </c>
      <c r="V40" s="122">
        <v>8794.7710785045219</v>
      </c>
      <c r="W40" s="122">
        <v>8781.7935959471597</v>
      </c>
      <c r="X40" s="122">
        <v>8759.2468874920651</v>
      </c>
      <c r="Y40" s="122">
        <v>8727.5573881817218</v>
      </c>
      <c r="Z40" s="122">
        <v>8687.1757893155082</v>
      </c>
      <c r="AA40" s="122">
        <v>8638.5729379337954</v>
      </c>
      <c r="AB40" s="122">
        <v>8582.2358365860455</v>
      </c>
      <c r="AC40" s="122">
        <v>8518.6637776560365</v>
      </c>
      <c r="AD40" s="122">
        <v>8448.3646421102258</v>
      </c>
      <c r="AE40" s="122">
        <v>8371.8513880952978</v>
      </c>
      <c r="AF40" s="122">
        <v>8289.6387504122467</v>
      </c>
      <c r="AG40" s="122">
        <v>8202.2401676074751</v>
      </c>
      <c r="AH40" s="122">
        <v>8110.1649493042287</v>
      </c>
      <c r="AI40" s="122">
        <v>8013.9156925011775</v>
      </c>
      <c r="AJ40" s="122">
        <v>7913.9859519279262</v>
      </c>
      <c r="AK40" s="122">
        <v>7810.8581662023362</v>
      </c>
      <c r="AL40" s="122">
        <v>7705.0018385034018</v>
      </c>
      <c r="AM40" s="122">
        <v>7596.8719677704466</v>
      </c>
      <c r="AN40" s="122">
        <v>7486.9077240716542</v>
      </c>
    </row>
    <row r="41" spans="1:40" x14ac:dyDescent="0.2">
      <c r="A41" s="123" t="s">
        <v>103</v>
      </c>
      <c r="B41" s="122">
        <v>27519.37503144029</v>
      </c>
      <c r="C41" s="122">
        <v>29679.362258587451</v>
      </c>
      <c r="D41" s="122">
        <v>31991.989126133831</v>
      </c>
      <c r="E41" s="122">
        <v>34449.964911793322</v>
      </c>
      <c r="F41" s="122">
        <v>37041.397773413017</v>
      </c>
      <c r="G41" s="122">
        <v>39749.088336083158</v>
      </c>
      <c r="H41" s="122">
        <v>42549.884139605252</v>
      </c>
      <c r="I41" s="122">
        <v>45414.148514039967</v>
      </c>
      <c r="J41" s="122">
        <v>48305.405823362693</v>
      </c>
      <c r="K41" s="122">
        <v>51186.125244258787</v>
      </c>
      <c r="L41" s="122">
        <v>54038.214446594247</v>
      </c>
      <c r="M41" s="122">
        <v>56850.22803095197</v>
      </c>
      <c r="N41" s="122">
        <v>59612.342265863488</v>
      </c>
      <c r="O41" s="122">
        <v>62316.519033306409</v>
      </c>
      <c r="P41" s="122">
        <v>64955.620314447609</v>
      </c>
      <c r="Q41" s="122">
        <v>67520.146796731511</v>
      </c>
      <c r="R41" s="122">
        <v>70000.785980902539</v>
      </c>
      <c r="S41" s="122">
        <v>72389.428987856983</v>
      </c>
      <c r="T41" s="122">
        <v>74679.238718936394</v>
      </c>
      <c r="U41" s="122">
        <v>76864.695427868501</v>
      </c>
      <c r="V41" s="122">
        <v>78941.620498146585</v>
      </c>
      <c r="W41" s="122">
        <v>80907.179703947011</v>
      </c>
      <c r="X41" s="122">
        <v>82759.867639443255</v>
      </c>
      <c r="Y41" s="122">
        <v>84499.475325876891</v>
      </c>
      <c r="Z41" s="122">
        <v>86127.043246826899</v>
      </c>
      <c r="AA41" s="122">
        <v>87644.802221903679</v>
      </c>
      <c r="AB41" s="122">
        <v>89056.104612440584</v>
      </c>
      <c r="AC41" s="122">
        <v>90365.348366734528</v>
      </c>
      <c r="AD41" s="122">
        <v>91577.896365716544</v>
      </c>
      <c r="AE41" s="122">
        <v>92699.993432456002</v>
      </c>
      <c r="AF41" s="122">
        <v>93738.683231058516</v>
      </c>
      <c r="AG41" s="122">
        <v>94701.727112906068</v>
      </c>
      <c r="AH41" s="122">
        <v>95597.526781153196</v>
      </c>
      <c r="AI41" s="122">
        <v>96435.052447799317</v>
      </c>
      <c r="AJ41" s="122">
        <v>97223.777960540086</v>
      </c>
      <c r="AK41" s="122">
        <v>97973.624187168607</v>
      </c>
      <c r="AL41" s="122">
        <v>98694.911770708248</v>
      </c>
      <c r="AM41" s="122">
        <v>99398.324214952401</v>
      </c>
      <c r="AN41" s="122">
        <v>100094.8821329519</v>
      </c>
    </row>
    <row r="42" spans="1:40" x14ac:dyDescent="0.2">
      <c r="A42" s="123" t="s">
        <v>104</v>
      </c>
      <c r="B42" s="122">
        <v>40049.197919647981</v>
      </c>
      <c r="C42" s="122">
        <v>43584.733033449971</v>
      </c>
      <c r="D42" s="122">
        <v>47256.243701708619</v>
      </c>
      <c r="E42" s="122">
        <v>51058.566822290319</v>
      </c>
      <c r="F42" s="122">
        <v>54987.380863815742</v>
      </c>
      <c r="G42" s="122">
        <v>59039.5194991108</v>
      </c>
      <c r="H42" s="122">
        <v>63213.28160138971</v>
      </c>
      <c r="I42" s="122">
        <v>67508.735962341554</v>
      </c>
      <c r="J42" s="122">
        <v>71928.02062401791</v>
      </c>
      <c r="K42" s="122">
        <v>76472.173576888206</v>
      </c>
      <c r="L42" s="122">
        <v>81129.340547345564</v>
      </c>
      <c r="M42" s="122">
        <v>85882.35828161164</v>
      </c>
      <c r="N42" s="122">
        <v>90711.802913557709</v>
      </c>
      <c r="O42" s="122">
        <v>95596.01208488144</v>
      </c>
      <c r="P42" s="122">
        <v>100513.0349671017</v>
      </c>
      <c r="Q42" s="122">
        <v>105447.147428599</v>
      </c>
      <c r="R42" s="122">
        <v>110384.6038303473</v>
      </c>
      <c r="S42" s="122">
        <v>115312.0705243562</v>
      </c>
      <c r="T42" s="122">
        <v>120216.75957101359</v>
      </c>
      <c r="U42" s="122">
        <v>125086.5531364936</v>
      </c>
      <c r="V42" s="122">
        <v>129910.1172602005</v>
      </c>
      <c r="W42" s="122">
        <v>134677.00396192231</v>
      </c>
      <c r="X42" s="122">
        <v>139377.74094378811</v>
      </c>
      <c r="Y42" s="122">
        <v>144003.9084260074</v>
      </c>
      <c r="Z42" s="122">
        <v>148548.2029312379</v>
      </c>
      <c r="AA42" s="122">
        <v>153004.48809454939</v>
      </c>
      <c r="AB42" s="122">
        <v>157367.83281956159</v>
      </c>
      <c r="AC42" s="122">
        <v>161634.53732260599</v>
      </c>
      <c r="AD42" s="122">
        <v>165802.1478029328</v>
      </c>
      <c r="AE42" s="122">
        <v>169869.46064620739</v>
      </c>
      <c r="AF42" s="122">
        <v>173836.5172100153</v>
      </c>
      <c r="AG42" s="122">
        <v>177704.59035377379</v>
      </c>
      <c r="AH42" s="122">
        <v>181476.16396222729</v>
      </c>
      <c r="AI42" s="122">
        <v>185154.9067730259</v>
      </c>
      <c r="AJ42" s="122">
        <v>188745.6418569102</v>
      </c>
      <c r="AK42" s="122">
        <v>192254.31311627419</v>
      </c>
      <c r="AL42" s="122">
        <v>195687.95016733321</v>
      </c>
      <c r="AM42" s="122">
        <v>199054.63295598101</v>
      </c>
      <c r="AN42" s="122">
        <v>202363.45743106431</v>
      </c>
    </row>
    <row r="43" spans="1:40" x14ac:dyDescent="0.2">
      <c r="A43" s="123" t="s">
        <v>105</v>
      </c>
      <c r="B43" s="122">
        <v>3224.8526645654251</v>
      </c>
      <c r="C43" s="122">
        <v>3417.8876966780549</v>
      </c>
      <c r="D43" s="122">
        <v>3614.733268225119</v>
      </c>
      <c r="E43" s="122">
        <v>3814.75238598944</v>
      </c>
      <c r="F43" s="122">
        <v>4017.252724213512</v>
      </c>
      <c r="G43" s="122">
        <v>4221.4896766476677</v>
      </c>
      <c r="H43" s="122">
        <v>4426.6701277249249</v>
      </c>
      <c r="I43" s="122">
        <v>4631.9569296472673</v>
      </c>
      <c r="J43" s="122">
        <v>4836.4740609200499</v>
      </c>
      <c r="K43" s="122">
        <v>5039.370044998941</v>
      </c>
      <c r="L43" s="122">
        <v>5240.0155289431177</v>
      </c>
      <c r="M43" s="122">
        <v>5437.8684832406116</v>
      </c>
      <c r="N43" s="122">
        <v>5632.4259750308902</v>
      </c>
      <c r="O43" s="122">
        <v>5823.2283101708726</v>
      </c>
      <c r="P43" s="122">
        <v>6009.8397706906371</v>
      </c>
      <c r="Q43" s="122">
        <v>6191.7776219961452</v>
      </c>
      <c r="R43" s="122">
        <v>6368.573600360829</v>
      </c>
      <c r="S43" s="122">
        <v>6539.7981358791139</v>
      </c>
      <c r="T43" s="122">
        <v>6705.0627538409117</v>
      </c>
      <c r="U43" s="122">
        <v>6864.0220052926979</v>
      </c>
      <c r="V43" s="122">
        <v>7016.3749261542216</v>
      </c>
      <c r="W43" s="122">
        <v>7161.8660312370403</v>
      </c>
      <c r="X43" s="122">
        <v>7300.2858559452015</v>
      </c>
      <c r="Y43" s="122">
        <v>7431.4710642462715</v>
      </c>
      <c r="Z43" s="122">
        <v>7555.3041466161831</v>
      </c>
      <c r="AA43" s="122">
        <v>7671.7127360391096</v>
      </c>
      <c r="AB43" s="122">
        <v>7780.6685737616463</v>
      </c>
      <c r="AC43" s="122">
        <v>7882.1861593493159</v>
      </c>
      <c r="AD43" s="122">
        <v>7976.3211216886748</v>
      </c>
      <c r="AE43" s="122">
        <v>8063.168348942223</v>
      </c>
      <c r="AF43" s="122">
        <v>8142.8599161389584</v>
      </c>
      <c r="AG43" s="122">
        <v>8215.5628491183106</v>
      </c>
      <c r="AH43" s="122">
        <v>8281.4767630010647</v>
      </c>
      <c r="AI43" s="122">
        <v>8340.8314123007058</v>
      </c>
      <c r="AJ43" s="122">
        <v>8393.8841882844536</v>
      </c>
      <c r="AK43" s="122">
        <v>8440.9175973142865</v>
      </c>
      <c r="AL43" s="122">
        <v>8482.2367517207749</v>
      </c>
      <c r="AM43" s="122">
        <v>8518.1669023527411</v>
      </c>
      <c r="AN43" s="122">
        <v>8549.0510393777149</v>
      </c>
    </row>
    <row r="44" spans="1:40" x14ac:dyDescent="0.2">
      <c r="A44" s="123" t="s">
        <v>106</v>
      </c>
      <c r="B44" s="122">
        <v>907.3493796355416</v>
      </c>
      <c r="C44" s="122">
        <v>935.35586454621773</v>
      </c>
      <c r="D44" s="122">
        <v>962.45089747879183</v>
      </c>
      <c r="E44" s="122">
        <v>988.34278432375777</v>
      </c>
      <c r="F44" s="122">
        <v>1012.725721279416</v>
      </c>
      <c r="G44" s="122">
        <v>1035.2833741170109</v>
      </c>
      <c r="H44" s="122">
        <v>1055.693185498764</v>
      </c>
      <c r="I44" s="122">
        <v>1073.6313899882091</v>
      </c>
      <c r="J44" s="122">
        <v>1088.7786878627519</v>
      </c>
      <c r="K44" s="122">
        <v>1100.9358473960151</v>
      </c>
      <c r="L44" s="122">
        <v>1110.365658334772</v>
      </c>
      <c r="M44" s="122">
        <v>1117.4764780729181</v>
      </c>
      <c r="N44" s="122">
        <v>1122.705561307406</v>
      </c>
      <c r="O44" s="122">
        <v>1126.5104529483481</v>
      </c>
      <c r="P44" s="122">
        <v>1129.279208093584</v>
      </c>
      <c r="Q44" s="122">
        <v>1131.075527180582</v>
      </c>
      <c r="R44" s="122">
        <v>1131.8831424434891</v>
      </c>
      <c r="S44" s="122">
        <v>1131.6883248828281</v>
      </c>
      <c r="T44" s="122">
        <v>1130.4799956386539</v>
      </c>
      <c r="U44" s="122">
        <v>1128.249826931657</v>
      </c>
      <c r="V44" s="122">
        <v>1124.9923316203201</v>
      </c>
      <c r="W44" s="122">
        <v>1120.7049404735569</v>
      </c>
      <c r="X44" s="122">
        <v>1115.3880663196251</v>
      </c>
      <c r="Y44" s="122">
        <v>1109.0451543029469</v>
      </c>
      <c r="Z44" s="122">
        <v>1101.68271756074</v>
      </c>
      <c r="AA44" s="122">
        <v>1093.3103577203369</v>
      </c>
      <c r="AB44" s="122">
        <v>1083.940769715636</v>
      </c>
      <c r="AC44" s="122">
        <v>1073.5897305260589</v>
      </c>
      <c r="AD44" s="122">
        <v>1062.2760715534171</v>
      </c>
      <c r="AE44" s="122">
        <v>1050.021634470022</v>
      </c>
      <c r="AF44" s="122">
        <v>1036.8512104942381</v>
      </c>
      <c r="AG44" s="122">
        <v>1022.792463176538</v>
      </c>
      <c r="AH44" s="122">
        <v>1007.87583490859</v>
      </c>
      <c r="AI44" s="122">
        <v>992.13443749889893</v>
      </c>
      <c r="AJ44" s="122">
        <v>975.60392728963495</v>
      </c>
      <c r="AK44" s="122">
        <v>958.3223654192002</v>
      </c>
      <c r="AL44" s="122">
        <v>940.33006396237113</v>
      </c>
      <c r="AM44" s="122">
        <v>921.66941880320235</v>
      </c>
      <c r="AN44" s="122">
        <v>902.38473021378638</v>
      </c>
    </row>
    <row r="45" spans="1:40" x14ac:dyDescent="0.2">
      <c r="A45" s="123" t="s">
        <v>47</v>
      </c>
      <c r="B45" s="122">
        <v>1483.3175160522719</v>
      </c>
      <c r="C45" s="122">
        <v>1576.127355619547</v>
      </c>
      <c r="D45" s="122">
        <v>1688.9697446702739</v>
      </c>
      <c r="E45" s="122">
        <v>1821.6352387433569</v>
      </c>
      <c r="F45" s="122">
        <v>1973.5382963716841</v>
      </c>
      <c r="G45" s="122">
        <v>2143.4328992452251</v>
      </c>
      <c r="H45" s="122">
        <v>2329.1101371277659</v>
      </c>
      <c r="I45" s="122">
        <v>2527.0949647568541</v>
      </c>
      <c r="J45" s="122">
        <v>2732.3737677857639</v>
      </c>
      <c r="K45" s="122">
        <v>2939.493600656569</v>
      </c>
      <c r="L45" s="122">
        <v>3147.1009593706522</v>
      </c>
      <c r="M45" s="122">
        <v>3355.349069890719</v>
      </c>
      <c r="N45" s="122">
        <v>3564.8129727326582</v>
      </c>
      <c r="O45" s="122">
        <v>3776.5125448492172</v>
      </c>
      <c r="P45" s="122">
        <v>3991.5046027737822</v>
      </c>
      <c r="Q45" s="122">
        <v>4209.4293960522391</v>
      </c>
      <c r="R45" s="122">
        <v>4429.4860359846589</v>
      </c>
      <c r="S45" s="122">
        <v>4650.820478733157</v>
      </c>
      <c r="T45" s="122">
        <v>4872.5305068034268</v>
      </c>
      <c r="U45" s="122">
        <v>5093.6714521943322</v>
      </c>
      <c r="V45" s="122">
        <v>5313.2626170578596</v>
      </c>
      <c r="W45" s="122">
        <v>5530.2943354190375</v>
      </c>
      <c r="X45" s="122">
        <v>5743.7356077510176</v>
      </c>
      <c r="Y45" s="122">
        <v>5952.5422292302501</v>
      </c>
      <c r="Z45" s="122">
        <v>6155.6653225488908</v>
      </c>
      <c r="AA45" s="122">
        <v>6352.0601774577208</v>
      </c>
      <c r="AB45" s="122">
        <v>6540.6952919546629</v>
      </c>
      <c r="AC45" s="122">
        <v>6720.5615043962453</v>
      </c>
      <c r="AD45" s="122">
        <v>6890.6811019356428</v>
      </c>
      <c r="AE45" s="122">
        <v>7050.1167886927551</v>
      </c>
      <c r="AF45" s="122">
        <v>7197.9803970066687</v>
      </c>
      <c r="AG45" s="122">
        <v>7333.4412270443027</v>
      </c>
      <c r="AH45" s="122">
        <v>7455.7339039263898</v>
      </c>
      <c r="AI45" s="122">
        <v>7564.1656473356679</v>
      </c>
      <c r="AJ45" s="122">
        <v>7658.1228561941734</v>
      </c>
      <c r="AK45" s="122">
        <v>7737.0769203104164</v>
      </c>
      <c r="AL45" s="122">
        <v>7800.5891817312404</v>
      </c>
      <c r="AM45" s="122">
        <v>7848.3149806897191</v>
      </c>
      <c r="AN45" s="122">
        <v>7880.0067342907441</v>
      </c>
    </row>
    <row r="46" spans="1:40" x14ac:dyDescent="0.2">
      <c r="A46" s="123" t="s">
        <v>107</v>
      </c>
      <c r="B46" s="122">
        <v>474.62286420659473</v>
      </c>
      <c r="C46" s="122">
        <v>496.81274067292429</v>
      </c>
      <c r="D46" s="122">
        <v>518.36232879670422</v>
      </c>
      <c r="E46" s="122">
        <v>539.09836322790534</v>
      </c>
      <c r="F46" s="122">
        <v>558.8480015006113</v>
      </c>
      <c r="G46" s="122">
        <v>577.44115545490502</v>
      </c>
      <c r="H46" s="122">
        <v>594.71287753333024</v>
      </c>
      <c r="I46" s="122">
        <v>610.50575640369129</v>
      </c>
      <c r="J46" s="122">
        <v>624.67227423359566</v>
      </c>
      <c r="K46" s="122">
        <v>637.12477639794827</v>
      </c>
      <c r="L46" s="122">
        <v>647.98710885691446</v>
      </c>
      <c r="M46" s="122">
        <v>657.4612679853293</v>
      </c>
      <c r="N46" s="122">
        <v>665.77616308505321</v>
      </c>
      <c r="O46" s="122">
        <v>673.18262770616661</v>
      </c>
      <c r="P46" s="122">
        <v>679.89824544072724</v>
      </c>
      <c r="Q46" s="122">
        <v>685.94747688115763</v>
      </c>
      <c r="R46" s="122">
        <v>691.30664860969</v>
      </c>
      <c r="S46" s="122">
        <v>695.95400552836009</v>
      </c>
      <c r="T46" s="122">
        <v>699.86984907456372</v>
      </c>
      <c r="U46" s="122">
        <v>703.03666671207066</v>
      </c>
      <c r="V46" s="122">
        <v>705.43925157383183</v>
      </c>
      <c r="W46" s="122">
        <v>707.06481118318982</v>
      </c>
      <c r="X46" s="122">
        <v>707.90306424204391</v>
      </c>
      <c r="Y46" s="122">
        <v>707.94632454783539</v>
      </c>
      <c r="Z46" s="122">
        <v>707.1895711855027</v>
      </c>
      <c r="AA46" s="122">
        <v>705.63050423519303</v>
      </c>
      <c r="AB46" s="122">
        <v>703.26958534076607</v>
      </c>
      <c r="AC46" s="122">
        <v>700.11006259713383</v>
      </c>
      <c r="AD46" s="122">
        <v>696.15797933525232</v>
      </c>
      <c r="AE46" s="122">
        <v>691.42216651094645</v>
      </c>
      <c r="AF46" s="122">
        <v>685.91421853653401</v>
      </c>
      <c r="AG46" s="122">
        <v>679.64845253099463</v>
      </c>
      <c r="AH46" s="122">
        <v>672.64185110392702</v>
      </c>
      <c r="AI46" s="122">
        <v>664.91398892905715</v>
      </c>
      <c r="AJ46" s="122">
        <v>656.48694350334279</v>
      </c>
      <c r="AK46" s="122">
        <v>647.38519062594241</v>
      </c>
      <c r="AL46" s="122">
        <v>637.63548526610737</v>
      </c>
      <c r="AM46" s="122">
        <v>627.26672861880763</v>
      </c>
      <c r="AN46" s="122">
        <v>616.30982227002789</v>
      </c>
    </row>
    <row r="47" spans="1:40" x14ac:dyDescent="0.2">
      <c r="A47" s="123" t="s">
        <v>108</v>
      </c>
      <c r="B47" s="122">
        <v>17470.728074872739</v>
      </c>
      <c r="C47" s="122">
        <v>18332.03846131052</v>
      </c>
      <c r="D47" s="122">
        <v>19322.75931107446</v>
      </c>
      <c r="E47" s="122">
        <v>20429.820488769768</v>
      </c>
      <c r="F47" s="122">
        <v>21635.920247354661</v>
      </c>
      <c r="G47" s="122">
        <v>22918.173405395199</v>
      </c>
      <c r="H47" s="122">
        <v>24246.934048512328</v>
      </c>
      <c r="I47" s="122">
        <v>25584.931301374148</v>
      </c>
      <c r="J47" s="122">
        <v>26886.895923450811</v>
      </c>
      <c r="K47" s="122">
        <v>28109.051693517918</v>
      </c>
      <c r="L47" s="122">
        <v>29240.71037391053</v>
      </c>
      <c r="M47" s="122">
        <v>30282.704445596031</v>
      </c>
      <c r="N47" s="122">
        <v>31238.863642459219</v>
      </c>
      <c r="O47" s="122">
        <v>32115.777807180049</v>
      </c>
      <c r="P47" s="122">
        <v>32920.60856796366</v>
      </c>
      <c r="Q47" s="122">
        <v>33654.715090107587</v>
      </c>
      <c r="R47" s="122">
        <v>34318.620562900323</v>
      </c>
      <c r="S47" s="122">
        <v>34913.770882027522</v>
      </c>
      <c r="T47" s="122">
        <v>35442.464272242301</v>
      </c>
      <c r="U47" s="122">
        <v>35907.7728699258</v>
      </c>
      <c r="V47" s="122">
        <v>36313.459370000834</v>
      </c>
      <c r="W47" s="122">
        <v>36663.891666311218</v>
      </c>
      <c r="X47" s="122">
        <v>36963.95817011399</v>
      </c>
      <c r="Y47" s="122">
        <v>37218.986199112747</v>
      </c>
      <c r="Z47" s="122">
        <v>37434.665509927872</v>
      </c>
      <c r="AA47" s="122">
        <v>37616.978718759878</v>
      </c>
      <c r="AB47" s="122">
        <v>37772.140034729891</v>
      </c>
      <c r="AC47" s="122">
        <v>37906.543431891143</v>
      </c>
      <c r="AD47" s="122">
        <v>38026.721120499642</v>
      </c>
      <c r="AE47" s="122">
        <v>38139.312954605433</v>
      </c>
      <c r="AF47" s="122">
        <v>38251.047237914398</v>
      </c>
      <c r="AG47" s="122">
        <v>38368.7332678479</v>
      </c>
      <c r="AH47" s="122">
        <v>38499.265892032403</v>
      </c>
      <c r="AI47" s="122">
        <v>38649.642344440421</v>
      </c>
      <c r="AJ47" s="122">
        <v>38826.991682048792</v>
      </c>
      <c r="AK47" s="122">
        <v>39038.617259423932</v>
      </c>
      <c r="AL47" s="122">
        <v>39292.052861141397</v>
      </c>
      <c r="AM47" s="122">
        <v>39595.133364944697</v>
      </c>
      <c r="AN47" s="122">
        <v>39956.081138807873</v>
      </c>
    </row>
    <row r="48" spans="1:40" x14ac:dyDescent="0.2">
      <c r="A48" s="123" t="s">
        <v>109</v>
      </c>
      <c r="B48" s="122">
        <v>2464.9908072284761</v>
      </c>
      <c r="C48" s="122">
        <v>2678.9661978369759</v>
      </c>
      <c r="D48" s="122">
        <v>2927.7921283456781</v>
      </c>
      <c r="E48" s="122">
        <v>3211.7319678098352</v>
      </c>
      <c r="F48" s="122">
        <v>3529.9566868390898</v>
      </c>
      <c r="G48" s="122">
        <v>3880.033370370581</v>
      </c>
      <c r="H48" s="122">
        <v>4257.3810508765137</v>
      </c>
      <c r="I48" s="122">
        <v>4654.7411878575213</v>
      </c>
      <c r="J48" s="122">
        <v>5061.7359172559572</v>
      </c>
      <c r="K48" s="122">
        <v>5466.8142214834352</v>
      </c>
      <c r="L48" s="122">
        <v>5865.1608048196294</v>
      </c>
      <c r="M48" s="122">
        <v>6254.4795731542436</v>
      </c>
      <c r="N48" s="122">
        <v>6633.1978439626437</v>
      </c>
      <c r="O48" s="122">
        <v>7000.5169556312894</v>
      </c>
      <c r="P48" s="122">
        <v>7356.0671228654592</v>
      </c>
      <c r="Q48" s="122">
        <v>7698.6627148987291</v>
      </c>
      <c r="R48" s="122">
        <v>8027.1747935746198</v>
      </c>
      <c r="S48" s="122">
        <v>8340.8774900238495</v>
      </c>
      <c r="T48" s="122">
        <v>8639.4508701873674</v>
      </c>
      <c r="U48" s="122">
        <v>8922.9752724066384</v>
      </c>
      <c r="V48" s="122">
        <v>9191.9186406314766</v>
      </c>
      <c r="W48" s="122">
        <v>9447.1185379462531</v>
      </c>
      <c r="X48" s="122">
        <v>9689.7606010693289</v>
      </c>
      <c r="Y48" s="122">
        <v>9921.3552000419404</v>
      </c>
      <c r="Z48" s="122">
        <v>10143.714014280949</v>
      </c>
      <c r="AA48" s="122">
        <v>10358.928143915309</v>
      </c>
      <c r="AB48" s="122">
        <v>10569.3492617056</v>
      </c>
      <c r="AC48" s="122">
        <v>10777.57519327618</v>
      </c>
      <c r="AD48" s="122">
        <v>10986.4412083307</v>
      </c>
      <c r="AE48" s="122">
        <v>11199.018228227629</v>
      </c>
      <c r="AF48" s="122">
        <v>11418.619119920641</v>
      </c>
      <c r="AG48" s="122">
        <v>11648.814266254911</v>
      </c>
      <c r="AH48" s="122">
        <v>11893.457691334679</v>
      </c>
      <c r="AI48" s="122">
        <v>12156.725191403009</v>
      </c>
      <c r="AJ48" s="122">
        <v>12443.166192754181</v>
      </c>
      <c r="AK48" s="122">
        <v>12757.77144863359</v>
      </c>
      <c r="AL48" s="122">
        <v>13106.059222430689</v>
      </c>
      <c r="AM48" s="122">
        <v>13494.18331836138</v>
      </c>
      <c r="AN48" s="122">
        <v>13929.06725810133</v>
      </c>
    </row>
    <row r="49" spans="1:40" x14ac:dyDescent="0.2">
      <c r="A49" s="123" t="s">
        <v>110</v>
      </c>
      <c r="B49" s="122">
        <v>1298.5975960878829</v>
      </c>
      <c r="C49" s="122">
        <v>1360.124109175327</v>
      </c>
      <c r="D49" s="122">
        <v>1430.923910045386</v>
      </c>
      <c r="E49" s="122">
        <v>1509.997426286659</v>
      </c>
      <c r="F49" s="122">
        <v>1596.045049915022</v>
      </c>
      <c r="G49" s="122">
        <v>1687.372486421752</v>
      </c>
      <c r="H49" s="122">
        <v>1781.8094907822649</v>
      </c>
      <c r="I49" s="122">
        <v>1876.651655420105</v>
      </c>
      <c r="J49" s="122">
        <v>1968.6375554466399</v>
      </c>
      <c r="K49" s="122">
        <v>2054.637121510249</v>
      </c>
      <c r="L49" s="122">
        <v>2133.9249886098678</v>
      </c>
      <c r="M49" s="122">
        <v>2206.607896220261</v>
      </c>
      <c r="N49" s="122">
        <v>2273.0057408964631</v>
      </c>
      <c r="O49" s="122">
        <v>2333.6331685861392</v>
      </c>
      <c r="P49" s="122">
        <v>2389.0390535132751</v>
      </c>
      <c r="Q49" s="122">
        <v>2439.3419937500739</v>
      </c>
      <c r="R49" s="122">
        <v>2484.5953247183479</v>
      </c>
      <c r="S49" s="122">
        <v>2524.915850602863</v>
      </c>
      <c r="T49" s="122">
        <v>2560.4787320236642</v>
      </c>
      <c r="U49" s="122">
        <v>2591.5118645027401</v>
      </c>
      <c r="V49" s="122">
        <v>2618.2899579897812</v>
      </c>
      <c r="W49" s="122">
        <v>2641.1285145467191</v>
      </c>
      <c r="X49" s="122">
        <v>2660.37788374609</v>
      </c>
      <c r="Y49" s="122">
        <v>2676.4175548293711</v>
      </c>
      <c r="Z49" s="122">
        <v>2689.6508225417751</v>
      </c>
      <c r="AA49" s="122">
        <v>2700.4999410298969</v>
      </c>
      <c r="AB49" s="122">
        <v>2709.4018583240431</v>
      </c>
      <c r="AC49" s="122">
        <v>2716.8046036226478</v>
      </c>
      <c r="AD49" s="122">
        <v>2723.1643815711282</v>
      </c>
      <c r="AE49" s="122">
        <v>2728.9434125346402</v>
      </c>
      <c r="AF49" s="122">
        <v>2734.6085459073988</v>
      </c>
      <c r="AG49" s="122">
        <v>2740.6306650603369</v>
      </c>
      <c r="AH49" s="122">
        <v>2747.484897788037</v>
      </c>
      <c r="AI49" s="122">
        <v>2755.6516451996708</v>
      </c>
      <c r="AJ49" s="122">
        <v>2765.6184450021051</v>
      </c>
      <c r="AK49" s="122">
        <v>2777.882692154848</v>
      </c>
      <c r="AL49" s="122">
        <v>2792.9552510893059</v>
      </c>
      <c r="AM49" s="122">
        <v>2811.3650093220822</v>
      </c>
      <c r="AN49" s="122">
        <v>2833.6644427256601</v>
      </c>
    </row>
    <row r="50" spans="1:40" x14ac:dyDescent="0.2">
      <c r="A50" s="123" t="s">
        <v>36</v>
      </c>
      <c r="B50" s="122">
        <v>42091.75905114122</v>
      </c>
      <c r="C50" s="122">
        <v>47837.189361425058</v>
      </c>
      <c r="D50" s="122">
        <v>54305.925848328923</v>
      </c>
      <c r="E50" s="122">
        <v>61546.752498627429</v>
      </c>
      <c r="F50" s="122">
        <v>69598.964897670332</v>
      </c>
      <c r="G50" s="122">
        <v>78488.043280342114</v>
      </c>
      <c r="H50" s="122">
        <v>88220.735083718129</v>
      </c>
      <c r="I50" s="122">
        <v>98779.689273239681</v>
      </c>
      <c r="J50" s="122">
        <v>110117.8739827596</v>
      </c>
      <c r="K50" s="122">
        <v>122174.9278991696</v>
      </c>
      <c r="L50" s="122">
        <v>134955.83823984189</v>
      </c>
      <c r="M50" s="122">
        <v>148496.20100987499</v>
      </c>
      <c r="N50" s="122">
        <v>162847.7858957031</v>
      </c>
      <c r="O50" s="122">
        <v>178081.98600060659</v>
      </c>
      <c r="P50" s="122">
        <v>194276.92361547571</v>
      </c>
      <c r="Q50" s="122">
        <v>211459.81995175849</v>
      </c>
      <c r="R50" s="122">
        <v>229638.62547666309</v>
      </c>
      <c r="S50" s="122">
        <v>248815.53192031951</v>
      </c>
      <c r="T50" s="122">
        <v>268986.52878978982</v>
      </c>
      <c r="U50" s="122">
        <v>290140.99530950171</v>
      </c>
      <c r="V50" s="122">
        <v>312261.33534008497</v>
      </c>
      <c r="W50" s="122">
        <v>335322.66264692112</v>
      </c>
      <c r="X50" s="122">
        <v>359292.54357258818</v>
      </c>
      <c r="Y50" s="122">
        <v>384130.80371258012</v>
      </c>
      <c r="Z50" s="122">
        <v>409789.40460297361</v>
      </c>
      <c r="AA50" s="122">
        <v>436212.39570682961</v>
      </c>
      <c r="AB50" s="122">
        <v>463335.94614076067</v>
      </c>
      <c r="AC50" s="122">
        <v>491088.45962492202</v>
      </c>
      <c r="AD50" s="122">
        <v>519390.7750821872</v>
      </c>
      <c r="AE50" s="122">
        <v>548156.45417138922</v>
      </c>
      <c r="AF50" s="122">
        <v>577292.15583377052</v>
      </c>
      <c r="AG50" s="122">
        <v>606698.09668126039</v>
      </c>
      <c r="AH50" s="122">
        <v>636268.59478193359</v>
      </c>
      <c r="AI50" s="122">
        <v>665892.69312483724</v>
      </c>
      <c r="AJ50" s="122">
        <v>695454.8577967569</v>
      </c>
      <c r="AK50" s="122">
        <v>724835.74470114475</v>
      </c>
      <c r="AL50" s="122">
        <v>753913.02751741407</v>
      </c>
      <c r="AM50" s="122">
        <v>782562.27855914063</v>
      </c>
      <c r="AN50" s="122">
        <v>810657.89326328423</v>
      </c>
    </row>
    <row r="51" spans="1:40" x14ac:dyDescent="0.2">
      <c r="A51" s="123" t="s">
        <v>37</v>
      </c>
      <c r="B51" s="122">
        <v>35734.097446895939</v>
      </c>
      <c r="C51" s="122">
        <v>39505.921436380857</v>
      </c>
      <c r="D51" s="122">
        <v>43634.624116547813</v>
      </c>
      <c r="E51" s="122">
        <v>48126.05906065755</v>
      </c>
      <c r="F51" s="122">
        <v>52978.50873253544</v>
      </c>
      <c r="G51" s="122">
        <v>58180.825674429041</v>
      </c>
      <c r="H51" s="122">
        <v>63710.513337421187</v>
      </c>
      <c r="I51" s="122">
        <v>69531.845056052378</v>
      </c>
      <c r="J51" s="122">
        <v>75594.148661057232</v>
      </c>
      <c r="K51" s="122">
        <v>81844.14364303941</v>
      </c>
      <c r="L51" s="122">
        <v>88274.802382861089</v>
      </c>
      <c r="M51" s="122">
        <v>94899.342357705144</v>
      </c>
      <c r="N51" s="122">
        <v>101740.65812356419</v>
      </c>
      <c r="O51" s="122">
        <v>108832.43861115719</v>
      </c>
      <c r="P51" s="122">
        <v>116209.57275979369</v>
      </c>
      <c r="Q51" s="122">
        <v>123871.40549574931</v>
      </c>
      <c r="R51" s="122">
        <v>131804.85094131739</v>
      </c>
      <c r="S51" s="122">
        <v>139993.6842002006</v>
      </c>
      <c r="T51" s="122">
        <v>148418.40590535451</v>
      </c>
      <c r="U51" s="122">
        <v>157056.13474791561</v>
      </c>
      <c r="V51" s="122">
        <v>165880.53263566649</v>
      </c>
      <c r="W51" s="122">
        <v>174861.76704707241</v>
      </c>
      <c r="X51" s="122">
        <v>183966.5149566512</v>
      </c>
      <c r="Y51" s="122">
        <v>193158.0124007742</v>
      </c>
      <c r="Z51" s="122">
        <v>202396.1533235347</v>
      </c>
      <c r="AA51" s="122">
        <v>211637.6407862397</v>
      </c>
      <c r="AB51" s="122">
        <v>220836.19294071349</v>
      </c>
      <c r="AC51" s="122">
        <v>229942.80535864399</v>
      </c>
      <c r="AD51" s="122">
        <v>238906.07038339091</v>
      </c>
      <c r="AE51" s="122">
        <v>247672.55313762219</v>
      </c>
      <c r="AF51" s="122">
        <v>256187.22269493731</v>
      </c>
      <c r="AG51" s="122">
        <v>264393.93572546123</v>
      </c>
      <c r="AH51" s="122">
        <v>272235.96867771749</v>
      </c>
      <c r="AI51" s="122">
        <v>279656.59328914591</v>
      </c>
      <c r="AJ51" s="122">
        <v>286599.68895615218</v>
      </c>
      <c r="AK51" s="122">
        <v>293010.38427493261</v>
      </c>
      <c r="AL51" s="122">
        <v>298835.71892197762</v>
      </c>
      <c r="AM51" s="122">
        <v>304025.31601456762</v>
      </c>
      <c r="AN51" s="122">
        <v>308532.05421298102</v>
      </c>
    </row>
    <row r="52" spans="1:40" x14ac:dyDescent="0.2">
      <c r="A52" s="123" t="s">
        <v>38</v>
      </c>
      <c r="B52" s="122">
        <v>26597.51092538951</v>
      </c>
      <c r="C52" s="122">
        <v>29127.494066084611</v>
      </c>
      <c r="D52" s="122">
        <v>31869.981573227818</v>
      </c>
      <c r="E52" s="122">
        <v>34823.851907116121</v>
      </c>
      <c r="F52" s="122">
        <v>37982.876260722012</v>
      </c>
      <c r="G52" s="122">
        <v>41334.689363672092</v>
      </c>
      <c r="H52" s="122">
        <v>44859.769458156181</v>
      </c>
      <c r="I52" s="122">
        <v>48530.489038571817</v>
      </c>
      <c r="J52" s="122">
        <v>52310.312055659087</v>
      </c>
      <c r="K52" s="122">
        <v>56162.434832796527</v>
      </c>
      <c r="L52" s="122">
        <v>60082.273382021573</v>
      </c>
      <c r="M52" s="122">
        <v>64078.989897198211</v>
      </c>
      <c r="N52" s="122">
        <v>68168.052411609911</v>
      </c>
      <c r="O52" s="122">
        <v>72371.754678925718</v>
      </c>
      <c r="P52" s="122">
        <v>76712.473806631184</v>
      </c>
      <c r="Q52" s="122">
        <v>81187.977351674082</v>
      </c>
      <c r="R52" s="122">
        <v>85787.71631733836</v>
      </c>
      <c r="S52" s="122">
        <v>90499.242948062587</v>
      </c>
      <c r="T52" s="122">
        <v>95308.150628751639</v>
      </c>
      <c r="U52" s="122">
        <v>100198.03366952761</v>
      </c>
      <c r="V52" s="122">
        <v>105150.46996099529</v>
      </c>
      <c r="W52" s="122">
        <v>110145.0293983517</v>
      </c>
      <c r="X52" s="122">
        <v>115159.3108066313</v>
      </c>
      <c r="Y52" s="122">
        <v>120169.0098475066</v>
      </c>
      <c r="Z52" s="122">
        <v>125148.0200455743</v>
      </c>
      <c r="AA52" s="122">
        <v>130068.5686362085</v>
      </c>
      <c r="AB52" s="122">
        <v>134901.38840768431</v>
      </c>
      <c r="AC52" s="122">
        <v>139615.92609005299</v>
      </c>
      <c r="AD52" s="122">
        <v>144180.58713809139</v>
      </c>
      <c r="AE52" s="122">
        <v>148563.0159749297</v>
      </c>
      <c r="AF52" s="122">
        <v>152730.40991965681</v>
      </c>
      <c r="AG52" s="122">
        <v>156649.86413285701</v>
      </c>
      <c r="AH52" s="122">
        <v>160288.7439987814</v>
      </c>
      <c r="AI52" s="122">
        <v>163615.0804450108</v>
      </c>
      <c r="AJ52" s="122">
        <v>166597.98280609539</v>
      </c>
      <c r="AK52" s="122">
        <v>169208.06299511649</v>
      </c>
      <c r="AL52" s="122">
        <v>171417.86398604361</v>
      </c>
      <c r="AM52" s="122">
        <v>173202.28496037601</v>
      </c>
      <c r="AN52" s="122">
        <v>174538.99496343569</v>
      </c>
    </row>
    <row r="53" spans="1:40" x14ac:dyDescent="0.2">
      <c r="A53" s="123" t="s">
        <v>39</v>
      </c>
      <c r="B53" s="122">
        <v>6452.974249433144</v>
      </c>
      <c r="C53" s="122">
        <v>6880.0377414100012</v>
      </c>
      <c r="D53" s="122">
        <v>7330.2007320284638</v>
      </c>
      <c r="E53" s="122">
        <v>7801.2047716656189</v>
      </c>
      <c r="F53" s="122">
        <v>8290.0062039073255</v>
      </c>
      <c r="G53" s="122">
        <v>8792.6949415707841</v>
      </c>
      <c r="H53" s="122">
        <v>9304.4291455946277</v>
      </c>
      <c r="I53" s="122">
        <v>9819.3929973292124</v>
      </c>
      <c r="J53" s="122">
        <v>10330.78533140826</v>
      </c>
      <c r="K53" s="122">
        <v>10832.503988809811</v>
      </c>
      <c r="L53" s="122">
        <v>11324.78533862394</v>
      </c>
      <c r="M53" s="122">
        <v>11810.32666811494</v>
      </c>
      <c r="N53" s="122">
        <v>12292.772992297319</v>
      </c>
      <c r="O53" s="122">
        <v>12776.71016132516</v>
      </c>
      <c r="P53" s="122">
        <v>13266.31762308884</v>
      </c>
      <c r="Q53" s="122">
        <v>13760.92892894834</v>
      </c>
      <c r="R53" s="122">
        <v>14258.39687581201</v>
      </c>
      <c r="S53" s="122">
        <v>14756.345176846389</v>
      </c>
      <c r="T53" s="122">
        <v>15252.170278952601</v>
      </c>
      <c r="U53" s="122">
        <v>15743.046968458169</v>
      </c>
      <c r="V53" s="122">
        <v>16225.93817218036</v>
      </c>
      <c r="W53" s="122">
        <v>16697.609321395441</v>
      </c>
      <c r="X53" s="122">
        <v>17154.647589789489</v>
      </c>
      <c r="Y53" s="122">
        <v>17593.48624218714</v>
      </c>
      <c r="Z53" s="122">
        <v>18010.434238268161</v>
      </c>
      <c r="AA53" s="122">
        <v>18401.711124722831</v>
      </c>
      <c r="AB53" s="122">
        <v>18763.487121227219</v>
      </c>
      <c r="AC53" s="122">
        <v>19091.928161929831</v>
      </c>
      <c r="AD53" s="122">
        <v>19383.245497412561</v>
      </c>
      <c r="AE53" s="122">
        <v>19633.749295852122</v>
      </c>
      <c r="AF53" s="122">
        <v>19839.905510829831</v>
      </c>
      <c r="AG53" s="122">
        <v>19998.39511228964</v>
      </c>
      <c r="AH53" s="122">
        <v>20106.17461269351</v>
      </c>
      <c r="AI53" s="122">
        <v>20160.536669292469</v>
      </c>
      <c r="AJ53" s="122">
        <v>20159.16941286335</v>
      </c>
      <c r="AK53" s="122">
        <v>20100.213050662041</v>
      </c>
      <c r="AL53" s="122">
        <v>19982.312223953839</v>
      </c>
      <c r="AM53" s="122">
        <v>19804.662574996401</v>
      </c>
      <c r="AN53" s="122">
        <v>19567.05000054725</v>
      </c>
    </row>
    <row r="54" spans="1:40" x14ac:dyDescent="0.2">
      <c r="A54" s="123" t="s">
        <v>40</v>
      </c>
      <c r="B54" s="122">
        <v>17998.461308152699</v>
      </c>
      <c r="C54" s="122">
        <v>19395.294457229142</v>
      </c>
      <c r="D54" s="122">
        <v>20884.320923457879</v>
      </c>
      <c r="E54" s="122">
        <v>22460.694079088251</v>
      </c>
      <c r="F54" s="122">
        <v>24116.854980905158</v>
      </c>
      <c r="G54" s="122">
        <v>25842.153820927029</v>
      </c>
      <c r="H54" s="122">
        <v>27622.509392302291</v>
      </c>
      <c r="I54" s="122">
        <v>29440.134601491151</v>
      </c>
      <c r="J54" s="122">
        <v>31273.359883467601</v>
      </c>
      <c r="K54" s="122">
        <v>33101.798812969697</v>
      </c>
      <c r="L54" s="122">
        <v>34924.371345040898</v>
      </c>
      <c r="M54" s="122">
        <v>36747.818226061812</v>
      </c>
      <c r="N54" s="122">
        <v>38582.155783898037</v>
      </c>
      <c r="O54" s="122">
        <v>40440.768402746187</v>
      </c>
      <c r="P54" s="122">
        <v>42336.326246297482</v>
      </c>
      <c r="Q54" s="122">
        <v>44266.805649104463</v>
      </c>
      <c r="R54" s="122">
        <v>46225.508799224102</v>
      </c>
      <c r="S54" s="122">
        <v>48204.876578786017</v>
      </c>
      <c r="T54" s="122">
        <v>50196.480357467321</v>
      </c>
      <c r="U54" s="122">
        <v>52191.025644706031</v>
      </c>
      <c r="V54" s="122">
        <v>54178.369073635658</v>
      </c>
      <c r="W54" s="122">
        <v>56147.550097256193</v>
      </c>
      <c r="X54" s="122">
        <v>58086.8386343573</v>
      </c>
      <c r="Y54" s="122">
        <v>59983.799705492362</v>
      </c>
      <c r="Z54" s="122">
        <v>61825.375845571507</v>
      </c>
      <c r="AA54" s="122">
        <v>63597.987768654137</v>
      </c>
      <c r="AB54" s="122">
        <v>65287.653393500746</v>
      </c>
      <c r="AC54" s="122">
        <v>66880.124918854723</v>
      </c>
      <c r="AD54" s="122">
        <v>68361.043171129684</v>
      </c>
      <c r="AE54" s="122">
        <v>69716.107942700066</v>
      </c>
      <c r="AF54" s="122">
        <v>70931.2625074916</v>
      </c>
      <c r="AG54" s="122">
        <v>71992.889955866645</v>
      </c>
      <c r="AH54" s="122">
        <v>72888.018449137904</v>
      </c>
      <c r="AI54" s="122">
        <v>73604.531973835023</v>
      </c>
      <c r="AJ54" s="122">
        <v>74131.382697129942</v>
      </c>
      <c r="AK54" s="122">
        <v>74458.800608715392</v>
      </c>
      <c r="AL54" s="122">
        <v>74578.495802280711</v>
      </c>
      <c r="AM54" s="122">
        <v>74483.848522338885</v>
      </c>
      <c r="AN54" s="122">
        <v>74170.081998634705</v>
      </c>
    </row>
    <row r="55" spans="1:40" x14ac:dyDescent="0.2">
      <c r="A55" s="123" t="s">
        <v>41</v>
      </c>
      <c r="B55" s="122">
        <v>44125.462351119488</v>
      </c>
      <c r="C55" s="122">
        <v>47682.866142838699</v>
      </c>
      <c r="D55" s="122">
        <v>51486.138374937713</v>
      </c>
      <c r="E55" s="122">
        <v>55524.699930120463</v>
      </c>
      <c r="F55" s="122">
        <v>59780.990076814771</v>
      </c>
      <c r="G55" s="122">
        <v>64229.422709934843</v>
      </c>
      <c r="H55" s="122">
        <v>68835.427679178931</v>
      </c>
      <c r="I55" s="122">
        <v>73554.651485627517</v>
      </c>
      <c r="J55" s="122">
        <v>78332.402883910865</v>
      </c>
      <c r="K55" s="122">
        <v>83116.6142944124</v>
      </c>
      <c r="L55" s="122">
        <v>87903.602333815128</v>
      </c>
      <c r="M55" s="122">
        <v>92709.478888646467</v>
      </c>
      <c r="N55" s="122">
        <v>97558.799912846647</v>
      </c>
      <c r="O55" s="122">
        <v>102484.8820568629</v>
      </c>
      <c r="P55" s="122">
        <v>107519.5875261097</v>
      </c>
      <c r="Q55" s="122">
        <v>112657.9612087339</v>
      </c>
      <c r="R55" s="122">
        <v>117883.2122459426</v>
      </c>
      <c r="S55" s="122">
        <v>123176.2773167759</v>
      </c>
      <c r="T55" s="122">
        <v>128515.7895595773</v>
      </c>
      <c r="U55" s="122">
        <v>133878.07733858589</v>
      </c>
      <c r="V55" s="122">
        <v>139237.19669380691</v>
      </c>
      <c r="W55" s="122">
        <v>144565.0010992387</v>
      </c>
      <c r="X55" s="122">
        <v>149831.25181569171</v>
      </c>
      <c r="Y55" s="122">
        <v>155003.77165042699</v>
      </c>
      <c r="Z55" s="122">
        <v>160048.64432037191</v>
      </c>
      <c r="AA55" s="122">
        <v>164930.46085638119</v>
      </c>
      <c r="AB55" s="122">
        <v>169612.61358519501</v>
      </c>
      <c r="AC55" s="122">
        <v>174057.63719099891</v>
      </c>
      <c r="AD55" s="122">
        <v>178227.59520347181</v>
      </c>
      <c r="AE55" s="122">
        <v>182084.5090037233</v>
      </c>
      <c r="AF55" s="122">
        <v>185590.82511006281</v>
      </c>
      <c r="AG55" s="122">
        <v>188709.91513496579</v>
      </c>
      <c r="AH55" s="122">
        <v>191406.60143181231</v>
      </c>
      <c r="AI55" s="122">
        <v>193647.70011934181</v>
      </c>
      <c r="AJ55" s="122">
        <v>195402.5719318043</v>
      </c>
      <c r="AK55" s="122">
        <v>196643.6702449556</v>
      </c>
      <c r="AL55" s="122">
        <v>197347.07472490281</v>
      </c>
      <c r="AM55" s="122">
        <v>197492.99838976259</v>
      </c>
      <c r="AN55" s="122">
        <v>197066.25551150841</v>
      </c>
    </row>
    <row r="56" spans="1:40" x14ac:dyDescent="0.2">
      <c r="A56" s="123" t="s">
        <v>42</v>
      </c>
      <c r="B56" s="122">
        <v>26850.540684381289</v>
      </c>
      <c r="C56" s="122">
        <v>28544.8366589996</v>
      </c>
      <c r="D56" s="122">
        <v>30325.27677982947</v>
      </c>
      <c r="E56" s="122">
        <v>32182.08704351198</v>
      </c>
      <c r="F56" s="122">
        <v>34102.435305387313</v>
      </c>
      <c r="G56" s="122">
        <v>36070.143928776903</v>
      </c>
      <c r="H56" s="122">
        <v>38065.469083157011</v>
      </c>
      <c r="I56" s="122">
        <v>40064.973711527498</v>
      </c>
      <c r="J56" s="122">
        <v>42041.522939590803</v>
      </c>
      <c r="K56" s="122">
        <v>43971.1032383946</v>
      </c>
      <c r="L56" s="122">
        <v>45855.422623062783</v>
      </c>
      <c r="M56" s="122">
        <v>47706.047078458912</v>
      </c>
      <c r="N56" s="122">
        <v>49538.235815968037</v>
      </c>
      <c r="O56" s="122">
        <v>51370.87814599261</v>
      </c>
      <c r="P56" s="122">
        <v>53221.019341904139</v>
      </c>
      <c r="Q56" s="122">
        <v>55085.994762394337</v>
      </c>
      <c r="R56" s="122">
        <v>56957.182236541201</v>
      </c>
      <c r="S56" s="122">
        <v>58825.085675912007</v>
      </c>
      <c r="T56" s="122">
        <v>60679.346600351833</v>
      </c>
      <c r="U56" s="122">
        <v>62508.770883058693</v>
      </c>
      <c r="V56" s="122">
        <v>64301.372280495663</v>
      </c>
      <c r="W56" s="122">
        <v>66044.434142106111</v>
      </c>
      <c r="X56" s="122">
        <v>67724.59045586604</v>
      </c>
      <c r="Y56" s="122">
        <v>69327.927074762163</v>
      </c>
      <c r="Z56" s="122">
        <v>70840.103584701545</v>
      </c>
      <c r="AA56" s="122">
        <v>72246.495817188392</v>
      </c>
      <c r="AB56" s="122">
        <v>73532.358484403114</v>
      </c>
      <c r="AC56" s="122">
        <v>74683.006827623831</v>
      </c>
      <c r="AD56" s="122">
        <v>75684.015533461061</v>
      </c>
      <c r="AE56" s="122">
        <v>76521.432501303454</v>
      </c>
      <c r="AF56" s="122">
        <v>77182.004358648162</v>
      </c>
      <c r="AG56" s="122">
        <v>77653.409941312246</v>
      </c>
      <c r="AH56" s="122">
        <v>77924.497308692618</v>
      </c>
      <c r="AI56" s="122">
        <v>77985.519278662978</v>
      </c>
      <c r="AJ56" s="122">
        <v>77828.361972223051</v>
      </c>
      <c r="AK56" s="122">
        <v>77446.760484994404</v>
      </c>
      <c r="AL56" s="122">
        <v>76836.49558027141</v>
      </c>
      <c r="AM56" s="122">
        <v>75995.565253282242</v>
      </c>
      <c r="AN56" s="122">
        <v>74924.325170932236</v>
      </c>
    </row>
    <row r="57" spans="1:40" x14ac:dyDescent="0.2">
      <c r="A57" s="123" t="s">
        <v>43</v>
      </c>
      <c r="B57" s="122">
        <v>7683.5639559520841</v>
      </c>
      <c r="C57" s="122">
        <v>8301.5865760700563</v>
      </c>
      <c r="D57" s="122">
        <v>8979.2587076919881</v>
      </c>
      <c r="E57" s="122">
        <v>9715.6073498711412</v>
      </c>
      <c r="F57" s="122">
        <v>10507.96475045292</v>
      </c>
      <c r="G57" s="122">
        <v>11351.55968755197</v>
      </c>
      <c r="H57" s="122">
        <v>12239.11003189566</v>
      </c>
      <c r="I57" s="122">
        <v>13160.446036417179</v>
      </c>
      <c r="J57" s="122">
        <v>14102.202307305401</v>
      </c>
      <c r="K57" s="122">
        <v>15050.557600818531</v>
      </c>
      <c r="L57" s="122">
        <v>16001.47261539463</v>
      </c>
      <c r="M57" s="122">
        <v>16954.542814958091</v>
      </c>
      <c r="N57" s="122">
        <v>17910.513521400229</v>
      </c>
      <c r="O57" s="122">
        <v>18871.34575170873</v>
      </c>
      <c r="P57" s="122">
        <v>19838.934762267188</v>
      </c>
      <c r="Q57" s="122">
        <v>20810.622574522829</v>
      </c>
      <c r="R57" s="122">
        <v>21782.33101371731</v>
      </c>
      <c r="S57" s="122">
        <v>22749.79578122529</v>
      </c>
      <c r="T57" s="122">
        <v>23708.595715267729</v>
      </c>
      <c r="U57" s="122">
        <v>24654.184993553361</v>
      </c>
      <c r="V57" s="122">
        <v>25581.9279730034</v>
      </c>
      <c r="W57" s="122">
        <v>26487.13630978949</v>
      </c>
      <c r="X57" s="122">
        <v>27365.107955325911</v>
      </c>
      <c r="Y57" s="122">
        <v>28211.167581696202</v>
      </c>
      <c r="Z57" s="122">
        <v>29020.707954250269</v>
      </c>
      <c r="AA57" s="122">
        <v>29789.231740680108</v>
      </c>
      <c r="AB57" s="122">
        <v>30512.39322551903</v>
      </c>
      <c r="AC57" s="122">
        <v>31186.03938731915</v>
      </c>
      <c r="AD57" s="122">
        <v>31806.249793172261</v>
      </c>
      <c r="AE57" s="122">
        <v>32369.374771983101</v>
      </c>
      <c r="AF57" s="122">
        <v>32872.071344046257</v>
      </c>
      <c r="AG57" s="122">
        <v>33311.336409838572</v>
      </c>
      <c r="AH57" s="122">
        <v>33684.536735189162</v>
      </c>
      <c r="AI57" s="122">
        <v>33989.435312549998</v>
      </c>
      <c r="AJ57" s="122">
        <v>34224.213728258299</v>
      </c>
      <c r="AK57" s="122">
        <v>34387.490222531</v>
      </c>
      <c r="AL57" s="122">
        <v>34478.333191425227</v>
      </c>
      <c r="AM57" s="122">
        <v>34496.269946963243</v>
      </c>
      <c r="AN57" s="122">
        <v>34441.290621773478</v>
      </c>
    </row>
    <row r="58" spans="1:40" x14ac:dyDescent="0.2">
      <c r="A58" s="123" t="s">
        <v>44</v>
      </c>
      <c r="B58" s="122">
        <v>54218.036905075918</v>
      </c>
      <c r="C58" s="122">
        <v>58654.100692136359</v>
      </c>
      <c r="D58" s="122">
        <v>63402.246474804997</v>
      </c>
      <c r="E58" s="122">
        <v>68450.168841519495</v>
      </c>
      <c r="F58" s="122">
        <v>73776.823226541135</v>
      </c>
      <c r="G58" s="122">
        <v>79351.084265990212</v>
      </c>
      <c r="H58" s="122">
        <v>85130.50406926428</v>
      </c>
      <c r="I58" s="122">
        <v>91060.264439171515</v>
      </c>
      <c r="J58" s="122">
        <v>97072.431893769215</v>
      </c>
      <c r="K58" s="122">
        <v>103102.02799276319</v>
      </c>
      <c r="L58" s="122">
        <v>109144.0397731656</v>
      </c>
      <c r="M58" s="122">
        <v>115218.08160981339</v>
      </c>
      <c r="N58" s="122">
        <v>121354.3462023053</v>
      </c>
      <c r="O58" s="122">
        <v>127594.0402555655</v>
      </c>
      <c r="P58" s="122">
        <v>133976.7322028424</v>
      </c>
      <c r="Q58" s="122">
        <v>140496.3593394951</v>
      </c>
      <c r="R58" s="122">
        <v>147132.12830674011</v>
      </c>
      <c r="S58" s="122">
        <v>153860.37230673761</v>
      </c>
      <c r="T58" s="122">
        <v>160654.50719107149</v>
      </c>
      <c r="U58" s="122">
        <v>167485.02458620351</v>
      </c>
      <c r="V58" s="122">
        <v>174319.52688385249</v>
      </c>
      <c r="W58" s="122">
        <v>181122.80866928541</v>
      </c>
      <c r="X58" s="122">
        <v>187856.98875015709</v>
      </c>
      <c r="Y58" s="122">
        <v>194481.69637112881</v>
      </c>
      <c r="Z58" s="122">
        <v>200954.3144469258</v>
      </c>
      <c r="AA58" s="122">
        <v>207230.28171569211</v>
      </c>
      <c r="AB58" s="122">
        <v>213263.45460782989</v>
      </c>
      <c r="AC58" s="122">
        <v>219006.5283520917</v>
      </c>
      <c r="AD58" s="122">
        <v>224411.51541666631</v>
      </c>
      <c r="AE58" s="122">
        <v>229430.27783246481</v>
      </c>
      <c r="AF58" s="122">
        <v>234015.1083006656</v>
      </c>
      <c r="AG58" s="122">
        <v>238119.35328675251</v>
      </c>
      <c r="AH58" s="122">
        <v>241698.06959612231</v>
      </c>
      <c r="AI58" s="122">
        <v>244708.70426585939</v>
      </c>
      <c r="AJ58" s="122">
        <v>247111.78605276029</v>
      </c>
      <c r="AK58" s="122">
        <v>248871.61541222059</v>
      </c>
      <c r="AL58" s="122">
        <v>249956.9387105153</v>
      </c>
      <c r="AM58" s="122">
        <v>250341.59155794251</v>
      </c>
      <c r="AN58" s="122">
        <v>250005.09565189289</v>
      </c>
    </row>
    <row r="59" spans="1:40" x14ac:dyDescent="0.2">
      <c r="A59" s="123" t="s">
        <v>196</v>
      </c>
      <c r="B59" s="122">
        <v>375578.60517081118</v>
      </c>
      <c r="C59" s="122">
        <v>388611.81259451428</v>
      </c>
      <c r="D59" s="122">
        <v>402616.51840908767</v>
      </c>
      <c r="E59" s="122">
        <v>417398.95319218817</v>
      </c>
      <c r="F59" s="122">
        <v>432743.74337009311</v>
      </c>
      <c r="G59" s="122">
        <v>448409.44034544798</v>
      </c>
      <c r="H59" s="122">
        <v>464125.56627013063</v>
      </c>
      <c r="I59" s="122">
        <v>479591.60408792872</v>
      </c>
      <c r="J59" s="122">
        <v>494478.45187656069</v>
      </c>
      <c r="K59" s="122">
        <v>508505.37735929393</v>
      </c>
      <c r="L59" s="122">
        <v>521674.0624588629</v>
      </c>
      <c r="M59" s="122">
        <v>534070.29793654929</v>
      </c>
      <c r="N59" s="122">
        <v>545791.14016780478</v>
      </c>
      <c r="O59" s="122">
        <v>556942.10700891458</v>
      </c>
      <c r="P59" s="122">
        <v>567610.38498564973</v>
      </c>
      <c r="Q59" s="122">
        <v>577789.78753205342</v>
      </c>
      <c r="R59" s="122">
        <v>587454.19191303034</v>
      </c>
      <c r="S59" s="122">
        <v>596582.22889453033</v>
      </c>
      <c r="T59" s="122">
        <v>605157.36754465138</v>
      </c>
      <c r="U59" s="122">
        <v>613167.93820965174</v>
      </c>
      <c r="V59" s="122">
        <v>620607.09946950467</v>
      </c>
      <c r="W59" s="122">
        <v>627472.75569731998</v>
      </c>
      <c r="X59" s="122">
        <v>633767.43239769747</v>
      </c>
      <c r="Y59" s="122">
        <v>639498.11680702714</v>
      </c>
      <c r="Z59" s="122">
        <v>644676.07133699872</v>
      </c>
      <c r="AA59" s="122">
        <v>649316.62736858602</v>
      </c>
      <c r="AB59" s="122">
        <v>653438.96669721475</v>
      </c>
      <c r="AC59" s="122">
        <v>657065.89763052308</v>
      </c>
      <c r="AD59" s="122">
        <v>660223.63238702458</v>
      </c>
      <c r="AE59" s="122">
        <v>662941.57207409921</v>
      </c>
      <c r="AF59" s="122">
        <v>665252.10517204867</v>
      </c>
      <c r="AG59" s="122">
        <v>667190.42515042285</v>
      </c>
      <c r="AH59" s="122">
        <v>668794.3726251059</v>
      </c>
      <c r="AI59" s="122">
        <v>670104.30736105843</v>
      </c>
      <c r="AJ59" s="122">
        <v>671163.01546858554</v>
      </c>
      <c r="AK59" s="122">
        <v>672015.65736594412</v>
      </c>
      <c r="AL59" s="122">
        <v>672709.76252883859</v>
      </c>
      <c r="AM59" s="122">
        <v>673295.27776718955</v>
      </c>
      <c r="AN59" s="122">
        <v>673824.67682312848</v>
      </c>
    </row>
    <row r="60" spans="1:40" x14ac:dyDescent="0.2">
      <c r="A60" s="123" t="s">
        <v>197</v>
      </c>
      <c r="B60" s="122">
        <v>261752.4068775413</v>
      </c>
      <c r="C60" s="122">
        <v>285929.3271325744</v>
      </c>
      <c r="D60" s="122">
        <v>312217.97353085497</v>
      </c>
      <c r="E60" s="122">
        <v>340631.12548217812</v>
      </c>
      <c r="F60" s="122">
        <v>371135.42443493637</v>
      </c>
      <c r="G60" s="122">
        <v>403640.61767319503</v>
      </c>
      <c r="H60" s="122">
        <v>437988.46728068829</v>
      </c>
      <c r="I60" s="122">
        <v>473941.88663942798</v>
      </c>
      <c r="J60" s="122">
        <v>511175.03993892809</v>
      </c>
      <c r="K60" s="122">
        <v>549356.11230317387</v>
      </c>
      <c r="L60" s="122">
        <v>588466.60803382762</v>
      </c>
      <c r="M60" s="122">
        <v>628620.828550832</v>
      </c>
      <c r="N60" s="122">
        <v>669993.32065959275</v>
      </c>
      <c r="O60" s="122">
        <v>712824.8040648906</v>
      </c>
      <c r="P60" s="122">
        <v>757357.88788441033</v>
      </c>
      <c r="Q60" s="122">
        <v>803597.87526238069</v>
      </c>
      <c r="R60" s="122">
        <v>851469.9522132962</v>
      </c>
      <c r="S60" s="122">
        <v>900881.21190486592</v>
      </c>
      <c r="T60" s="122">
        <v>951719.97502658423</v>
      </c>
      <c r="U60" s="122">
        <v>1003855.294141511</v>
      </c>
      <c r="V60" s="122">
        <v>1057136.6690137209</v>
      </c>
      <c r="W60" s="122">
        <v>1111393.998731416</v>
      </c>
      <c r="X60" s="122">
        <v>1166437.7945370581</v>
      </c>
      <c r="Y60" s="122">
        <v>1222059.674586555</v>
      </c>
      <c r="Z60" s="122">
        <v>1278033.1583621721</v>
      </c>
      <c r="AA60" s="122">
        <v>1334114.774152596</v>
      </c>
      <c r="AB60" s="122">
        <v>1390045.4879068341</v>
      </c>
      <c r="AC60" s="122">
        <v>1445552.4559124371</v>
      </c>
      <c r="AD60" s="122">
        <v>1500351.0972189831</v>
      </c>
      <c r="AE60" s="122">
        <v>1554147.474631968</v>
      </c>
      <c r="AF60" s="122">
        <v>1606640.965580109</v>
      </c>
      <c r="AG60" s="122">
        <v>1657527.1963806041</v>
      </c>
      <c r="AH60" s="122">
        <v>1706501.20559208</v>
      </c>
      <c r="AI60" s="122">
        <v>1753260.7944785359</v>
      </c>
      <c r="AJ60" s="122">
        <v>1797510.015354044</v>
      </c>
      <c r="AK60" s="122">
        <v>1838962.7419952729</v>
      </c>
      <c r="AL60" s="122">
        <v>1877346.260658785</v>
      </c>
      <c r="AM60" s="122">
        <v>1912404.81577937</v>
      </c>
      <c r="AN60" s="122">
        <v>1943903.0413949899</v>
      </c>
    </row>
    <row r="61" spans="1:40" x14ac:dyDescent="0.2">
      <c r="A61" s="123" t="s">
        <v>198</v>
      </c>
      <c r="B61" s="122">
        <v>1131667.82684</v>
      </c>
      <c r="C61" s="122">
        <v>1191674.1762623109</v>
      </c>
      <c r="D61" s="122">
        <v>1256332.423992523</v>
      </c>
      <c r="E61" s="122">
        <v>1325076.041879962</v>
      </c>
      <c r="F61" s="122">
        <v>1397204.5894544099</v>
      </c>
      <c r="G61" s="122">
        <v>1471850.339605209</v>
      </c>
      <c r="H61" s="122">
        <v>1547952.302774454</v>
      </c>
      <c r="I61" s="122">
        <v>1624241.061717781</v>
      </c>
      <c r="J61" s="122">
        <v>1699238.6662424761</v>
      </c>
      <c r="K61" s="122">
        <v>1771676.014217604</v>
      </c>
      <c r="L61" s="122">
        <v>1841829.773893178</v>
      </c>
      <c r="M61" s="122">
        <v>1910523.110285053</v>
      </c>
      <c r="N61" s="122">
        <v>1978734.0086558459</v>
      </c>
      <c r="O61" s="122">
        <v>2047581.2757680679</v>
      </c>
      <c r="P61" s="122">
        <v>2118060.183821274</v>
      </c>
      <c r="Q61" s="122">
        <v>2190206.577793723</v>
      </c>
      <c r="R61" s="122">
        <v>2263788.685853417</v>
      </c>
      <c r="S61" s="122">
        <v>2338553.971938638</v>
      </c>
      <c r="T61" s="122">
        <v>2414227.6936783479</v>
      </c>
      <c r="U61" s="122">
        <v>2490511.8255606922</v>
      </c>
      <c r="V61" s="122">
        <v>2567084.402598233</v>
      </c>
      <c r="W61" s="122">
        <v>2643599.344547499</v>
      </c>
      <c r="X61" s="122">
        <v>2719686.8230160158</v>
      </c>
      <c r="Y61" s="122">
        <v>2794954.2332804441</v>
      </c>
      <c r="Z61" s="122">
        <v>2868987.829056167</v>
      </c>
      <c r="AA61" s="122">
        <v>2941355.0715004769</v>
      </c>
      <c r="AB61" s="122">
        <v>3011607.7331139469</v>
      </c>
      <c r="AC61" s="122">
        <v>3079285.7826968138</v>
      </c>
      <c r="AD61" s="122">
        <v>3143922.0589858298</v>
      </c>
      <c r="AE61" s="122">
        <v>3205047.7180551542</v>
      </c>
      <c r="AF61" s="122">
        <v>3262198.4132275372</v>
      </c>
      <c r="AG61" s="122">
        <v>3314921.1365793021</v>
      </c>
      <c r="AH61" s="122">
        <v>3362781.6189114498</v>
      </c>
      <c r="AI61" s="122">
        <v>3405372.1514221211</v>
      </c>
      <c r="AJ61" s="122">
        <v>3442319.6587412241</v>
      </c>
      <c r="AK61" s="122">
        <v>3473293.8213258749</v>
      </c>
      <c r="AL61" s="122">
        <v>3498015.01763268</v>
      </c>
      <c r="AM61" s="122">
        <v>3516261.835382761</v>
      </c>
      <c r="AN61" s="122">
        <v>3527877.8891263269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476-AC89-4417-AEF3-2E407C5CB792}">
  <dimension ref="A1:S118"/>
  <sheetViews>
    <sheetView workbookViewId="0">
      <selection sqref="A1:A2"/>
    </sheetView>
  </sheetViews>
  <sheetFormatPr defaultRowHeight="14.25" x14ac:dyDescent="0.2"/>
  <cols>
    <col min="1" max="1" width="42.25" bestFit="1" customWidth="1"/>
    <col min="2" max="5" width="12.25" customWidth="1"/>
    <col min="6" max="6" width="11.625" bestFit="1" customWidth="1"/>
    <col min="8" max="9" width="13.875" customWidth="1"/>
    <col min="10" max="11" width="12" customWidth="1"/>
    <col min="12" max="15" width="11.625" customWidth="1"/>
  </cols>
  <sheetData>
    <row r="1" spans="1:19" x14ac:dyDescent="0.15">
      <c r="A1" s="183" t="s">
        <v>170</v>
      </c>
      <c r="B1" s="186">
        <v>2013</v>
      </c>
      <c r="C1" s="186"/>
      <c r="D1" s="185">
        <v>2018</v>
      </c>
      <c r="E1" s="185"/>
      <c r="H1" s="76" t="s">
        <v>171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4" x14ac:dyDescent="0.15">
      <c r="A2" s="184"/>
      <c r="B2" s="46" t="s">
        <v>49</v>
      </c>
      <c r="C2" s="47" t="s">
        <v>50</v>
      </c>
      <c r="D2" s="46" t="s">
        <v>49</v>
      </c>
      <c r="E2" s="47" t="s">
        <v>50</v>
      </c>
      <c r="H2" s="78" t="s">
        <v>172</v>
      </c>
      <c r="I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14.45" customHeight="1" x14ac:dyDescent="0.2">
      <c r="A3" s="48" t="s">
        <v>51</v>
      </c>
      <c r="B3" s="52">
        <v>592963.19999999995</v>
      </c>
      <c r="C3" s="52">
        <v>100</v>
      </c>
      <c r="D3" s="52">
        <v>919281.1</v>
      </c>
      <c r="E3" s="52">
        <v>100</v>
      </c>
      <c r="H3" s="80" t="s">
        <v>173</v>
      </c>
      <c r="I3" s="46" t="s">
        <v>174</v>
      </c>
      <c r="J3" s="46" t="s">
        <v>175</v>
      </c>
      <c r="K3" s="46" t="s">
        <v>176</v>
      </c>
      <c r="L3" s="46" t="s">
        <v>177</v>
      </c>
      <c r="M3" s="46" t="s">
        <v>178</v>
      </c>
      <c r="N3" s="46" t="s">
        <v>179</v>
      </c>
      <c r="O3" s="46" t="s">
        <v>180</v>
      </c>
      <c r="P3" s="46" t="s">
        <v>181</v>
      </c>
      <c r="Q3" s="46" t="s">
        <v>182</v>
      </c>
      <c r="R3" s="46" t="s">
        <v>183</v>
      </c>
      <c r="S3" s="47" t="s">
        <v>184</v>
      </c>
    </row>
    <row r="4" spans="1:19" ht="14.45" customHeight="1" x14ac:dyDescent="0.2">
      <c r="A4" s="49" t="s">
        <v>45</v>
      </c>
      <c r="B4" s="52">
        <v>54692.4</v>
      </c>
      <c r="C4" s="52">
        <v>9.1999999999999993</v>
      </c>
      <c r="D4" s="52">
        <v>67558.7</v>
      </c>
      <c r="E4" s="52">
        <v>7.3</v>
      </c>
      <c r="H4" s="48" t="s">
        <v>185</v>
      </c>
      <c r="I4" s="52">
        <v>412119.3</v>
      </c>
      <c r="J4" s="52">
        <v>487940.2</v>
      </c>
      <c r="K4" s="52">
        <v>538580</v>
      </c>
      <c r="L4" s="52">
        <v>592963.19999999995</v>
      </c>
      <c r="M4" s="52">
        <v>643563.1</v>
      </c>
      <c r="N4" s="52">
        <v>688858.2</v>
      </c>
      <c r="O4" s="52">
        <v>746395.1</v>
      </c>
      <c r="P4" s="52">
        <v>832035.9</v>
      </c>
      <c r="Q4" s="52">
        <v>919281.1</v>
      </c>
      <c r="R4" s="52">
        <v>986515.2</v>
      </c>
      <c r="S4" s="52">
        <v>1013567</v>
      </c>
    </row>
    <row r="5" spans="1:19" ht="14.45" customHeight="1" x14ac:dyDescent="0.2">
      <c r="A5" s="50" t="s">
        <v>65</v>
      </c>
      <c r="B5" s="52">
        <v>31498.1</v>
      </c>
      <c r="C5" s="52">
        <v>5.3</v>
      </c>
      <c r="D5" s="52">
        <v>39613.300000000003</v>
      </c>
      <c r="E5" s="52">
        <v>4.3</v>
      </c>
      <c r="H5" s="50" t="s">
        <v>45</v>
      </c>
      <c r="I5" s="52">
        <v>39619</v>
      </c>
      <c r="J5" s="52">
        <v>46122.6</v>
      </c>
      <c r="K5" s="52">
        <v>50581.2</v>
      </c>
      <c r="L5" s="52">
        <v>54692.4</v>
      </c>
      <c r="M5" s="52">
        <v>57472.2</v>
      </c>
      <c r="N5" s="52">
        <v>59852.6</v>
      </c>
      <c r="O5" s="52">
        <v>62451</v>
      </c>
      <c r="P5" s="52">
        <v>64660</v>
      </c>
      <c r="Q5" s="52">
        <v>67558.7</v>
      </c>
      <c r="R5" s="52">
        <v>73576.899999999994</v>
      </c>
      <c r="S5" s="52">
        <v>81396.5</v>
      </c>
    </row>
    <row r="6" spans="1:19" ht="14.45" customHeight="1" x14ac:dyDescent="0.2">
      <c r="A6" s="50" t="s">
        <v>66</v>
      </c>
      <c r="B6" s="52">
        <v>2534.8000000000002</v>
      </c>
      <c r="C6" s="52">
        <v>0.4</v>
      </c>
      <c r="D6" s="52">
        <v>3544.2</v>
      </c>
      <c r="E6" s="52">
        <v>0.4</v>
      </c>
      <c r="H6" s="50" t="s">
        <v>70</v>
      </c>
      <c r="I6" s="52">
        <v>20998.7</v>
      </c>
      <c r="J6" s="52">
        <v>26296.2</v>
      </c>
      <c r="K6" s="52">
        <v>25093</v>
      </c>
      <c r="L6" s="52">
        <v>25467.599999999999</v>
      </c>
      <c r="M6" s="52">
        <v>23550.5</v>
      </c>
      <c r="N6" s="52">
        <v>19243.099999999999</v>
      </c>
      <c r="O6" s="52">
        <v>18514.8</v>
      </c>
      <c r="P6" s="52">
        <v>21380.1</v>
      </c>
      <c r="Q6" s="52">
        <v>22592.3</v>
      </c>
      <c r="R6" s="52">
        <v>23695.5</v>
      </c>
      <c r="S6" s="52">
        <v>22011.5</v>
      </c>
    </row>
    <row r="7" spans="1:19" ht="14.45" customHeight="1" x14ac:dyDescent="0.2">
      <c r="A7" s="50" t="s">
        <v>67</v>
      </c>
      <c r="B7" s="52">
        <v>13394.9</v>
      </c>
      <c r="C7" s="52">
        <v>2.2999999999999998</v>
      </c>
      <c r="D7" s="52">
        <v>14254.9</v>
      </c>
      <c r="E7" s="52">
        <v>1.6</v>
      </c>
      <c r="H7" s="50" t="s">
        <v>78</v>
      </c>
      <c r="I7" s="52">
        <v>132887</v>
      </c>
      <c r="J7" s="52">
        <v>156459.4</v>
      </c>
      <c r="K7" s="52">
        <v>169809.5</v>
      </c>
      <c r="L7" s="52">
        <v>181871.1</v>
      </c>
      <c r="M7" s="52">
        <v>194189.7</v>
      </c>
      <c r="N7" s="52">
        <v>199436</v>
      </c>
      <c r="O7" s="52">
        <v>209508.9</v>
      </c>
      <c r="P7" s="52">
        <v>233876.5</v>
      </c>
      <c r="Q7" s="52">
        <v>255937.2</v>
      </c>
      <c r="R7" s="52">
        <v>264136.7</v>
      </c>
      <c r="S7" s="52">
        <v>266417.8</v>
      </c>
    </row>
    <row r="8" spans="1:19" ht="14.45" customHeight="1" x14ac:dyDescent="0.2">
      <c r="A8" s="50" t="s">
        <v>68</v>
      </c>
      <c r="B8" s="52">
        <v>5600.2</v>
      </c>
      <c r="C8" s="52">
        <v>0.9</v>
      </c>
      <c r="D8" s="52">
        <v>7332.7</v>
      </c>
      <c r="E8" s="52">
        <v>0.8</v>
      </c>
      <c r="H8" s="50" t="s">
        <v>52</v>
      </c>
      <c r="I8" s="52">
        <v>11237.4</v>
      </c>
      <c r="J8" s="52">
        <v>12383.6</v>
      </c>
      <c r="K8" s="52">
        <v>13998.9</v>
      </c>
      <c r="L8" s="52">
        <v>14994.5</v>
      </c>
      <c r="M8" s="52">
        <v>15457.2</v>
      </c>
      <c r="N8" s="52">
        <v>16289.8</v>
      </c>
      <c r="O8" s="52">
        <v>17382.7</v>
      </c>
      <c r="P8" s="52">
        <v>19862.7</v>
      </c>
      <c r="Q8" s="52">
        <v>22559.8</v>
      </c>
      <c r="R8" s="52">
        <v>24026.400000000001</v>
      </c>
      <c r="S8" s="52">
        <v>24473.599999999999</v>
      </c>
    </row>
    <row r="9" spans="1:19" ht="14.45" customHeight="1" x14ac:dyDescent="0.2">
      <c r="A9" s="50" t="s">
        <v>69</v>
      </c>
      <c r="B9" s="52">
        <v>1664.4</v>
      </c>
      <c r="C9" s="52">
        <v>0.3</v>
      </c>
      <c r="D9" s="52">
        <v>2813.6</v>
      </c>
      <c r="E9" s="52">
        <v>0.3</v>
      </c>
      <c r="H9" s="50" t="s">
        <v>53</v>
      </c>
      <c r="I9" s="52">
        <v>27259.3</v>
      </c>
      <c r="J9" s="52">
        <v>32926.5</v>
      </c>
      <c r="K9" s="52">
        <v>36896.1</v>
      </c>
      <c r="L9" s="52">
        <v>40896.800000000003</v>
      </c>
      <c r="M9" s="52">
        <v>45401.7</v>
      </c>
      <c r="N9" s="52">
        <v>47761.3</v>
      </c>
      <c r="O9" s="52">
        <v>51498.9</v>
      </c>
      <c r="P9" s="52">
        <v>57905.599999999999</v>
      </c>
      <c r="Q9" s="52">
        <v>65493</v>
      </c>
      <c r="R9" s="52">
        <v>70648.100000000006</v>
      </c>
      <c r="S9" s="52">
        <v>72444.7</v>
      </c>
    </row>
    <row r="10" spans="1:19" ht="14.45" customHeight="1" x14ac:dyDescent="0.2">
      <c r="A10" s="49" t="s">
        <v>70</v>
      </c>
      <c r="B10" s="52">
        <v>25467.599999999999</v>
      </c>
      <c r="C10" s="52">
        <v>4.3</v>
      </c>
      <c r="D10" s="52">
        <v>22592.3</v>
      </c>
      <c r="E10" s="52">
        <v>2.5</v>
      </c>
      <c r="H10" s="50" t="s">
        <v>54</v>
      </c>
      <c r="I10" s="52">
        <v>35907.9</v>
      </c>
      <c r="J10" s="52">
        <v>43734.5</v>
      </c>
      <c r="K10" s="52">
        <v>49835.5</v>
      </c>
      <c r="L10" s="52">
        <v>56288.9</v>
      </c>
      <c r="M10" s="52">
        <v>63170.400000000001</v>
      </c>
      <c r="N10" s="52">
        <v>67719.600000000006</v>
      </c>
      <c r="O10" s="52">
        <v>73724.5</v>
      </c>
      <c r="P10" s="52">
        <v>81156.600000000006</v>
      </c>
      <c r="Q10" s="52">
        <v>88903.7</v>
      </c>
      <c r="R10" s="52">
        <v>95650.9</v>
      </c>
      <c r="S10" s="52">
        <v>96086.1</v>
      </c>
    </row>
    <row r="11" spans="1:19" ht="14.45" customHeight="1" x14ac:dyDescent="0.2">
      <c r="A11" s="50" t="s">
        <v>71</v>
      </c>
      <c r="B11" s="52">
        <v>11543.5</v>
      </c>
      <c r="C11" s="52">
        <v>1.9</v>
      </c>
      <c r="D11" s="52">
        <v>11347.2</v>
      </c>
      <c r="E11" s="52">
        <v>1.2</v>
      </c>
      <c r="H11" s="50" t="s">
        <v>55</v>
      </c>
      <c r="I11" s="52">
        <v>18783.599999999999</v>
      </c>
      <c r="J11" s="52">
        <v>21842</v>
      </c>
      <c r="K11" s="52">
        <v>23763.200000000001</v>
      </c>
      <c r="L11" s="52">
        <v>26042.7</v>
      </c>
      <c r="M11" s="52">
        <v>28534.400000000001</v>
      </c>
      <c r="N11" s="52">
        <v>30519.5</v>
      </c>
      <c r="O11" s="52">
        <v>33028.699999999997</v>
      </c>
      <c r="P11" s="52">
        <v>37121.9</v>
      </c>
      <c r="Q11" s="52">
        <v>40337.199999999997</v>
      </c>
      <c r="R11" s="52">
        <v>42466.3</v>
      </c>
      <c r="S11" s="52">
        <v>40582.9</v>
      </c>
    </row>
    <row r="12" spans="1:19" ht="14.45" customHeight="1" x14ac:dyDescent="0.2">
      <c r="A12" s="50" t="s">
        <v>72</v>
      </c>
      <c r="B12" s="52">
        <v>7782.6</v>
      </c>
      <c r="C12" s="52">
        <v>1.3</v>
      </c>
      <c r="D12" s="52">
        <v>6370.2</v>
      </c>
      <c r="E12" s="52">
        <v>0.7</v>
      </c>
      <c r="H12" s="50" t="s">
        <v>56</v>
      </c>
      <c r="I12" s="52">
        <v>7712</v>
      </c>
      <c r="J12" s="52">
        <v>8565.4</v>
      </c>
      <c r="K12" s="52">
        <v>9536.9</v>
      </c>
      <c r="L12" s="52">
        <v>10228.299999999999</v>
      </c>
      <c r="M12" s="52">
        <v>11228.7</v>
      </c>
      <c r="N12" s="52">
        <v>12306.1</v>
      </c>
      <c r="O12" s="52">
        <v>13607.8</v>
      </c>
      <c r="P12" s="52">
        <v>15056</v>
      </c>
      <c r="Q12" s="52">
        <v>16520.599999999999</v>
      </c>
      <c r="R12" s="52">
        <v>17903.099999999999</v>
      </c>
      <c r="S12" s="52">
        <v>15285.4</v>
      </c>
    </row>
    <row r="13" spans="1:19" ht="14.45" customHeight="1" x14ac:dyDescent="0.2">
      <c r="A13" s="50" t="s">
        <v>73</v>
      </c>
      <c r="B13" s="52">
        <v>2427</v>
      </c>
      <c r="C13" s="52">
        <v>0.4</v>
      </c>
      <c r="D13" s="52">
        <v>924.2</v>
      </c>
      <c r="E13" s="52">
        <v>0.1</v>
      </c>
      <c r="H13" s="50" t="s">
        <v>57</v>
      </c>
      <c r="I13" s="52">
        <v>9049.7000000000007</v>
      </c>
      <c r="J13" s="52">
        <v>10304.799999999999</v>
      </c>
      <c r="K13" s="52">
        <v>11928.7</v>
      </c>
      <c r="L13" s="52">
        <v>13729.7</v>
      </c>
      <c r="M13" s="52">
        <v>15470.6</v>
      </c>
      <c r="N13" s="52">
        <v>17516.8</v>
      </c>
      <c r="O13" s="52">
        <v>20124.099999999999</v>
      </c>
      <c r="P13" s="52">
        <v>23808.9</v>
      </c>
      <c r="Q13" s="52">
        <v>28733.5</v>
      </c>
      <c r="R13" s="52">
        <v>33391.800000000003</v>
      </c>
      <c r="S13" s="52">
        <v>38244.1</v>
      </c>
    </row>
    <row r="14" spans="1:19" ht="14.45" customHeight="1" x14ac:dyDescent="0.2">
      <c r="A14" s="50" t="s">
        <v>74</v>
      </c>
      <c r="B14" s="52">
        <v>1358</v>
      </c>
      <c r="C14" s="52">
        <v>0.2</v>
      </c>
      <c r="D14" s="52">
        <v>1447</v>
      </c>
      <c r="E14" s="52">
        <v>0.2</v>
      </c>
      <c r="H14" s="50" t="s">
        <v>58</v>
      </c>
      <c r="I14" s="52">
        <v>25733.1</v>
      </c>
      <c r="J14" s="52">
        <v>30747.200000000001</v>
      </c>
      <c r="K14" s="52">
        <v>35272.199999999997</v>
      </c>
      <c r="L14" s="52">
        <v>41293.4</v>
      </c>
      <c r="M14" s="52">
        <v>46853.4</v>
      </c>
      <c r="N14" s="52">
        <v>56299.8</v>
      </c>
      <c r="O14" s="52">
        <v>59964</v>
      </c>
      <c r="P14" s="52">
        <v>64844.3</v>
      </c>
      <c r="Q14" s="52">
        <v>70610.3</v>
      </c>
      <c r="R14" s="52">
        <v>76250.600000000006</v>
      </c>
      <c r="S14" s="52">
        <v>83617.7</v>
      </c>
    </row>
    <row r="15" spans="1:19" ht="14.45" customHeight="1" x14ac:dyDescent="0.2">
      <c r="A15" s="50" t="s">
        <v>75</v>
      </c>
      <c r="B15" s="52">
        <v>1472.9</v>
      </c>
      <c r="C15" s="52">
        <v>0.2</v>
      </c>
      <c r="D15" s="52">
        <v>1620.1</v>
      </c>
      <c r="E15" s="52">
        <v>0.2</v>
      </c>
      <c r="H15" s="50" t="s">
        <v>59</v>
      </c>
      <c r="I15" s="52">
        <v>23326.6</v>
      </c>
      <c r="J15" s="52">
        <v>27780.7</v>
      </c>
      <c r="K15" s="52">
        <v>30751.9</v>
      </c>
      <c r="L15" s="52">
        <v>35340.400000000001</v>
      </c>
      <c r="M15" s="52">
        <v>38086.400000000001</v>
      </c>
      <c r="N15" s="52">
        <v>42573.8</v>
      </c>
      <c r="O15" s="52">
        <v>49969.4</v>
      </c>
      <c r="P15" s="52">
        <v>57086</v>
      </c>
      <c r="Q15" s="52">
        <v>64623</v>
      </c>
      <c r="R15" s="52">
        <v>70444.800000000003</v>
      </c>
      <c r="S15" s="52">
        <v>73425.3</v>
      </c>
    </row>
    <row r="16" spans="1:19" ht="14.45" customHeight="1" x14ac:dyDescent="0.2">
      <c r="A16" s="50" t="s">
        <v>76</v>
      </c>
      <c r="B16" s="52">
        <v>864.3</v>
      </c>
      <c r="C16" s="52">
        <v>0.1</v>
      </c>
      <c r="D16" s="52">
        <v>856.8</v>
      </c>
      <c r="E16" s="52">
        <v>0.1</v>
      </c>
      <c r="H16" s="50" t="s">
        <v>60</v>
      </c>
      <c r="I16" s="52">
        <v>7259.8</v>
      </c>
      <c r="J16" s="52">
        <v>9150.2000000000007</v>
      </c>
      <c r="K16" s="52">
        <v>10887.4</v>
      </c>
      <c r="L16" s="52">
        <v>12904.9</v>
      </c>
      <c r="M16" s="52">
        <v>15451.3</v>
      </c>
      <c r="N16" s="52">
        <v>18089.7</v>
      </c>
      <c r="O16" s="52">
        <v>21528.6</v>
      </c>
      <c r="P16" s="52">
        <v>25273.3</v>
      </c>
      <c r="Q16" s="52">
        <v>29468.5</v>
      </c>
      <c r="R16" s="52">
        <v>32638</v>
      </c>
      <c r="S16" s="52">
        <v>32467.599999999999</v>
      </c>
    </row>
    <row r="17" spans="1:19" ht="14.45" customHeight="1" x14ac:dyDescent="0.2">
      <c r="A17" s="50" t="s">
        <v>77</v>
      </c>
      <c r="B17" s="52">
        <v>19.399999999999999</v>
      </c>
      <c r="C17" s="52">
        <v>0</v>
      </c>
      <c r="D17" s="52">
        <v>26.9</v>
      </c>
      <c r="E17" s="52">
        <v>0</v>
      </c>
      <c r="H17" s="50" t="s">
        <v>61</v>
      </c>
      <c r="I17" s="52">
        <v>6464.3</v>
      </c>
      <c r="J17" s="52">
        <v>7944.8</v>
      </c>
      <c r="K17" s="52">
        <v>9456.1</v>
      </c>
      <c r="L17" s="52">
        <v>11023.2</v>
      </c>
      <c r="M17" s="52">
        <v>12476</v>
      </c>
      <c r="N17" s="52">
        <v>13887.2</v>
      </c>
      <c r="O17" s="52">
        <v>15394.2</v>
      </c>
      <c r="P17" s="52">
        <v>17444.7</v>
      </c>
      <c r="Q17" s="52">
        <v>20175.3</v>
      </c>
      <c r="R17" s="52">
        <v>22624.3</v>
      </c>
      <c r="S17" s="52">
        <v>24166.2</v>
      </c>
    </row>
    <row r="18" spans="1:19" ht="14.45" customHeight="1" x14ac:dyDescent="0.2">
      <c r="A18" s="49" t="s">
        <v>78</v>
      </c>
      <c r="B18" s="52">
        <v>181871.1</v>
      </c>
      <c r="C18" s="52">
        <v>30.7</v>
      </c>
      <c r="D18" s="52">
        <v>255937.2</v>
      </c>
      <c r="E18" s="52">
        <v>27.8</v>
      </c>
      <c r="H18" s="50" t="s">
        <v>62</v>
      </c>
      <c r="I18" s="52">
        <v>2035.1</v>
      </c>
      <c r="J18" s="52">
        <v>2499.3000000000002</v>
      </c>
      <c r="K18" s="52">
        <v>3024.7</v>
      </c>
      <c r="L18" s="52">
        <v>3665.1</v>
      </c>
      <c r="M18" s="52">
        <v>3940.9</v>
      </c>
      <c r="N18" s="52">
        <v>4128.6000000000004</v>
      </c>
      <c r="O18" s="52">
        <v>4354.6000000000004</v>
      </c>
      <c r="P18" s="52">
        <v>4602.6000000000004</v>
      </c>
      <c r="Q18" s="52">
        <v>5096.1000000000004</v>
      </c>
      <c r="R18" s="52">
        <v>5861.3</v>
      </c>
      <c r="S18" s="52">
        <v>5863.1</v>
      </c>
    </row>
    <row r="19" spans="1:19" ht="14.45" customHeight="1" x14ac:dyDescent="0.2">
      <c r="A19" s="50" t="s">
        <v>79</v>
      </c>
      <c r="B19" s="52">
        <v>8931.2999999999993</v>
      </c>
      <c r="C19" s="52">
        <v>1.5</v>
      </c>
      <c r="D19" s="52">
        <v>9303.6</v>
      </c>
      <c r="E19" s="52">
        <v>1</v>
      </c>
      <c r="H19" s="50" t="s">
        <v>63</v>
      </c>
      <c r="I19" s="52">
        <v>6458</v>
      </c>
      <c r="J19" s="52">
        <v>7574.7</v>
      </c>
      <c r="K19" s="52">
        <v>8227.7999999999993</v>
      </c>
      <c r="L19" s="52">
        <v>8707.7000000000007</v>
      </c>
      <c r="M19" s="52">
        <v>9633.5</v>
      </c>
      <c r="N19" s="52">
        <v>10586.7</v>
      </c>
      <c r="O19" s="52">
        <v>12183.5</v>
      </c>
      <c r="P19" s="52">
        <v>13725.4</v>
      </c>
      <c r="Q19" s="52">
        <v>14793.3</v>
      </c>
      <c r="R19" s="52">
        <v>16983.400000000001</v>
      </c>
      <c r="S19" s="52">
        <v>16353.2</v>
      </c>
    </row>
    <row r="20" spans="1:19" ht="14.45" customHeight="1" x14ac:dyDescent="0.2">
      <c r="A20" s="50" t="s">
        <v>80</v>
      </c>
      <c r="B20" s="52">
        <v>3982.1</v>
      </c>
      <c r="C20" s="52">
        <v>0.7</v>
      </c>
      <c r="D20" s="52">
        <v>5686.7</v>
      </c>
      <c r="E20" s="52">
        <v>0.6</v>
      </c>
      <c r="H20" s="50" t="s">
        <v>41</v>
      </c>
      <c r="I20" s="52">
        <v>12367.9</v>
      </c>
      <c r="J20" s="52">
        <v>14774.6</v>
      </c>
      <c r="K20" s="52">
        <v>16645.7</v>
      </c>
      <c r="L20" s="52">
        <v>18951.400000000001</v>
      </c>
      <c r="M20" s="52">
        <v>21211</v>
      </c>
      <c r="N20" s="52">
        <v>24370.5</v>
      </c>
      <c r="O20" s="52">
        <v>26964.9</v>
      </c>
      <c r="P20" s="52">
        <v>30208.400000000001</v>
      </c>
      <c r="Q20" s="52">
        <v>34001.4</v>
      </c>
      <c r="R20" s="52">
        <v>37934.1</v>
      </c>
      <c r="S20" s="52">
        <v>40091.9</v>
      </c>
    </row>
    <row r="21" spans="1:19" ht="14.45" customHeight="1" x14ac:dyDescent="0.2">
      <c r="A21" s="50" t="s">
        <v>81</v>
      </c>
      <c r="B21" s="52">
        <v>4117.8</v>
      </c>
      <c r="C21" s="52">
        <v>0.7</v>
      </c>
      <c r="D21" s="52">
        <v>6327.3</v>
      </c>
      <c r="E21" s="52">
        <v>0.7</v>
      </c>
      <c r="H21" s="50" t="s">
        <v>42</v>
      </c>
      <c r="I21" s="52">
        <v>5889.4</v>
      </c>
      <c r="J21" s="52">
        <v>7428.8</v>
      </c>
      <c r="K21" s="52">
        <v>9011.2000000000007</v>
      </c>
      <c r="L21" s="52">
        <v>11034.4</v>
      </c>
      <c r="M21" s="52">
        <v>12653.3</v>
      </c>
      <c r="N21" s="52">
        <v>14765.4</v>
      </c>
      <c r="O21" s="52">
        <v>16766.8</v>
      </c>
      <c r="P21" s="52">
        <v>18548.8</v>
      </c>
      <c r="Q21" s="52">
        <v>20652.599999999999</v>
      </c>
      <c r="R21" s="52">
        <v>22354.6</v>
      </c>
      <c r="S21" s="52">
        <v>24396.1</v>
      </c>
    </row>
    <row r="22" spans="1:19" ht="14.45" customHeight="1" x14ac:dyDescent="0.2">
      <c r="A22" s="50" t="s">
        <v>82</v>
      </c>
      <c r="B22" s="52">
        <v>6928.9</v>
      </c>
      <c r="C22" s="52">
        <v>1.2</v>
      </c>
      <c r="D22" s="52">
        <v>7927.3</v>
      </c>
      <c r="E22" s="52">
        <v>0.9</v>
      </c>
      <c r="H22" s="50" t="s">
        <v>64</v>
      </c>
      <c r="I22" s="52">
        <v>2827.7</v>
      </c>
      <c r="J22" s="52">
        <v>3325.9</v>
      </c>
      <c r="K22" s="52">
        <v>3758.2</v>
      </c>
      <c r="L22" s="52">
        <v>4137.8999999999996</v>
      </c>
      <c r="M22" s="52">
        <v>4480.7</v>
      </c>
      <c r="N22" s="52">
        <v>5063.8</v>
      </c>
      <c r="O22" s="52">
        <v>5579.8</v>
      </c>
      <c r="P22" s="52">
        <v>6625.4</v>
      </c>
      <c r="Q22" s="52">
        <v>7301.3</v>
      </c>
      <c r="R22" s="52">
        <v>8137.8</v>
      </c>
      <c r="S22" s="52">
        <v>6981.2</v>
      </c>
    </row>
    <row r="23" spans="1:19" ht="14.45" customHeight="1" x14ac:dyDescent="0.2">
      <c r="A23" s="50" t="s">
        <v>83</v>
      </c>
      <c r="B23" s="52">
        <v>7063</v>
      </c>
      <c r="C23" s="52">
        <v>1.2</v>
      </c>
      <c r="D23" s="52">
        <v>8007.1</v>
      </c>
      <c r="E23" s="52">
        <v>0.9</v>
      </c>
      <c r="H23" s="51" t="s">
        <v>44</v>
      </c>
      <c r="I23" s="53">
        <v>16302.7</v>
      </c>
      <c r="J23" s="56">
        <v>18079</v>
      </c>
      <c r="K23" s="56">
        <v>20101.7</v>
      </c>
      <c r="L23" s="56">
        <v>21693</v>
      </c>
      <c r="M23" s="56">
        <v>24301.200000000001</v>
      </c>
      <c r="N23" s="56">
        <v>28447.8</v>
      </c>
      <c r="O23" s="56">
        <v>33847.800000000003</v>
      </c>
      <c r="P23" s="56">
        <v>38848.800000000003</v>
      </c>
      <c r="Q23" s="56">
        <v>43923.1</v>
      </c>
      <c r="R23" s="56">
        <v>47790.5</v>
      </c>
      <c r="S23" s="56">
        <v>49261.9</v>
      </c>
    </row>
    <row r="24" spans="1:19" ht="14.45" customHeight="1" x14ac:dyDescent="0.2">
      <c r="A24" s="50" t="s">
        <v>84</v>
      </c>
      <c r="B24" s="52">
        <v>6055.9</v>
      </c>
      <c r="C24" s="52">
        <v>1</v>
      </c>
      <c r="D24" s="52">
        <v>8430.1</v>
      </c>
      <c r="E24" s="52">
        <v>0.9</v>
      </c>
      <c r="H24" s="79" t="s">
        <v>186</v>
      </c>
    </row>
    <row r="25" spans="1:19" ht="14.45" customHeight="1" x14ac:dyDescent="0.2">
      <c r="A25" s="50" t="s">
        <v>85</v>
      </c>
      <c r="B25" s="52">
        <v>3615.7</v>
      </c>
      <c r="C25" s="52">
        <v>0.6</v>
      </c>
      <c r="D25" s="52">
        <v>4680.3999999999996</v>
      </c>
      <c r="E25" s="52">
        <v>0.5</v>
      </c>
    </row>
    <row r="26" spans="1:19" ht="14.45" customHeight="1" x14ac:dyDescent="0.2">
      <c r="A26" s="50" t="s">
        <v>86</v>
      </c>
      <c r="B26" s="52">
        <v>2920</v>
      </c>
      <c r="C26" s="52">
        <v>0.5</v>
      </c>
      <c r="D26" s="52">
        <v>3655.3</v>
      </c>
      <c r="E26" s="52">
        <v>0.4</v>
      </c>
    </row>
    <row r="27" spans="1:19" ht="14.45" customHeight="1" x14ac:dyDescent="0.2">
      <c r="A27" s="50" t="s">
        <v>87</v>
      </c>
      <c r="B27" s="52">
        <v>1871.5</v>
      </c>
      <c r="C27" s="52">
        <v>0.3</v>
      </c>
      <c r="D27" s="52">
        <v>2983.9</v>
      </c>
      <c r="E27" s="52">
        <v>0.3</v>
      </c>
    </row>
    <row r="28" spans="1:19" ht="14.45" customHeight="1" x14ac:dyDescent="0.2">
      <c r="A28" s="50" t="s">
        <v>88</v>
      </c>
      <c r="B28" s="52">
        <v>2717.6</v>
      </c>
      <c r="C28" s="52">
        <v>0.5</v>
      </c>
      <c r="D28" s="52">
        <v>3772.8</v>
      </c>
      <c r="E28" s="52">
        <v>0.4</v>
      </c>
    </row>
    <row r="29" spans="1:19" ht="14.45" customHeight="1" x14ac:dyDescent="0.2">
      <c r="A29" s="50" t="s">
        <v>89</v>
      </c>
      <c r="B29" s="52">
        <v>1861.1</v>
      </c>
      <c r="C29" s="52">
        <v>0.3</v>
      </c>
      <c r="D29" s="52">
        <v>2544</v>
      </c>
      <c r="E29" s="52">
        <v>0.3</v>
      </c>
    </row>
    <row r="30" spans="1:19" ht="14.45" customHeight="1" x14ac:dyDescent="0.2">
      <c r="A30" s="50" t="s">
        <v>90</v>
      </c>
      <c r="B30" s="52">
        <v>3104.1</v>
      </c>
      <c r="C30" s="52">
        <v>0.5</v>
      </c>
      <c r="D30" s="52">
        <v>4659.8999999999996</v>
      </c>
      <c r="E30" s="52">
        <v>0.5</v>
      </c>
    </row>
    <row r="31" spans="1:19" ht="14.45" customHeight="1" x14ac:dyDescent="0.2">
      <c r="A31" s="50" t="s">
        <v>91</v>
      </c>
      <c r="B31" s="52">
        <v>7439.6</v>
      </c>
      <c r="C31" s="52">
        <v>1.3</v>
      </c>
      <c r="D31" s="52">
        <v>11333.7</v>
      </c>
      <c r="E31" s="52">
        <v>1.2</v>
      </c>
    </row>
    <row r="32" spans="1:19" ht="14.45" customHeight="1" x14ac:dyDescent="0.2">
      <c r="A32" s="50" t="s">
        <v>92</v>
      </c>
      <c r="B32" s="52">
        <v>12836</v>
      </c>
      <c r="C32" s="52">
        <v>2.2000000000000002</v>
      </c>
      <c r="D32" s="52">
        <v>16678.900000000001</v>
      </c>
      <c r="E32" s="52">
        <v>1.8</v>
      </c>
    </row>
    <row r="33" spans="1:5" ht="14.45" customHeight="1" x14ac:dyDescent="0.2">
      <c r="A33" s="50" t="s">
        <v>93</v>
      </c>
      <c r="B33" s="52">
        <v>4709.3</v>
      </c>
      <c r="C33" s="52">
        <v>0.8</v>
      </c>
      <c r="D33" s="52">
        <v>8407.1</v>
      </c>
      <c r="E33" s="52">
        <v>0.9</v>
      </c>
    </row>
    <row r="34" spans="1:5" ht="14.45" customHeight="1" x14ac:dyDescent="0.2">
      <c r="A34" s="50" t="s">
        <v>94</v>
      </c>
      <c r="B34" s="52">
        <v>952.9</v>
      </c>
      <c r="C34" s="52">
        <v>0.2</v>
      </c>
      <c r="D34" s="52">
        <v>1489.3</v>
      </c>
      <c r="E34" s="52">
        <v>0.2</v>
      </c>
    </row>
    <row r="35" spans="1:5" ht="14.45" customHeight="1" x14ac:dyDescent="0.2">
      <c r="A35" s="50" t="s">
        <v>95</v>
      </c>
      <c r="B35" s="52">
        <v>6016.6</v>
      </c>
      <c r="C35" s="52">
        <v>1</v>
      </c>
      <c r="D35" s="52">
        <v>7785.9</v>
      </c>
      <c r="E35" s="52">
        <v>0.8</v>
      </c>
    </row>
    <row r="36" spans="1:5" ht="14.45" customHeight="1" x14ac:dyDescent="0.2">
      <c r="A36" s="50" t="s">
        <v>96</v>
      </c>
      <c r="B36" s="52">
        <v>11568.2</v>
      </c>
      <c r="C36" s="52">
        <v>2</v>
      </c>
      <c r="D36" s="52">
        <v>17101</v>
      </c>
      <c r="E36" s="52">
        <v>1.9</v>
      </c>
    </row>
    <row r="37" spans="1:5" ht="14.45" customHeight="1" x14ac:dyDescent="0.2">
      <c r="A37" s="50" t="s">
        <v>97</v>
      </c>
      <c r="B37" s="52">
        <v>9513.9</v>
      </c>
      <c r="C37" s="52">
        <v>1.6</v>
      </c>
      <c r="D37" s="52">
        <v>12941.5</v>
      </c>
      <c r="E37" s="52">
        <v>1.4</v>
      </c>
    </row>
    <row r="38" spans="1:5" ht="14.45" customHeight="1" x14ac:dyDescent="0.2">
      <c r="A38" s="50" t="s">
        <v>98</v>
      </c>
      <c r="B38" s="52">
        <v>5421.8</v>
      </c>
      <c r="C38" s="52">
        <v>0.9</v>
      </c>
      <c r="D38" s="52">
        <v>7513.4</v>
      </c>
      <c r="E38" s="52">
        <v>0.8</v>
      </c>
    </row>
    <row r="39" spans="1:5" ht="14.45" customHeight="1" x14ac:dyDescent="0.2">
      <c r="A39" s="50" t="s">
        <v>99</v>
      </c>
      <c r="B39" s="52">
        <v>8748.2999999999993</v>
      </c>
      <c r="C39" s="52">
        <v>1.5</v>
      </c>
      <c r="D39" s="52">
        <v>11611.8</v>
      </c>
      <c r="E39" s="52">
        <v>1.3</v>
      </c>
    </row>
    <row r="40" spans="1:5" ht="14.45" customHeight="1" x14ac:dyDescent="0.2">
      <c r="A40" s="50" t="s">
        <v>100</v>
      </c>
      <c r="B40" s="52">
        <v>9843</v>
      </c>
      <c r="C40" s="52">
        <v>1.7</v>
      </c>
      <c r="D40" s="52">
        <v>13328.1</v>
      </c>
      <c r="E40" s="52">
        <v>1.4</v>
      </c>
    </row>
    <row r="41" spans="1:5" ht="14.45" customHeight="1" x14ac:dyDescent="0.2">
      <c r="A41" s="51" t="s">
        <v>101</v>
      </c>
      <c r="B41" s="53">
        <v>7405.2</v>
      </c>
      <c r="C41" s="56">
        <v>1.2</v>
      </c>
      <c r="D41" s="53">
        <v>10552.6</v>
      </c>
      <c r="E41" s="56">
        <v>1.1000000000000001</v>
      </c>
    </row>
    <row r="42" spans="1:5" ht="14.45" customHeight="1" x14ac:dyDescent="0.2">
      <c r="A42" s="54" t="s">
        <v>46</v>
      </c>
      <c r="B42" s="52">
        <v>12121.2</v>
      </c>
      <c r="C42" s="52">
        <v>2</v>
      </c>
      <c r="D42" s="52">
        <v>19378.900000000001</v>
      </c>
      <c r="E42" s="52">
        <v>2.1</v>
      </c>
    </row>
    <row r="43" spans="1:5" ht="14.45" customHeight="1" x14ac:dyDescent="0.2">
      <c r="A43" s="50" t="s">
        <v>102</v>
      </c>
      <c r="B43" s="52">
        <v>3593.2</v>
      </c>
      <c r="C43" s="52">
        <v>0.6</v>
      </c>
      <c r="D43" s="52">
        <v>4434.8999999999996</v>
      </c>
      <c r="E43" s="52">
        <v>0.5</v>
      </c>
    </row>
    <row r="44" spans="1:5" ht="14.45" customHeight="1" x14ac:dyDescent="0.2">
      <c r="A44" s="50" t="s">
        <v>103</v>
      </c>
      <c r="B44" s="52">
        <v>11288.4</v>
      </c>
      <c r="C44" s="52">
        <v>1.9</v>
      </c>
      <c r="D44" s="52">
        <v>15585.3</v>
      </c>
      <c r="E44" s="52">
        <v>1.7</v>
      </c>
    </row>
    <row r="45" spans="1:5" ht="14.45" customHeight="1" x14ac:dyDescent="0.2">
      <c r="A45" s="50" t="s">
        <v>104</v>
      </c>
      <c r="B45" s="52">
        <v>13822.8</v>
      </c>
      <c r="C45" s="52">
        <v>2.2999999999999998</v>
      </c>
      <c r="D45" s="52">
        <v>24312</v>
      </c>
      <c r="E45" s="52">
        <v>2.6</v>
      </c>
    </row>
    <row r="46" spans="1:5" ht="14.45" customHeight="1" x14ac:dyDescent="0.2">
      <c r="A46" s="50" t="s">
        <v>105</v>
      </c>
      <c r="B46" s="52">
        <v>1816.8</v>
      </c>
      <c r="C46" s="52">
        <v>0.3</v>
      </c>
      <c r="D46" s="52">
        <v>2679</v>
      </c>
      <c r="E46" s="52">
        <v>0.3</v>
      </c>
    </row>
    <row r="47" spans="1:5" ht="14.45" customHeight="1" x14ac:dyDescent="0.2">
      <c r="A47" s="50" t="s">
        <v>106</v>
      </c>
      <c r="B47" s="52">
        <v>657.5</v>
      </c>
      <c r="C47" s="52">
        <v>0.1</v>
      </c>
      <c r="D47" s="52">
        <v>1022</v>
      </c>
      <c r="E47" s="52">
        <v>0.1</v>
      </c>
    </row>
    <row r="48" spans="1:5" ht="14.45" customHeight="1" x14ac:dyDescent="0.2">
      <c r="A48" s="50" t="s">
        <v>47</v>
      </c>
      <c r="B48" s="52">
        <v>533.1</v>
      </c>
      <c r="C48" s="52">
        <v>0.1</v>
      </c>
      <c r="D48" s="52">
        <v>913.1</v>
      </c>
      <c r="E48" s="52">
        <v>0.1</v>
      </c>
    </row>
    <row r="49" spans="1:5" ht="14.45" customHeight="1" x14ac:dyDescent="0.2">
      <c r="A49" s="50" t="s">
        <v>107</v>
      </c>
      <c r="B49" s="52">
        <v>414</v>
      </c>
      <c r="C49" s="52">
        <v>0.1</v>
      </c>
      <c r="D49" s="52">
        <v>890.4</v>
      </c>
      <c r="E49" s="52">
        <v>0.1</v>
      </c>
    </row>
    <row r="50" spans="1:5" ht="14.45" customHeight="1" x14ac:dyDescent="0.2">
      <c r="A50" s="49" t="s">
        <v>52</v>
      </c>
      <c r="B50" s="52">
        <v>14994.5</v>
      </c>
      <c r="C50" s="52">
        <v>2.5</v>
      </c>
      <c r="D50" s="52">
        <v>22559.8</v>
      </c>
      <c r="E50" s="52">
        <v>2.5</v>
      </c>
    </row>
    <row r="51" spans="1:5" ht="14.45" customHeight="1" x14ac:dyDescent="0.2">
      <c r="A51" s="50" t="s">
        <v>108</v>
      </c>
      <c r="B51" s="52">
        <v>13303.2</v>
      </c>
      <c r="C51" s="52">
        <v>2.2000000000000002</v>
      </c>
      <c r="D51" s="52">
        <v>19112.2</v>
      </c>
      <c r="E51" s="52">
        <v>2.1</v>
      </c>
    </row>
    <row r="52" spans="1:5" ht="14.45" customHeight="1" x14ac:dyDescent="0.2">
      <c r="A52" s="50" t="s">
        <v>109</v>
      </c>
      <c r="B52" s="52">
        <v>805.4</v>
      </c>
      <c r="C52" s="52">
        <v>0.1</v>
      </c>
      <c r="D52" s="52">
        <v>1597.8</v>
      </c>
      <c r="E52" s="52">
        <v>0.2</v>
      </c>
    </row>
    <row r="53" spans="1:5" ht="14.45" customHeight="1" x14ac:dyDescent="0.2">
      <c r="A53" s="50" t="s">
        <v>110</v>
      </c>
      <c r="B53" s="52">
        <v>885.9</v>
      </c>
      <c r="C53" s="52">
        <v>0.1</v>
      </c>
      <c r="D53" s="52">
        <v>1849.8</v>
      </c>
      <c r="E53" s="52">
        <v>0.2</v>
      </c>
    </row>
    <row r="54" spans="1:5" ht="14.45" customHeight="1" x14ac:dyDescent="0.2">
      <c r="A54" s="49" t="s">
        <v>53</v>
      </c>
      <c r="B54" s="52">
        <v>40896.800000000003</v>
      </c>
      <c r="C54" s="52">
        <v>6.9</v>
      </c>
      <c r="D54" s="52">
        <v>65493</v>
      </c>
      <c r="E54" s="52">
        <v>7.1</v>
      </c>
    </row>
    <row r="55" spans="1:5" ht="14.45" customHeight="1" x14ac:dyDescent="0.2">
      <c r="A55" s="50" t="s">
        <v>111</v>
      </c>
      <c r="B55" s="52">
        <v>25719.599999999999</v>
      </c>
      <c r="C55" s="52">
        <v>4.3</v>
      </c>
      <c r="D55" s="52">
        <v>38489.9</v>
      </c>
      <c r="E55" s="52">
        <v>4.2</v>
      </c>
    </row>
    <row r="56" spans="1:5" ht="14.45" customHeight="1" x14ac:dyDescent="0.2">
      <c r="A56" s="50" t="s">
        <v>112</v>
      </c>
      <c r="B56" s="52">
        <v>8410.1</v>
      </c>
      <c r="C56" s="52">
        <v>1.4</v>
      </c>
      <c r="D56" s="52">
        <v>15789.8</v>
      </c>
      <c r="E56" s="52">
        <v>1.7</v>
      </c>
    </row>
    <row r="57" spans="1:5" ht="14.45" customHeight="1" x14ac:dyDescent="0.2">
      <c r="A57" s="50" t="s">
        <v>113</v>
      </c>
      <c r="B57" s="52">
        <v>2561.1</v>
      </c>
      <c r="C57" s="52">
        <v>0.4</v>
      </c>
      <c r="D57" s="52">
        <v>4840.8999999999996</v>
      </c>
      <c r="E57" s="52">
        <v>0.5</v>
      </c>
    </row>
    <row r="58" spans="1:5" ht="14.45" customHeight="1" x14ac:dyDescent="0.2">
      <c r="A58" s="50" t="s">
        <v>114</v>
      </c>
      <c r="B58" s="52">
        <v>4206</v>
      </c>
      <c r="C58" s="52">
        <v>0.7</v>
      </c>
      <c r="D58" s="52">
        <v>6372.5</v>
      </c>
      <c r="E58" s="52">
        <v>0.7</v>
      </c>
    </row>
    <row r="59" spans="1:5" ht="14.45" customHeight="1" x14ac:dyDescent="0.2">
      <c r="A59" s="49" t="s">
        <v>54</v>
      </c>
      <c r="B59" s="52">
        <v>56288.9</v>
      </c>
      <c r="C59" s="52">
        <v>9.5</v>
      </c>
      <c r="D59" s="52">
        <v>88903.7</v>
      </c>
      <c r="E59" s="52">
        <v>9.6999999999999993</v>
      </c>
    </row>
    <row r="60" spans="1:5" ht="14.45" customHeight="1" x14ac:dyDescent="0.2">
      <c r="A60" s="50" t="s">
        <v>115</v>
      </c>
      <c r="B60" s="52">
        <v>32687.1</v>
      </c>
      <c r="C60" s="52">
        <v>5.5</v>
      </c>
      <c r="D60" s="52">
        <v>48702.5</v>
      </c>
      <c r="E60" s="52">
        <v>5.3</v>
      </c>
    </row>
    <row r="61" spans="1:5" ht="14.45" customHeight="1" x14ac:dyDescent="0.2">
      <c r="A61" s="50" t="s">
        <v>116</v>
      </c>
      <c r="B61" s="52">
        <v>23601.8</v>
      </c>
      <c r="C61" s="52">
        <v>4</v>
      </c>
      <c r="D61" s="52">
        <v>40201.300000000003</v>
      </c>
      <c r="E61" s="52">
        <v>4.4000000000000004</v>
      </c>
    </row>
    <row r="62" spans="1:5" ht="14.45" customHeight="1" x14ac:dyDescent="0.2">
      <c r="A62" s="49" t="s">
        <v>55</v>
      </c>
      <c r="B62" s="52">
        <v>26042.7</v>
      </c>
      <c r="C62" s="52">
        <v>4.4000000000000004</v>
      </c>
      <c r="D62" s="52">
        <v>40337.199999999997</v>
      </c>
      <c r="E62" s="52">
        <v>4.4000000000000004</v>
      </c>
    </row>
    <row r="63" spans="1:5" ht="14.45" customHeight="1" x14ac:dyDescent="0.2">
      <c r="A63" s="50" t="s">
        <v>117</v>
      </c>
      <c r="B63" s="52">
        <v>3545.5</v>
      </c>
      <c r="C63" s="52">
        <v>0.6</v>
      </c>
      <c r="D63" s="52">
        <v>5878.6</v>
      </c>
      <c r="E63" s="52">
        <v>0.6</v>
      </c>
    </row>
    <row r="64" spans="1:5" ht="14.45" customHeight="1" x14ac:dyDescent="0.2">
      <c r="A64" s="50" t="s">
        <v>118</v>
      </c>
      <c r="B64" s="52">
        <v>14459.1</v>
      </c>
      <c r="C64" s="52">
        <v>2.4</v>
      </c>
      <c r="D64" s="52">
        <v>22390.6</v>
      </c>
      <c r="E64" s="52">
        <v>2.4</v>
      </c>
    </row>
    <row r="65" spans="1:5" ht="14.45" customHeight="1" x14ac:dyDescent="0.2">
      <c r="A65" s="50" t="s">
        <v>119</v>
      </c>
      <c r="B65" s="52">
        <v>1689.9</v>
      </c>
      <c r="C65" s="52">
        <v>0.3</v>
      </c>
      <c r="D65" s="52">
        <v>2174.3000000000002</v>
      </c>
      <c r="E65" s="52">
        <v>0.2</v>
      </c>
    </row>
    <row r="66" spans="1:5" ht="14.45" customHeight="1" x14ac:dyDescent="0.2">
      <c r="A66" s="50" t="s">
        <v>120</v>
      </c>
      <c r="B66" s="52">
        <v>1467.7</v>
      </c>
      <c r="C66" s="52">
        <v>0.2</v>
      </c>
      <c r="D66" s="52">
        <v>2202.3000000000002</v>
      </c>
      <c r="E66" s="52">
        <v>0.2</v>
      </c>
    </row>
    <row r="67" spans="1:5" ht="14.45" customHeight="1" x14ac:dyDescent="0.2">
      <c r="A67" s="50" t="s">
        <v>121</v>
      </c>
      <c r="B67" s="52">
        <v>399.5</v>
      </c>
      <c r="C67" s="52">
        <v>0.1</v>
      </c>
      <c r="D67" s="52">
        <v>804.7</v>
      </c>
      <c r="E67" s="52">
        <v>0.1</v>
      </c>
    </row>
    <row r="68" spans="1:5" ht="14.45" customHeight="1" x14ac:dyDescent="0.2">
      <c r="A68" s="50" t="s">
        <v>122</v>
      </c>
      <c r="B68" s="52">
        <v>1484.2</v>
      </c>
      <c r="C68" s="52">
        <v>0.3</v>
      </c>
      <c r="D68" s="52">
        <v>1941.3</v>
      </c>
      <c r="E68" s="52">
        <v>0.2</v>
      </c>
    </row>
    <row r="69" spans="1:5" ht="14.45" customHeight="1" x14ac:dyDescent="0.2">
      <c r="A69" s="50" t="s">
        <v>123</v>
      </c>
      <c r="B69" s="52">
        <v>1687.5</v>
      </c>
      <c r="C69" s="52">
        <v>0.3</v>
      </c>
      <c r="D69" s="52">
        <v>2548.3000000000002</v>
      </c>
      <c r="E69" s="52">
        <v>0.3</v>
      </c>
    </row>
    <row r="70" spans="1:5" ht="14.45" customHeight="1" x14ac:dyDescent="0.2">
      <c r="A70" s="50" t="s">
        <v>124</v>
      </c>
      <c r="B70" s="52">
        <v>1309.2</v>
      </c>
      <c r="C70" s="52">
        <v>0.2</v>
      </c>
      <c r="D70" s="52">
        <v>2397.1</v>
      </c>
      <c r="E70" s="52">
        <v>0.3</v>
      </c>
    </row>
    <row r="71" spans="1:5" ht="14.45" customHeight="1" x14ac:dyDescent="0.2">
      <c r="A71" s="49" t="s">
        <v>56</v>
      </c>
      <c r="B71" s="52">
        <v>10228.299999999999</v>
      </c>
      <c r="C71" s="52">
        <v>1.7</v>
      </c>
      <c r="D71" s="52">
        <v>16520.599999999999</v>
      </c>
      <c r="E71" s="52">
        <v>1.8</v>
      </c>
    </row>
    <row r="72" spans="1:5" ht="14.45" customHeight="1" x14ac:dyDescent="0.2">
      <c r="A72" s="50" t="s">
        <v>125</v>
      </c>
      <c r="B72" s="52">
        <v>2187</v>
      </c>
      <c r="C72" s="52">
        <v>0.4</v>
      </c>
      <c r="D72" s="52">
        <v>3333.7</v>
      </c>
      <c r="E72" s="52">
        <v>0.4</v>
      </c>
    </row>
    <row r="73" spans="1:5" ht="14.45" customHeight="1" x14ac:dyDescent="0.2">
      <c r="A73" s="50" t="s">
        <v>126</v>
      </c>
      <c r="B73" s="52">
        <v>8041.3</v>
      </c>
      <c r="C73" s="52">
        <v>1.4</v>
      </c>
      <c r="D73" s="52">
        <v>13186.9</v>
      </c>
      <c r="E73" s="52">
        <v>1.4</v>
      </c>
    </row>
    <row r="74" spans="1:5" ht="14.45" customHeight="1" x14ac:dyDescent="0.2">
      <c r="A74" s="49" t="s">
        <v>57</v>
      </c>
      <c r="B74" s="52">
        <v>13729.7</v>
      </c>
      <c r="C74" s="52">
        <v>2.2999999999999998</v>
      </c>
      <c r="D74" s="52">
        <v>28733.5</v>
      </c>
      <c r="E74" s="52">
        <v>3.1</v>
      </c>
    </row>
    <row r="75" spans="1:5" ht="14.45" customHeight="1" x14ac:dyDescent="0.2">
      <c r="A75" s="50" t="s">
        <v>127</v>
      </c>
      <c r="B75" s="52">
        <v>7729.9</v>
      </c>
      <c r="C75" s="52">
        <v>1.3</v>
      </c>
      <c r="D75" s="52">
        <v>10976.4</v>
      </c>
      <c r="E75" s="52">
        <v>1.2</v>
      </c>
    </row>
    <row r="76" spans="1:5" ht="14.45" customHeight="1" x14ac:dyDescent="0.2">
      <c r="A76" s="50" t="s">
        <v>128</v>
      </c>
      <c r="B76" s="52">
        <v>1428.4</v>
      </c>
      <c r="C76" s="52">
        <v>0.2</v>
      </c>
      <c r="D76" s="52">
        <v>5208.8999999999996</v>
      </c>
      <c r="E76" s="52">
        <v>0.6</v>
      </c>
    </row>
    <row r="77" spans="1:5" ht="14.45" customHeight="1" x14ac:dyDescent="0.2">
      <c r="A77" s="50" t="s">
        <v>129</v>
      </c>
      <c r="B77" s="52">
        <v>4571.3</v>
      </c>
      <c r="C77" s="52">
        <v>0.8</v>
      </c>
      <c r="D77" s="52">
        <v>12548.3</v>
      </c>
      <c r="E77" s="52">
        <v>1.4</v>
      </c>
    </row>
    <row r="78" spans="1:5" ht="14.45" customHeight="1" x14ac:dyDescent="0.2">
      <c r="A78" s="49" t="s">
        <v>58</v>
      </c>
      <c r="B78" s="52">
        <v>41293.4</v>
      </c>
      <c r="C78" s="52">
        <v>7</v>
      </c>
      <c r="D78" s="52">
        <v>70610.3</v>
      </c>
      <c r="E78" s="52">
        <v>7.7</v>
      </c>
    </row>
    <row r="79" spans="1:5" ht="14.45" customHeight="1" x14ac:dyDescent="0.2">
      <c r="A79" s="50" t="s">
        <v>130</v>
      </c>
      <c r="B79" s="52">
        <v>30532.9</v>
      </c>
      <c r="C79" s="52">
        <v>5.0999999999999996</v>
      </c>
      <c r="D79" s="52">
        <v>57314</v>
      </c>
      <c r="E79" s="52">
        <v>6.2</v>
      </c>
    </row>
    <row r="80" spans="1:5" ht="14.45" customHeight="1" x14ac:dyDescent="0.2">
      <c r="A80" s="50" t="s">
        <v>131</v>
      </c>
      <c r="B80" s="52">
        <v>3252.9</v>
      </c>
      <c r="C80" s="52">
        <v>0.5</v>
      </c>
      <c r="D80" s="52">
        <v>3544.9</v>
      </c>
      <c r="E80" s="52">
        <v>0.4</v>
      </c>
    </row>
    <row r="81" spans="1:5" ht="14.45" customHeight="1" x14ac:dyDescent="0.2">
      <c r="A81" s="50" t="s">
        <v>132</v>
      </c>
      <c r="B81" s="52">
        <v>2670.6</v>
      </c>
      <c r="C81" s="52">
        <v>0.5</v>
      </c>
      <c r="D81" s="52">
        <v>7819.5</v>
      </c>
      <c r="E81" s="52">
        <v>0.9</v>
      </c>
    </row>
    <row r="82" spans="1:5" ht="14.45" customHeight="1" x14ac:dyDescent="0.2">
      <c r="A82" s="51" t="s">
        <v>133</v>
      </c>
      <c r="B82" s="53">
        <v>4837</v>
      </c>
      <c r="C82" s="56">
        <v>0.8</v>
      </c>
      <c r="D82" s="53">
        <v>1931.9</v>
      </c>
      <c r="E82" s="56">
        <v>0.2</v>
      </c>
    </row>
    <row r="83" spans="1:5" ht="14.45" customHeight="1" x14ac:dyDescent="0.2">
      <c r="A83" s="48" t="s">
        <v>59</v>
      </c>
      <c r="B83" s="52">
        <v>35340.400000000001</v>
      </c>
      <c r="C83" s="52">
        <v>6</v>
      </c>
      <c r="D83" s="52">
        <v>64623</v>
      </c>
      <c r="E83" s="52">
        <v>7</v>
      </c>
    </row>
    <row r="84" spans="1:5" ht="14.45" customHeight="1" x14ac:dyDescent="0.2">
      <c r="A84" s="50" t="s">
        <v>59</v>
      </c>
      <c r="B84" s="52">
        <v>35340.400000000001</v>
      </c>
      <c r="C84" s="52">
        <v>6</v>
      </c>
      <c r="D84" s="52">
        <v>64623</v>
      </c>
      <c r="E84" s="52">
        <v>7</v>
      </c>
    </row>
    <row r="85" spans="1:5" ht="14.45" customHeight="1" x14ac:dyDescent="0.2">
      <c r="A85" s="50" t="s">
        <v>134</v>
      </c>
      <c r="B85" s="52">
        <v>14886</v>
      </c>
      <c r="C85" s="52">
        <v>2.5</v>
      </c>
      <c r="D85" s="52">
        <v>27411.200000000001</v>
      </c>
      <c r="E85" s="52">
        <v>3</v>
      </c>
    </row>
    <row r="86" spans="1:5" ht="14.45" customHeight="1" x14ac:dyDescent="0.2">
      <c r="A86" s="50" t="s">
        <v>135</v>
      </c>
      <c r="B86" s="52">
        <v>2089.4</v>
      </c>
      <c r="C86" s="52">
        <v>0.4</v>
      </c>
      <c r="D86" s="52">
        <v>4442.1000000000004</v>
      </c>
      <c r="E86" s="52">
        <v>0.5</v>
      </c>
    </row>
    <row r="87" spans="1:5" ht="14.45" customHeight="1" x14ac:dyDescent="0.2">
      <c r="A87" s="50" t="s">
        <v>136</v>
      </c>
      <c r="B87" s="52">
        <v>756</v>
      </c>
      <c r="C87" s="52">
        <v>0.1</v>
      </c>
      <c r="D87" s="52">
        <v>1580.1</v>
      </c>
      <c r="E87" s="52">
        <v>0.2</v>
      </c>
    </row>
    <row r="88" spans="1:5" ht="14.45" customHeight="1" x14ac:dyDescent="0.2">
      <c r="A88" s="50" t="s">
        <v>137</v>
      </c>
      <c r="B88" s="52">
        <v>1149.4000000000001</v>
      </c>
      <c r="C88" s="52">
        <v>0.2</v>
      </c>
      <c r="D88" s="52">
        <v>2620.6999999999998</v>
      </c>
      <c r="E88" s="52">
        <v>0.3</v>
      </c>
    </row>
    <row r="89" spans="1:5" ht="14.45" customHeight="1" x14ac:dyDescent="0.2">
      <c r="A89" s="50" t="s">
        <v>138</v>
      </c>
      <c r="B89" s="52">
        <v>411.6</v>
      </c>
      <c r="C89" s="52">
        <v>0.1</v>
      </c>
      <c r="D89" s="52">
        <v>251.9</v>
      </c>
      <c r="E89" s="52">
        <v>0</v>
      </c>
    </row>
    <row r="90" spans="1:5" ht="14.45" customHeight="1" x14ac:dyDescent="0.2">
      <c r="A90" s="50" t="s">
        <v>139</v>
      </c>
      <c r="B90" s="52">
        <v>16048</v>
      </c>
      <c r="C90" s="52">
        <v>2.7</v>
      </c>
      <c r="D90" s="52">
        <v>28317</v>
      </c>
      <c r="E90" s="52">
        <v>3.1</v>
      </c>
    </row>
    <row r="91" spans="1:5" ht="14.45" customHeight="1" x14ac:dyDescent="0.2">
      <c r="A91" s="49" t="s">
        <v>60</v>
      </c>
      <c r="B91" s="52">
        <v>12904.9</v>
      </c>
      <c r="C91" s="52">
        <v>2.2000000000000002</v>
      </c>
      <c r="D91" s="52">
        <v>29468.5</v>
      </c>
      <c r="E91" s="52">
        <v>3.2</v>
      </c>
    </row>
    <row r="92" spans="1:5" ht="14.45" customHeight="1" x14ac:dyDescent="0.2">
      <c r="A92" s="50" t="s">
        <v>140</v>
      </c>
      <c r="B92" s="52">
        <v>842.1</v>
      </c>
      <c r="C92" s="52">
        <v>0.1</v>
      </c>
      <c r="D92" s="52">
        <v>2541.1</v>
      </c>
      <c r="E92" s="52">
        <v>0.3</v>
      </c>
    </row>
    <row r="93" spans="1:5" ht="14.45" customHeight="1" x14ac:dyDescent="0.2">
      <c r="A93" s="50" t="s">
        <v>141</v>
      </c>
      <c r="B93" s="52">
        <v>12062.9</v>
      </c>
      <c r="C93" s="52">
        <v>2</v>
      </c>
      <c r="D93" s="52">
        <v>26927.4</v>
      </c>
      <c r="E93" s="52">
        <v>2.9</v>
      </c>
    </row>
    <row r="94" spans="1:5" ht="14.45" customHeight="1" x14ac:dyDescent="0.2">
      <c r="A94" s="49" t="s">
        <v>61</v>
      </c>
      <c r="B94" s="52">
        <v>11023.2</v>
      </c>
      <c r="C94" s="52">
        <v>1.9</v>
      </c>
      <c r="D94" s="52">
        <v>20175.3</v>
      </c>
      <c r="E94" s="52">
        <v>2.2000000000000002</v>
      </c>
    </row>
    <row r="95" spans="1:5" ht="14.45" customHeight="1" x14ac:dyDescent="0.2">
      <c r="A95" s="50" t="s">
        <v>142</v>
      </c>
      <c r="B95" s="52">
        <v>1413.4</v>
      </c>
      <c r="C95" s="52">
        <v>0.2</v>
      </c>
      <c r="D95" s="52">
        <v>4922.3999999999996</v>
      </c>
      <c r="E95" s="52">
        <v>0.5</v>
      </c>
    </row>
    <row r="96" spans="1:5" ht="14.45" customHeight="1" x14ac:dyDescent="0.2">
      <c r="A96" s="50" t="s">
        <v>143</v>
      </c>
      <c r="B96" s="52">
        <v>7580.5</v>
      </c>
      <c r="C96" s="52">
        <v>1.3</v>
      </c>
      <c r="D96" s="52">
        <v>11938.5</v>
      </c>
      <c r="E96" s="52">
        <v>1.3</v>
      </c>
    </row>
    <row r="97" spans="1:5" ht="14.45" customHeight="1" x14ac:dyDescent="0.2">
      <c r="A97" s="50" t="s">
        <v>144</v>
      </c>
      <c r="B97" s="52">
        <v>2029.3</v>
      </c>
      <c r="C97" s="52">
        <v>0.3</v>
      </c>
      <c r="D97" s="52">
        <v>3314.4</v>
      </c>
      <c r="E97" s="52">
        <v>0.4</v>
      </c>
    </row>
    <row r="98" spans="1:5" ht="14.45" customHeight="1" x14ac:dyDescent="0.2">
      <c r="A98" s="49" t="s">
        <v>62</v>
      </c>
      <c r="B98" s="52">
        <v>3665.1</v>
      </c>
      <c r="C98" s="52">
        <v>0.6</v>
      </c>
      <c r="D98" s="52">
        <v>5096.1000000000004</v>
      </c>
      <c r="E98" s="52">
        <v>0.6</v>
      </c>
    </row>
    <row r="99" spans="1:5" ht="14.45" customHeight="1" x14ac:dyDescent="0.2">
      <c r="A99" s="50" t="s">
        <v>145</v>
      </c>
      <c r="B99" s="52">
        <v>509.4</v>
      </c>
      <c r="C99" s="52">
        <v>0.1</v>
      </c>
      <c r="D99" s="52">
        <v>715.3</v>
      </c>
      <c r="E99" s="52">
        <v>0.1</v>
      </c>
    </row>
    <row r="100" spans="1:5" ht="14.45" customHeight="1" x14ac:dyDescent="0.2">
      <c r="A100" s="50" t="s">
        <v>146</v>
      </c>
      <c r="B100" s="52">
        <v>368.9</v>
      </c>
      <c r="C100" s="52">
        <v>0.1</v>
      </c>
      <c r="D100" s="52">
        <v>505.8</v>
      </c>
      <c r="E100" s="52">
        <v>0.1</v>
      </c>
    </row>
    <row r="101" spans="1:5" ht="14.45" customHeight="1" x14ac:dyDescent="0.2">
      <c r="A101" s="50" t="s">
        <v>147</v>
      </c>
      <c r="B101" s="52">
        <v>2178</v>
      </c>
      <c r="C101" s="52">
        <v>0.4</v>
      </c>
      <c r="D101" s="52">
        <v>2899.8</v>
      </c>
      <c r="E101" s="52">
        <v>0.3</v>
      </c>
    </row>
    <row r="102" spans="1:5" ht="14.45" customHeight="1" x14ac:dyDescent="0.2">
      <c r="A102" s="50" t="s">
        <v>148</v>
      </c>
      <c r="B102" s="52">
        <v>608.79999999999995</v>
      </c>
      <c r="C102" s="52">
        <v>0.1</v>
      </c>
      <c r="D102" s="52">
        <v>975.1</v>
      </c>
      <c r="E102" s="52">
        <v>0.1</v>
      </c>
    </row>
    <row r="103" spans="1:5" ht="14.45" customHeight="1" x14ac:dyDescent="0.2">
      <c r="A103" s="49" t="s">
        <v>63</v>
      </c>
      <c r="B103" s="52">
        <v>8707.7000000000007</v>
      </c>
      <c r="C103" s="52">
        <v>1.5</v>
      </c>
      <c r="D103" s="52">
        <v>14793.3</v>
      </c>
      <c r="E103" s="52">
        <v>1.6</v>
      </c>
    </row>
    <row r="104" spans="1:5" ht="14.45" customHeight="1" x14ac:dyDescent="0.2">
      <c r="A104" s="50" t="s">
        <v>149</v>
      </c>
      <c r="B104" s="52">
        <v>5165</v>
      </c>
      <c r="C104" s="52">
        <v>0.9</v>
      </c>
      <c r="D104" s="52">
        <v>8986.2999999999993</v>
      </c>
      <c r="E104" s="52">
        <v>1</v>
      </c>
    </row>
    <row r="105" spans="1:5" ht="14.45" customHeight="1" x14ac:dyDescent="0.2">
      <c r="A105" s="50" t="s">
        <v>150</v>
      </c>
      <c r="B105" s="52">
        <v>2616.1</v>
      </c>
      <c r="C105" s="52">
        <v>0.4</v>
      </c>
      <c r="D105" s="52">
        <v>4597.5</v>
      </c>
      <c r="E105" s="52">
        <v>0.5</v>
      </c>
    </row>
    <row r="106" spans="1:5" ht="14.45" customHeight="1" x14ac:dyDescent="0.2">
      <c r="A106" s="50" t="s">
        <v>151</v>
      </c>
      <c r="B106" s="52">
        <v>926.6</v>
      </c>
      <c r="C106" s="52">
        <v>0.2</v>
      </c>
      <c r="D106" s="52">
        <v>1209.5</v>
      </c>
      <c r="E106" s="52">
        <v>0.1</v>
      </c>
    </row>
    <row r="107" spans="1:5" ht="14.45" customHeight="1" x14ac:dyDescent="0.2">
      <c r="A107" s="49" t="s">
        <v>41</v>
      </c>
      <c r="B107" s="52">
        <v>18951.400000000001</v>
      </c>
      <c r="C107" s="52">
        <v>3.2</v>
      </c>
      <c r="D107" s="52">
        <v>34001.4</v>
      </c>
      <c r="E107" s="52">
        <v>3.7</v>
      </c>
    </row>
    <row r="108" spans="1:5" ht="14.45" customHeight="1" x14ac:dyDescent="0.2">
      <c r="A108" s="50" t="s">
        <v>41</v>
      </c>
      <c r="B108" s="52">
        <v>18951.400000000001</v>
      </c>
      <c r="C108" s="52">
        <v>3.2</v>
      </c>
      <c r="D108" s="52">
        <v>34001.4</v>
      </c>
      <c r="E108" s="52">
        <v>3.7</v>
      </c>
    </row>
    <row r="109" spans="1:5" ht="14.45" customHeight="1" x14ac:dyDescent="0.2">
      <c r="A109" s="49" t="s">
        <v>42</v>
      </c>
      <c r="B109" s="52">
        <v>11034.4</v>
      </c>
      <c r="C109" s="52">
        <v>1.9</v>
      </c>
      <c r="D109" s="52">
        <v>20652.599999999999</v>
      </c>
      <c r="E109" s="52">
        <v>2.2000000000000002</v>
      </c>
    </row>
    <row r="110" spans="1:5" ht="14.45" customHeight="1" x14ac:dyDescent="0.2">
      <c r="A110" s="50" t="s">
        <v>152</v>
      </c>
      <c r="B110" s="52">
        <v>10655.8</v>
      </c>
      <c r="C110" s="52">
        <v>1.8</v>
      </c>
      <c r="D110" s="52">
        <v>19848.599999999999</v>
      </c>
      <c r="E110" s="52">
        <v>2.2000000000000002</v>
      </c>
    </row>
    <row r="111" spans="1:5" ht="14.45" customHeight="1" x14ac:dyDescent="0.2">
      <c r="A111" s="50" t="s">
        <v>153</v>
      </c>
      <c r="B111" s="52">
        <v>378.7</v>
      </c>
      <c r="C111" s="52">
        <v>0.1</v>
      </c>
      <c r="D111" s="52">
        <v>804</v>
      </c>
      <c r="E111" s="52">
        <v>0.1</v>
      </c>
    </row>
    <row r="112" spans="1:5" ht="14.45" customHeight="1" x14ac:dyDescent="0.2">
      <c r="A112" s="49" t="s">
        <v>64</v>
      </c>
      <c r="B112" s="52">
        <v>4137.8999999999996</v>
      </c>
      <c r="C112" s="52">
        <v>0.7</v>
      </c>
      <c r="D112" s="52">
        <v>7301.3</v>
      </c>
      <c r="E112" s="52">
        <v>0.8</v>
      </c>
    </row>
    <row r="113" spans="1:5" ht="14.45" customHeight="1" x14ac:dyDescent="0.2">
      <c r="A113" s="50" t="s">
        <v>154</v>
      </c>
      <c r="B113" s="52">
        <v>698.3</v>
      </c>
      <c r="C113" s="52">
        <v>0.1</v>
      </c>
      <c r="D113" s="52">
        <v>752.9</v>
      </c>
      <c r="E113" s="52">
        <v>0.1</v>
      </c>
    </row>
    <row r="114" spans="1:5" ht="14.45" customHeight="1" x14ac:dyDescent="0.2">
      <c r="A114" s="50" t="s">
        <v>155</v>
      </c>
      <c r="B114" s="52">
        <v>1014.6</v>
      </c>
      <c r="C114" s="52">
        <v>0.2</v>
      </c>
      <c r="D114" s="52">
        <v>1269.5</v>
      </c>
      <c r="E114" s="52">
        <v>0.1</v>
      </c>
    </row>
    <row r="115" spans="1:5" ht="14.45" customHeight="1" x14ac:dyDescent="0.2">
      <c r="A115" s="50" t="s">
        <v>156</v>
      </c>
      <c r="B115" s="52">
        <v>740</v>
      </c>
      <c r="C115" s="52">
        <v>0.1</v>
      </c>
      <c r="D115" s="52">
        <v>1452.3</v>
      </c>
      <c r="E115" s="52">
        <v>0.2</v>
      </c>
    </row>
    <row r="116" spans="1:5" ht="14.45" customHeight="1" x14ac:dyDescent="0.2">
      <c r="A116" s="50" t="s">
        <v>157</v>
      </c>
      <c r="B116" s="52">
        <v>257.39999999999998</v>
      </c>
      <c r="C116" s="52">
        <v>0</v>
      </c>
      <c r="D116" s="52">
        <v>891.5</v>
      </c>
      <c r="E116" s="52">
        <v>0.1</v>
      </c>
    </row>
    <row r="117" spans="1:5" ht="14.45" customHeight="1" x14ac:dyDescent="0.2">
      <c r="A117" s="50" t="s">
        <v>158</v>
      </c>
      <c r="B117" s="52">
        <v>1427.6</v>
      </c>
      <c r="C117" s="52">
        <v>0.2</v>
      </c>
      <c r="D117" s="52">
        <v>2935.2</v>
      </c>
      <c r="E117" s="52">
        <v>0.3</v>
      </c>
    </row>
    <row r="118" spans="1:5" ht="14.45" customHeight="1" x14ac:dyDescent="0.2">
      <c r="A118" s="55" t="s">
        <v>44</v>
      </c>
      <c r="B118" s="53">
        <v>21693</v>
      </c>
      <c r="C118" s="56">
        <v>3.7</v>
      </c>
      <c r="D118" s="53">
        <v>43923.1</v>
      </c>
      <c r="E118" s="56">
        <v>4.8</v>
      </c>
    </row>
  </sheetData>
  <mergeCells count="3">
    <mergeCell ref="A1:A2"/>
    <mergeCell ref="D1:E1"/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增加值 (2001-2060, 2012USD)</vt:lpstr>
      <vt:lpstr>增加值 (2001-2060, 2020RMB)</vt:lpstr>
      <vt:lpstr>增加值 (2001-2022, 当年价) </vt:lpstr>
      <vt:lpstr>情景假设</vt:lpstr>
      <vt:lpstr>平滑数据导入</vt:lpstr>
      <vt:lpstr>统计资料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cjwdllj@163.com</cp:lastModifiedBy>
  <dcterms:created xsi:type="dcterms:W3CDTF">2023-02-16T02:08:39Z</dcterms:created>
  <dcterms:modified xsi:type="dcterms:W3CDTF">2024-07-18T09:33:18Z</dcterms:modified>
</cp:coreProperties>
</file>