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1.0 自下而上\Low Scenario\"/>
    </mc:Choice>
  </mc:AlternateContent>
  <xr:revisionPtr revIDLastSave="0" documentId="13_ncr:1_{3051E6AF-E487-451D-883C-157C9748260E}" xr6:coauthVersionLast="47" xr6:coauthVersionMax="47" xr10:uidLastSave="{00000000-0000-0000-0000-000000000000}"/>
  <bookViews>
    <workbookView xWindow="-120" yWindow="-120" windowWidth="29040" windowHeight="15720" activeTab="1" xr2:uid="{B0B8F9C0-F637-4B7A-B87F-74471961ED9F}"/>
  </bookViews>
  <sheets>
    <sheet name="增加值 (2001-2060, 2012USD)" sheetId="13" r:id="rId1"/>
    <sheet name="增加值 (2001-2060, 2020RMB)" sheetId="10" r:id="rId2"/>
    <sheet name="增加值 (2001-2022, 当年价) " sheetId="19" r:id="rId3"/>
    <sheet name="情景假设" sheetId="12" r:id="rId4"/>
    <sheet name="平滑数据导入" sheetId="17" r:id="rId5"/>
    <sheet name="统计资料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7" i="12" l="1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5" i="12" l="1"/>
  <c r="C124" i="12"/>
  <c r="C126" i="12"/>
  <c r="C123" i="12"/>
  <c r="K62" i="13" l="1"/>
  <c r="L62" i="13"/>
  <c r="M62" i="13"/>
  <c r="N62" i="13"/>
  <c r="O62" i="13"/>
  <c r="P62" i="13"/>
  <c r="Q62" i="13"/>
  <c r="R62" i="13"/>
  <c r="S62" i="13"/>
  <c r="T62" i="13"/>
  <c r="U62" i="13"/>
  <c r="V62" i="13"/>
  <c r="W62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B57" i="13"/>
  <c r="B58" i="13"/>
  <c r="B59" i="13"/>
  <c r="B60" i="13"/>
  <c r="B61" i="13"/>
  <c r="B56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B13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B3" i="13"/>
  <c r="B4" i="13"/>
  <c r="B5" i="13"/>
  <c r="B6" i="13"/>
  <c r="B7" i="13"/>
  <c r="B8" i="13"/>
  <c r="B9" i="13"/>
  <c r="B10" i="13"/>
  <c r="B11" i="13"/>
  <c r="B2" i="13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47" i="12"/>
  <c r="C47" i="12"/>
  <c r="C48" i="12"/>
  <c r="K48" i="12" s="1"/>
  <c r="C49" i="12"/>
  <c r="J49" i="12" s="1"/>
  <c r="C50" i="12"/>
  <c r="L50" i="12" s="1"/>
  <c r="C51" i="12"/>
  <c r="C52" i="12"/>
  <c r="C53" i="12"/>
  <c r="C54" i="12"/>
  <c r="L54" i="12" s="1"/>
  <c r="C55" i="12"/>
  <c r="M55" i="12" s="1"/>
  <c r="C56" i="12"/>
  <c r="J56" i="12" s="1"/>
  <c r="C57" i="12"/>
  <c r="C58" i="12"/>
  <c r="L58" i="12" s="1"/>
  <c r="C59" i="12"/>
  <c r="C60" i="12"/>
  <c r="C61" i="12"/>
  <c r="C62" i="12"/>
  <c r="L62" i="12" s="1"/>
  <c r="C63" i="12"/>
  <c r="M63" i="12" s="1"/>
  <c r="C64" i="12"/>
  <c r="J64" i="12" s="1"/>
  <c r="C65" i="12"/>
  <c r="C66" i="12"/>
  <c r="L66" i="12" s="1"/>
  <c r="C67" i="12"/>
  <c r="C68" i="12"/>
  <c r="C69" i="12"/>
  <c r="C70" i="12"/>
  <c r="L70" i="12" s="1"/>
  <c r="C71" i="12"/>
  <c r="M71" i="12" s="1"/>
  <c r="C72" i="12"/>
  <c r="J72" i="12" s="1"/>
  <c r="C73" i="12"/>
  <c r="J73" i="12" s="1"/>
  <c r="C74" i="12"/>
  <c r="L74" i="12" s="1"/>
  <c r="C75" i="12"/>
  <c r="C76" i="12"/>
  <c r="C77" i="12"/>
  <c r="C78" i="12"/>
  <c r="L78" i="12" s="1"/>
  <c r="C79" i="12"/>
  <c r="M79" i="12" s="1"/>
  <c r="C80" i="12"/>
  <c r="J80" i="12" s="1"/>
  <c r="C81" i="12"/>
  <c r="J81" i="12" s="1"/>
  <c r="C82" i="12"/>
  <c r="L82" i="12" s="1"/>
  <c r="C83" i="12"/>
  <c r="C84" i="12"/>
  <c r="C85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28" i="12"/>
  <c r="C29" i="12"/>
  <c r="J29" i="12" s="1"/>
  <c r="O29" i="12" s="1"/>
  <c r="C30" i="12"/>
  <c r="L30" i="12" s="1"/>
  <c r="C31" i="12"/>
  <c r="L31" i="12" s="1"/>
  <c r="C32" i="12"/>
  <c r="L32" i="12" s="1"/>
  <c r="C33" i="12"/>
  <c r="L33" i="12" s="1"/>
  <c r="C34" i="12"/>
  <c r="L34" i="12" s="1"/>
  <c r="C35" i="12"/>
  <c r="J35" i="12" s="1"/>
  <c r="O35" i="12" s="1"/>
  <c r="C36" i="12"/>
  <c r="L36" i="12" s="1"/>
  <c r="C37" i="12"/>
  <c r="L37" i="12" s="1"/>
  <c r="C38" i="12"/>
  <c r="L38" i="12" s="1"/>
  <c r="C39" i="12"/>
  <c r="K39" i="12" s="1"/>
  <c r="C40" i="12"/>
  <c r="L40" i="12" s="1"/>
  <c r="C41" i="12"/>
  <c r="L41" i="12" s="1"/>
  <c r="C42" i="12"/>
  <c r="L42" i="12" s="1"/>
  <c r="C28" i="12"/>
  <c r="M85" i="12" l="1"/>
  <c r="M77" i="12"/>
  <c r="M69" i="12"/>
  <c r="M61" i="12"/>
  <c r="M53" i="12"/>
  <c r="N38" i="12"/>
  <c r="L84" i="12"/>
  <c r="L76" i="12"/>
  <c r="L68" i="12"/>
  <c r="L60" i="12"/>
  <c r="L52" i="12"/>
  <c r="K37" i="12"/>
  <c r="K29" i="12"/>
  <c r="K82" i="12"/>
  <c r="M83" i="12"/>
  <c r="M75" i="12"/>
  <c r="M67" i="12"/>
  <c r="M59" i="12"/>
  <c r="M51" i="12"/>
  <c r="K60" i="12"/>
  <c r="K41" i="12"/>
  <c r="N30" i="12"/>
  <c r="K84" i="12"/>
  <c r="K62" i="12"/>
  <c r="K78" i="12"/>
  <c r="K58" i="12"/>
  <c r="N36" i="12"/>
  <c r="K76" i="12"/>
  <c r="K54" i="12"/>
  <c r="J38" i="12"/>
  <c r="O38" i="12" s="1"/>
  <c r="K35" i="12"/>
  <c r="K74" i="12"/>
  <c r="K52" i="12"/>
  <c r="J37" i="12"/>
  <c r="O37" i="12" s="1"/>
  <c r="N34" i="12"/>
  <c r="K70" i="12"/>
  <c r="K50" i="12"/>
  <c r="J30" i="12"/>
  <c r="O30" i="12" s="1"/>
  <c r="K33" i="12"/>
  <c r="M81" i="12"/>
  <c r="M73" i="12"/>
  <c r="M65" i="12"/>
  <c r="M57" i="12"/>
  <c r="M49" i="12"/>
  <c r="J65" i="12"/>
  <c r="O65" i="12" s="1"/>
  <c r="K68" i="12"/>
  <c r="N42" i="12"/>
  <c r="K31" i="12"/>
  <c r="J57" i="12"/>
  <c r="K66" i="12"/>
  <c r="J42" i="12"/>
  <c r="O42" i="12" s="1"/>
  <c r="J34" i="12"/>
  <c r="O34" i="12" s="1"/>
  <c r="K42" i="12"/>
  <c r="K40" i="12"/>
  <c r="K38" i="12"/>
  <c r="K36" i="12"/>
  <c r="K34" i="12"/>
  <c r="K32" i="12"/>
  <c r="K30" i="12"/>
  <c r="J78" i="12"/>
  <c r="O78" i="12" s="1"/>
  <c r="J70" i="12"/>
  <c r="O70" i="12" s="1"/>
  <c r="J62" i="12"/>
  <c r="J54" i="12"/>
  <c r="O54" i="12" s="1"/>
  <c r="L85" i="12"/>
  <c r="L83" i="12"/>
  <c r="L81" i="12"/>
  <c r="L79" i="12"/>
  <c r="L77" i="12"/>
  <c r="L75" i="12"/>
  <c r="L73" i="12"/>
  <c r="L71" i="12"/>
  <c r="L69" i="12"/>
  <c r="L67" i="12"/>
  <c r="L65" i="12"/>
  <c r="L63" i="12"/>
  <c r="L61" i="12"/>
  <c r="L59" i="12"/>
  <c r="L57" i="12"/>
  <c r="L55" i="12"/>
  <c r="L53" i="12"/>
  <c r="L51" i="12"/>
  <c r="L49" i="12"/>
  <c r="N40" i="12"/>
  <c r="N32" i="12"/>
  <c r="K72" i="12"/>
  <c r="K64" i="12"/>
  <c r="J41" i="12"/>
  <c r="O41" i="12" s="1"/>
  <c r="J33" i="12"/>
  <c r="O33" i="12" s="1"/>
  <c r="N41" i="12"/>
  <c r="N39" i="12"/>
  <c r="N37" i="12"/>
  <c r="N35" i="12"/>
  <c r="N33" i="12"/>
  <c r="N31" i="12"/>
  <c r="N29" i="12"/>
  <c r="J48" i="12"/>
  <c r="O48" i="12" s="1"/>
  <c r="J85" i="12"/>
  <c r="J77" i="12"/>
  <c r="O77" i="12" s="1"/>
  <c r="J69" i="12"/>
  <c r="O69" i="12" s="1"/>
  <c r="J61" i="12"/>
  <c r="O61" i="12" s="1"/>
  <c r="J53" i="12"/>
  <c r="O53" i="12" s="1"/>
  <c r="K85" i="12"/>
  <c r="K83" i="12"/>
  <c r="K81" i="12"/>
  <c r="K79" i="12"/>
  <c r="K77" i="12"/>
  <c r="K75" i="12"/>
  <c r="K73" i="12"/>
  <c r="K71" i="12"/>
  <c r="K69" i="12"/>
  <c r="K67" i="12"/>
  <c r="K65" i="12"/>
  <c r="K63" i="12"/>
  <c r="K61" i="12"/>
  <c r="K59" i="12"/>
  <c r="K57" i="12"/>
  <c r="K55" i="12"/>
  <c r="K53" i="12"/>
  <c r="K51" i="12"/>
  <c r="K49" i="12"/>
  <c r="J40" i="12"/>
  <c r="O40" i="12" s="1"/>
  <c r="J32" i="12"/>
  <c r="O32" i="12" s="1"/>
  <c r="M41" i="12"/>
  <c r="M39" i="12"/>
  <c r="M37" i="12"/>
  <c r="M35" i="12"/>
  <c r="M33" i="12"/>
  <c r="M31" i="12"/>
  <c r="M29" i="12"/>
  <c r="J52" i="12"/>
  <c r="J84" i="12"/>
  <c r="O84" i="12" s="1"/>
  <c r="J76" i="12"/>
  <c r="O76" i="12" s="1"/>
  <c r="J68" i="12"/>
  <c r="O68" i="12" s="1"/>
  <c r="J60" i="12"/>
  <c r="N84" i="12"/>
  <c r="N82" i="12"/>
  <c r="N80" i="12"/>
  <c r="N78" i="12"/>
  <c r="N76" i="12"/>
  <c r="N74" i="12"/>
  <c r="N72" i="12"/>
  <c r="N70" i="12"/>
  <c r="N68" i="12"/>
  <c r="N66" i="12"/>
  <c r="N64" i="12"/>
  <c r="N62" i="12"/>
  <c r="N60" i="12"/>
  <c r="N58" i="12"/>
  <c r="N56" i="12"/>
  <c r="N54" i="12"/>
  <c r="N52" i="12"/>
  <c r="N50" i="12"/>
  <c r="N48" i="12"/>
  <c r="K80" i="12"/>
  <c r="J39" i="12"/>
  <c r="O39" i="12" s="1"/>
  <c r="J31" i="12"/>
  <c r="O31" i="12" s="1"/>
  <c r="L39" i="12"/>
  <c r="L35" i="12"/>
  <c r="L29" i="12"/>
  <c r="J51" i="12"/>
  <c r="O51" i="12" s="1"/>
  <c r="J83" i="12"/>
  <c r="O83" i="12" s="1"/>
  <c r="J75" i="12"/>
  <c r="O75" i="12" s="1"/>
  <c r="J67" i="12"/>
  <c r="O67" i="12" s="1"/>
  <c r="J59" i="12"/>
  <c r="O59" i="12" s="1"/>
  <c r="M84" i="12"/>
  <c r="M82" i="12"/>
  <c r="M80" i="12"/>
  <c r="M78" i="12"/>
  <c r="M76" i="12"/>
  <c r="M74" i="12"/>
  <c r="M72" i="12"/>
  <c r="M70" i="12"/>
  <c r="M68" i="12"/>
  <c r="M66" i="12"/>
  <c r="M64" i="12"/>
  <c r="M62" i="12"/>
  <c r="M60" i="12"/>
  <c r="M58" i="12"/>
  <c r="M56" i="12"/>
  <c r="M54" i="12"/>
  <c r="M52" i="12"/>
  <c r="M50" i="12"/>
  <c r="M48" i="12"/>
  <c r="J50" i="12"/>
  <c r="O50" i="12" s="1"/>
  <c r="J82" i="12"/>
  <c r="O82" i="12" s="1"/>
  <c r="J74" i="12"/>
  <c r="O74" i="12" s="1"/>
  <c r="J66" i="12"/>
  <c r="O66" i="12" s="1"/>
  <c r="J58" i="12"/>
  <c r="O58" i="12" s="1"/>
  <c r="L80" i="12"/>
  <c r="L72" i="12"/>
  <c r="L64" i="12"/>
  <c r="L56" i="12"/>
  <c r="L48" i="12"/>
  <c r="K56" i="12"/>
  <c r="J36" i="12"/>
  <c r="O36" i="12" s="1"/>
  <c r="M42" i="12"/>
  <c r="M40" i="12"/>
  <c r="M38" i="12"/>
  <c r="M36" i="12"/>
  <c r="M34" i="12"/>
  <c r="M32" i="12"/>
  <c r="M30" i="12"/>
  <c r="N85" i="12"/>
  <c r="N83" i="12"/>
  <c r="N81" i="12"/>
  <c r="N79" i="12"/>
  <c r="N77" i="12"/>
  <c r="N75" i="12"/>
  <c r="N73" i="12"/>
  <c r="N71" i="12"/>
  <c r="N69" i="12"/>
  <c r="N67" i="12"/>
  <c r="N65" i="12"/>
  <c r="N63" i="12"/>
  <c r="N61" i="12"/>
  <c r="N59" i="12"/>
  <c r="N57" i="12"/>
  <c r="N55" i="12"/>
  <c r="N53" i="12"/>
  <c r="N51" i="12"/>
  <c r="N49" i="12"/>
  <c r="J79" i="12"/>
  <c r="O79" i="12" s="1"/>
  <c r="J71" i="12"/>
  <c r="O71" i="12" s="1"/>
  <c r="J63" i="12"/>
  <c r="O63" i="12" s="1"/>
  <c r="J55" i="12"/>
  <c r="O55" i="12" s="1"/>
  <c r="O49" i="12"/>
  <c r="O52" i="12"/>
  <c r="O56" i="12"/>
  <c r="O57" i="12"/>
  <c r="O60" i="12"/>
  <c r="O62" i="12"/>
  <c r="O64" i="12"/>
  <c r="O72" i="12"/>
  <c r="O73" i="12"/>
  <c r="O80" i="12"/>
  <c r="O81" i="12"/>
  <c r="O85" i="12"/>
  <c r="C86" i="12"/>
  <c r="C87" i="12"/>
  <c r="C88" i="12"/>
  <c r="C19" i="12"/>
  <c r="C17" i="12"/>
  <c r="C16" i="12"/>
  <c r="C15" i="12"/>
  <c r="B15" i="12" s="1"/>
  <c r="Z6" i="19"/>
  <c r="AA6" i="19"/>
  <c r="Y6" i="19"/>
  <c r="Z3" i="19"/>
  <c r="AA3" i="19"/>
  <c r="Z4" i="19"/>
  <c r="AA4" i="19"/>
  <c r="Z5" i="19"/>
  <c r="AA5" i="19"/>
  <c r="Y4" i="19"/>
  <c r="Y5" i="19"/>
  <c r="Y3" i="19"/>
  <c r="Z2" i="10"/>
  <c r="Z2" i="13" s="1"/>
  <c r="U76" i="10"/>
  <c r="B76" i="10" s="1"/>
  <c r="B77" i="10" s="1"/>
  <c r="V76" i="10"/>
  <c r="V77" i="10" s="1"/>
  <c r="V36" i="10" s="1"/>
  <c r="W75" i="10"/>
  <c r="J76" i="10"/>
  <c r="J77" i="10" s="1"/>
  <c r="P76" i="10"/>
  <c r="P77" i="10" s="1"/>
  <c r="Q76" i="10"/>
  <c r="Q77" i="10" s="1"/>
  <c r="U70" i="19"/>
  <c r="T70" i="19"/>
  <c r="S70" i="19"/>
  <c r="R70" i="19"/>
  <c r="Q70" i="19"/>
  <c r="P70" i="19"/>
  <c r="O70" i="19"/>
  <c r="N70" i="19"/>
  <c r="M70" i="19"/>
  <c r="L70" i="19"/>
  <c r="K70" i="19"/>
  <c r="U69" i="19"/>
  <c r="W69" i="19" s="1"/>
  <c r="T69" i="19"/>
  <c r="S69" i="19"/>
  <c r="R69" i="19"/>
  <c r="Q69" i="19"/>
  <c r="P69" i="19"/>
  <c r="O69" i="19"/>
  <c r="N69" i="19"/>
  <c r="M69" i="19"/>
  <c r="L69" i="19"/>
  <c r="K69" i="19"/>
  <c r="U68" i="19"/>
  <c r="T68" i="19"/>
  <c r="S68" i="19"/>
  <c r="R68" i="19"/>
  <c r="Q68" i="19"/>
  <c r="P68" i="19"/>
  <c r="O68" i="19"/>
  <c r="N68" i="19"/>
  <c r="M68" i="19"/>
  <c r="L68" i="19"/>
  <c r="K68" i="19"/>
  <c r="U67" i="19"/>
  <c r="T67" i="19"/>
  <c r="S67" i="19"/>
  <c r="R67" i="19"/>
  <c r="Q67" i="19"/>
  <c r="P67" i="19"/>
  <c r="O67" i="19"/>
  <c r="N67" i="19"/>
  <c r="M67" i="19"/>
  <c r="L67" i="19"/>
  <c r="K67" i="19"/>
  <c r="U66" i="19"/>
  <c r="T66" i="19"/>
  <c r="S66" i="19"/>
  <c r="R66" i="19"/>
  <c r="Q66" i="19"/>
  <c r="P66" i="19"/>
  <c r="O66" i="19"/>
  <c r="N66" i="19"/>
  <c r="M66" i="19"/>
  <c r="L66" i="19"/>
  <c r="K66" i="19"/>
  <c r="U65" i="19"/>
  <c r="T65" i="19"/>
  <c r="S65" i="19"/>
  <c r="R65" i="19"/>
  <c r="Q65" i="19"/>
  <c r="P65" i="19"/>
  <c r="O65" i="19"/>
  <c r="N65" i="19"/>
  <c r="M65" i="19"/>
  <c r="L65" i="19"/>
  <c r="K65" i="19"/>
  <c r="U64" i="19"/>
  <c r="T64" i="19"/>
  <c r="S64" i="19"/>
  <c r="R64" i="19"/>
  <c r="Q64" i="19"/>
  <c r="P64" i="19"/>
  <c r="O64" i="19"/>
  <c r="N64" i="19"/>
  <c r="M64" i="19"/>
  <c r="L64" i="19"/>
  <c r="K64" i="19"/>
  <c r="U63" i="19"/>
  <c r="T63" i="19"/>
  <c r="S63" i="19"/>
  <c r="R63" i="19"/>
  <c r="Q63" i="19"/>
  <c r="P63" i="19"/>
  <c r="O63" i="19"/>
  <c r="N63" i="19"/>
  <c r="M63" i="19"/>
  <c r="L63" i="19"/>
  <c r="K63" i="19"/>
  <c r="U62" i="19"/>
  <c r="T62" i="19"/>
  <c r="S62" i="19"/>
  <c r="R62" i="19"/>
  <c r="Q62" i="19"/>
  <c r="P62" i="19"/>
  <c r="O62" i="19"/>
  <c r="N62" i="19"/>
  <c r="M62" i="19"/>
  <c r="L62" i="19"/>
  <c r="K62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B60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W57" i="19"/>
  <c r="W62" i="19" s="1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57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S75" i="10"/>
  <c r="R75" i="10" s="1"/>
  <c r="Q75" i="10" s="1"/>
  <c r="P75" i="10" s="1"/>
  <c r="O75" i="10" s="1"/>
  <c r="N75" i="10" s="1"/>
  <c r="M75" i="10" s="1"/>
  <c r="L75" i="10" s="1"/>
  <c r="K75" i="10" s="1"/>
  <c r="J75" i="10" s="1"/>
  <c r="I75" i="10" s="1"/>
  <c r="H75" i="10" s="1"/>
  <c r="G75" i="10" s="1"/>
  <c r="F75" i="10" s="1"/>
  <c r="E75" i="10" s="1"/>
  <c r="D75" i="10" s="1"/>
  <c r="C75" i="10" s="1"/>
  <c r="B75" i="10" s="1"/>
  <c r="T75" i="10"/>
  <c r="V75" i="10"/>
  <c r="AZ3" i="10"/>
  <c r="AZ3" i="13" s="1"/>
  <c r="BA3" i="10"/>
  <c r="BA3" i="13" s="1"/>
  <c r="BB3" i="10"/>
  <c r="BB3" i="13" s="1"/>
  <c r="BC3" i="10"/>
  <c r="BC3" i="13" s="1"/>
  <c r="BD3" i="10"/>
  <c r="BD3" i="13" s="1"/>
  <c r="BE3" i="10"/>
  <c r="BE3" i="13" s="1"/>
  <c r="BF3" i="10"/>
  <c r="BF3" i="13" s="1"/>
  <c r="BG3" i="10"/>
  <c r="BG3" i="13" s="1"/>
  <c r="BH3" i="10"/>
  <c r="BH3" i="13" s="1"/>
  <c r="AZ4" i="10"/>
  <c r="AZ4" i="13" s="1"/>
  <c r="BA4" i="10"/>
  <c r="BA4" i="13" s="1"/>
  <c r="BB4" i="10"/>
  <c r="BB4" i="13" s="1"/>
  <c r="BC4" i="10"/>
  <c r="BC4" i="13" s="1"/>
  <c r="BD4" i="10"/>
  <c r="BD4" i="13" s="1"/>
  <c r="BE4" i="10"/>
  <c r="BE4" i="13" s="1"/>
  <c r="BF4" i="10"/>
  <c r="BF4" i="13" s="1"/>
  <c r="BG4" i="10"/>
  <c r="BG4" i="13" s="1"/>
  <c r="BH4" i="10"/>
  <c r="BH4" i="13" s="1"/>
  <c r="AZ5" i="10"/>
  <c r="AZ5" i="13" s="1"/>
  <c r="BA5" i="10"/>
  <c r="BA5" i="13" s="1"/>
  <c r="BB5" i="10"/>
  <c r="BB5" i="13" s="1"/>
  <c r="BC5" i="10"/>
  <c r="BC5" i="13" s="1"/>
  <c r="BD5" i="10"/>
  <c r="BD5" i="13" s="1"/>
  <c r="BE5" i="10"/>
  <c r="BE5" i="13" s="1"/>
  <c r="BF5" i="10"/>
  <c r="BF5" i="13" s="1"/>
  <c r="BG5" i="10"/>
  <c r="BG5" i="13" s="1"/>
  <c r="BH5" i="10"/>
  <c r="BH5" i="13" s="1"/>
  <c r="AZ6" i="10"/>
  <c r="AZ6" i="13" s="1"/>
  <c r="BA6" i="10"/>
  <c r="BA6" i="13" s="1"/>
  <c r="BB6" i="10"/>
  <c r="BB6" i="13" s="1"/>
  <c r="BC6" i="10"/>
  <c r="BC6" i="13" s="1"/>
  <c r="BD6" i="10"/>
  <c r="BD6" i="13" s="1"/>
  <c r="BE6" i="10"/>
  <c r="BE6" i="13" s="1"/>
  <c r="BF6" i="10"/>
  <c r="BF6" i="13" s="1"/>
  <c r="BG6" i="10"/>
  <c r="BG6" i="13" s="1"/>
  <c r="BH6" i="10"/>
  <c r="BH6" i="13" s="1"/>
  <c r="AZ7" i="10"/>
  <c r="AZ7" i="13" s="1"/>
  <c r="BA7" i="10"/>
  <c r="BA7" i="13" s="1"/>
  <c r="BB7" i="10"/>
  <c r="BB7" i="13" s="1"/>
  <c r="BC7" i="10"/>
  <c r="BC7" i="13" s="1"/>
  <c r="BD7" i="10"/>
  <c r="BD7" i="13" s="1"/>
  <c r="BE7" i="10"/>
  <c r="BE7" i="13" s="1"/>
  <c r="BF7" i="10"/>
  <c r="BF7" i="13" s="1"/>
  <c r="BG7" i="10"/>
  <c r="BG7" i="13" s="1"/>
  <c r="BH7" i="10"/>
  <c r="BH7" i="13" s="1"/>
  <c r="AZ8" i="10"/>
  <c r="AZ8" i="13" s="1"/>
  <c r="BA8" i="10"/>
  <c r="BA8" i="13" s="1"/>
  <c r="BB8" i="10"/>
  <c r="BB8" i="13" s="1"/>
  <c r="BC8" i="10"/>
  <c r="BC8" i="13" s="1"/>
  <c r="BD8" i="10"/>
  <c r="BD8" i="13" s="1"/>
  <c r="BE8" i="10"/>
  <c r="BE8" i="13" s="1"/>
  <c r="BF8" i="10"/>
  <c r="BF8" i="13" s="1"/>
  <c r="BG8" i="10"/>
  <c r="BG8" i="13" s="1"/>
  <c r="BH8" i="10"/>
  <c r="BH8" i="13" s="1"/>
  <c r="AZ9" i="10"/>
  <c r="AZ9" i="13" s="1"/>
  <c r="BA9" i="10"/>
  <c r="BA9" i="13" s="1"/>
  <c r="BB9" i="10"/>
  <c r="BB9" i="13" s="1"/>
  <c r="BC9" i="10"/>
  <c r="BC9" i="13" s="1"/>
  <c r="BD9" i="10"/>
  <c r="BD9" i="13" s="1"/>
  <c r="BE9" i="10"/>
  <c r="BE9" i="13" s="1"/>
  <c r="BF9" i="10"/>
  <c r="BF9" i="13" s="1"/>
  <c r="BG9" i="10"/>
  <c r="BG9" i="13" s="1"/>
  <c r="BH9" i="10"/>
  <c r="BH9" i="13" s="1"/>
  <c r="AZ10" i="10"/>
  <c r="AZ10" i="13" s="1"/>
  <c r="BA10" i="10"/>
  <c r="BA10" i="13" s="1"/>
  <c r="BB10" i="10"/>
  <c r="BB10" i="13" s="1"/>
  <c r="BC10" i="10"/>
  <c r="BC10" i="13" s="1"/>
  <c r="BD10" i="10"/>
  <c r="BD10" i="13" s="1"/>
  <c r="BE10" i="10"/>
  <c r="BE10" i="13" s="1"/>
  <c r="BF10" i="10"/>
  <c r="BF10" i="13" s="1"/>
  <c r="BG10" i="10"/>
  <c r="BG10" i="13" s="1"/>
  <c r="BH10" i="10"/>
  <c r="BH10" i="13" s="1"/>
  <c r="AZ11" i="10"/>
  <c r="AZ11" i="13" s="1"/>
  <c r="BA11" i="10"/>
  <c r="BA11" i="13" s="1"/>
  <c r="BB11" i="10"/>
  <c r="BB11" i="13" s="1"/>
  <c r="BC11" i="10"/>
  <c r="BC11" i="13" s="1"/>
  <c r="BD11" i="10"/>
  <c r="BD11" i="13" s="1"/>
  <c r="BE11" i="10"/>
  <c r="BE11" i="13" s="1"/>
  <c r="BF11" i="10"/>
  <c r="BF11" i="13" s="1"/>
  <c r="BG11" i="10"/>
  <c r="BG11" i="13" s="1"/>
  <c r="BH11" i="10"/>
  <c r="BH11" i="13" s="1"/>
  <c r="AZ13" i="10"/>
  <c r="AZ13" i="13" s="1"/>
  <c r="BA13" i="10"/>
  <c r="BA13" i="13" s="1"/>
  <c r="BB13" i="10"/>
  <c r="BB13" i="13" s="1"/>
  <c r="BC13" i="10"/>
  <c r="BC13" i="13" s="1"/>
  <c r="BD13" i="10"/>
  <c r="BD13" i="13" s="1"/>
  <c r="BE13" i="10"/>
  <c r="BE13" i="13" s="1"/>
  <c r="BF13" i="10"/>
  <c r="BF13" i="13" s="1"/>
  <c r="BG13" i="10"/>
  <c r="BG13" i="13" s="1"/>
  <c r="BH13" i="10"/>
  <c r="BH13" i="13" s="1"/>
  <c r="AZ14" i="10"/>
  <c r="AZ14" i="13" s="1"/>
  <c r="BA14" i="10"/>
  <c r="BA14" i="13" s="1"/>
  <c r="BB14" i="10"/>
  <c r="BB14" i="13" s="1"/>
  <c r="BC14" i="10"/>
  <c r="BC14" i="13" s="1"/>
  <c r="BD14" i="10"/>
  <c r="BD14" i="13" s="1"/>
  <c r="BE14" i="10"/>
  <c r="BE14" i="13" s="1"/>
  <c r="BF14" i="10"/>
  <c r="BF14" i="13" s="1"/>
  <c r="BG14" i="10"/>
  <c r="BG14" i="13" s="1"/>
  <c r="BH14" i="10"/>
  <c r="BH14" i="13" s="1"/>
  <c r="AZ15" i="10"/>
  <c r="AZ15" i="13" s="1"/>
  <c r="BA15" i="10"/>
  <c r="BA15" i="13" s="1"/>
  <c r="BB15" i="10"/>
  <c r="BB15" i="13" s="1"/>
  <c r="BC15" i="10"/>
  <c r="BC15" i="13" s="1"/>
  <c r="BD15" i="10"/>
  <c r="BD15" i="13" s="1"/>
  <c r="BE15" i="10"/>
  <c r="BE15" i="13" s="1"/>
  <c r="BF15" i="10"/>
  <c r="BF15" i="13" s="1"/>
  <c r="BG15" i="10"/>
  <c r="BG15" i="13" s="1"/>
  <c r="BH15" i="10"/>
  <c r="BH15" i="13" s="1"/>
  <c r="AZ16" i="10"/>
  <c r="AZ16" i="13" s="1"/>
  <c r="BA16" i="10"/>
  <c r="BA16" i="13" s="1"/>
  <c r="BB16" i="10"/>
  <c r="BB16" i="13" s="1"/>
  <c r="BC16" i="10"/>
  <c r="BC16" i="13" s="1"/>
  <c r="BD16" i="10"/>
  <c r="BD16" i="13" s="1"/>
  <c r="BE16" i="10"/>
  <c r="BE16" i="13" s="1"/>
  <c r="BF16" i="10"/>
  <c r="BF16" i="13" s="1"/>
  <c r="BG16" i="10"/>
  <c r="BG16" i="13" s="1"/>
  <c r="BH16" i="10"/>
  <c r="BH16" i="13" s="1"/>
  <c r="AZ17" i="10"/>
  <c r="AZ17" i="13" s="1"/>
  <c r="BA17" i="10"/>
  <c r="BA17" i="13" s="1"/>
  <c r="BB17" i="10"/>
  <c r="BB17" i="13" s="1"/>
  <c r="BC17" i="10"/>
  <c r="BC17" i="13" s="1"/>
  <c r="BD17" i="10"/>
  <c r="BD17" i="13" s="1"/>
  <c r="BE17" i="10"/>
  <c r="BE17" i="13" s="1"/>
  <c r="BF17" i="10"/>
  <c r="BF17" i="13" s="1"/>
  <c r="BG17" i="10"/>
  <c r="BG17" i="13" s="1"/>
  <c r="BH17" i="10"/>
  <c r="BH17" i="13" s="1"/>
  <c r="AZ18" i="10"/>
  <c r="AZ18" i="13" s="1"/>
  <c r="BA18" i="10"/>
  <c r="BA18" i="13" s="1"/>
  <c r="BB18" i="10"/>
  <c r="BB18" i="13" s="1"/>
  <c r="BC18" i="10"/>
  <c r="BC18" i="13" s="1"/>
  <c r="BD18" i="10"/>
  <c r="BD18" i="13" s="1"/>
  <c r="BE18" i="10"/>
  <c r="BE18" i="13" s="1"/>
  <c r="BF18" i="10"/>
  <c r="BF18" i="13" s="1"/>
  <c r="BG18" i="10"/>
  <c r="BG18" i="13" s="1"/>
  <c r="BH18" i="10"/>
  <c r="BH18" i="13" s="1"/>
  <c r="AZ19" i="10"/>
  <c r="AZ19" i="13" s="1"/>
  <c r="BA19" i="10"/>
  <c r="BA19" i="13" s="1"/>
  <c r="BB19" i="10"/>
  <c r="BB19" i="13" s="1"/>
  <c r="BC19" i="10"/>
  <c r="BC19" i="13" s="1"/>
  <c r="BD19" i="10"/>
  <c r="BD19" i="13" s="1"/>
  <c r="BE19" i="10"/>
  <c r="BE19" i="13" s="1"/>
  <c r="BF19" i="10"/>
  <c r="BF19" i="13" s="1"/>
  <c r="BG19" i="10"/>
  <c r="BG19" i="13" s="1"/>
  <c r="BH19" i="10"/>
  <c r="BH19" i="13" s="1"/>
  <c r="AZ20" i="10"/>
  <c r="AZ20" i="13" s="1"/>
  <c r="BA20" i="10"/>
  <c r="BA20" i="13" s="1"/>
  <c r="BB20" i="10"/>
  <c r="BB20" i="13" s="1"/>
  <c r="BC20" i="10"/>
  <c r="BC20" i="13" s="1"/>
  <c r="BD20" i="10"/>
  <c r="BD20" i="13" s="1"/>
  <c r="BE20" i="10"/>
  <c r="BE20" i="13" s="1"/>
  <c r="BF20" i="10"/>
  <c r="BF20" i="13" s="1"/>
  <c r="BG20" i="10"/>
  <c r="BG20" i="13" s="1"/>
  <c r="BH20" i="10"/>
  <c r="BH20" i="13" s="1"/>
  <c r="AZ21" i="10"/>
  <c r="AZ21" i="13" s="1"/>
  <c r="BA21" i="10"/>
  <c r="BA21" i="13" s="1"/>
  <c r="BB21" i="10"/>
  <c r="BB21" i="13" s="1"/>
  <c r="BC21" i="10"/>
  <c r="BC21" i="13" s="1"/>
  <c r="BD21" i="10"/>
  <c r="BD21" i="13" s="1"/>
  <c r="BE21" i="10"/>
  <c r="BE21" i="13" s="1"/>
  <c r="BF21" i="10"/>
  <c r="BF21" i="13" s="1"/>
  <c r="BG21" i="10"/>
  <c r="BG21" i="13" s="1"/>
  <c r="BH21" i="10"/>
  <c r="BH21" i="13" s="1"/>
  <c r="AZ22" i="10"/>
  <c r="AZ22" i="13" s="1"/>
  <c r="BA22" i="10"/>
  <c r="BA22" i="13" s="1"/>
  <c r="BB22" i="10"/>
  <c r="BB22" i="13" s="1"/>
  <c r="BC22" i="10"/>
  <c r="BC22" i="13" s="1"/>
  <c r="BD22" i="10"/>
  <c r="BD22" i="13" s="1"/>
  <c r="BE22" i="10"/>
  <c r="BE22" i="13" s="1"/>
  <c r="BF22" i="10"/>
  <c r="BF22" i="13" s="1"/>
  <c r="BG22" i="10"/>
  <c r="BG22" i="13" s="1"/>
  <c r="BH22" i="10"/>
  <c r="BH22" i="13" s="1"/>
  <c r="AZ23" i="10"/>
  <c r="AZ23" i="13" s="1"/>
  <c r="BA23" i="10"/>
  <c r="BA23" i="13" s="1"/>
  <c r="BB23" i="10"/>
  <c r="BB23" i="13" s="1"/>
  <c r="BC23" i="10"/>
  <c r="BC23" i="13" s="1"/>
  <c r="BD23" i="10"/>
  <c r="BD23" i="13" s="1"/>
  <c r="BE23" i="10"/>
  <c r="BE23" i="13" s="1"/>
  <c r="BF23" i="10"/>
  <c r="BF23" i="13" s="1"/>
  <c r="BG23" i="10"/>
  <c r="BG23" i="13" s="1"/>
  <c r="BH23" i="10"/>
  <c r="BH23" i="13" s="1"/>
  <c r="AZ24" i="10"/>
  <c r="AZ24" i="13" s="1"/>
  <c r="BA24" i="10"/>
  <c r="BA24" i="13" s="1"/>
  <c r="BB24" i="10"/>
  <c r="BB24" i="13" s="1"/>
  <c r="BC24" i="10"/>
  <c r="BC24" i="13" s="1"/>
  <c r="BD24" i="10"/>
  <c r="BD24" i="13" s="1"/>
  <c r="BE24" i="10"/>
  <c r="BE24" i="13" s="1"/>
  <c r="BF24" i="10"/>
  <c r="BF24" i="13" s="1"/>
  <c r="BG24" i="10"/>
  <c r="BG24" i="13" s="1"/>
  <c r="BH24" i="10"/>
  <c r="BH24" i="13" s="1"/>
  <c r="AZ25" i="10"/>
  <c r="AZ25" i="13" s="1"/>
  <c r="BA25" i="10"/>
  <c r="BA25" i="13" s="1"/>
  <c r="BB25" i="10"/>
  <c r="BB25" i="13" s="1"/>
  <c r="BC25" i="10"/>
  <c r="BC25" i="13" s="1"/>
  <c r="BD25" i="10"/>
  <c r="BD25" i="13" s="1"/>
  <c r="BE25" i="10"/>
  <c r="BE25" i="13" s="1"/>
  <c r="BF25" i="10"/>
  <c r="BF25" i="13" s="1"/>
  <c r="BG25" i="10"/>
  <c r="BG25" i="13" s="1"/>
  <c r="BH25" i="10"/>
  <c r="BH25" i="13" s="1"/>
  <c r="AZ26" i="10"/>
  <c r="AZ26" i="13" s="1"/>
  <c r="BA26" i="10"/>
  <c r="BA26" i="13" s="1"/>
  <c r="BB26" i="10"/>
  <c r="BB26" i="13" s="1"/>
  <c r="BC26" i="10"/>
  <c r="BC26" i="13" s="1"/>
  <c r="BD26" i="10"/>
  <c r="BD26" i="13" s="1"/>
  <c r="BE26" i="10"/>
  <c r="BE26" i="13" s="1"/>
  <c r="BF26" i="10"/>
  <c r="BF26" i="13" s="1"/>
  <c r="BG26" i="10"/>
  <c r="BG26" i="13" s="1"/>
  <c r="BH26" i="10"/>
  <c r="BH26" i="13" s="1"/>
  <c r="AZ27" i="10"/>
  <c r="AZ27" i="13" s="1"/>
  <c r="BA27" i="10"/>
  <c r="BA27" i="13" s="1"/>
  <c r="BB27" i="10"/>
  <c r="BB27" i="13" s="1"/>
  <c r="BC27" i="10"/>
  <c r="BC27" i="13" s="1"/>
  <c r="BD27" i="10"/>
  <c r="BD27" i="13" s="1"/>
  <c r="BE27" i="10"/>
  <c r="BE27" i="13" s="1"/>
  <c r="BF27" i="10"/>
  <c r="BF27" i="13" s="1"/>
  <c r="BG27" i="10"/>
  <c r="BG27" i="13" s="1"/>
  <c r="BH27" i="10"/>
  <c r="BH27" i="13" s="1"/>
  <c r="AZ28" i="10"/>
  <c r="AZ28" i="13" s="1"/>
  <c r="BA28" i="10"/>
  <c r="BA28" i="13" s="1"/>
  <c r="BB28" i="10"/>
  <c r="BB28" i="13" s="1"/>
  <c r="BC28" i="10"/>
  <c r="BC28" i="13" s="1"/>
  <c r="BD28" i="10"/>
  <c r="BD28" i="13" s="1"/>
  <c r="BE28" i="10"/>
  <c r="BE28" i="13" s="1"/>
  <c r="BF28" i="10"/>
  <c r="BF28" i="13" s="1"/>
  <c r="BG28" i="10"/>
  <c r="BG28" i="13" s="1"/>
  <c r="BH28" i="10"/>
  <c r="BH28" i="13" s="1"/>
  <c r="AZ29" i="10"/>
  <c r="AZ29" i="13" s="1"/>
  <c r="BA29" i="10"/>
  <c r="BA29" i="13" s="1"/>
  <c r="BB29" i="10"/>
  <c r="BB29" i="13" s="1"/>
  <c r="BC29" i="10"/>
  <c r="BC29" i="13" s="1"/>
  <c r="BD29" i="10"/>
  <c r="BD29" i="13" s="1"/>
  <c r="BE29" i="10"/>
  <c r="BE29" i="13" s="1"/>
  <c r="BF29" i="10"/>
  <c r="BF29" i="13" s="1"/>
  <c r="BG29" i="10"/>
  <c r="BG29" i="13" s="1"/>
  <c r="BH29" i="10"/>
  <c r="BH29" i="13" s="1"/>
  <c r="AZ30" i="10"/>
  <c r="AZ30" i="13" s="1"/>
  <c r="BA30" i="10"/>
  <c r="BA30" i="13" s="1"/>
  <c r="BB30" i="10"/>
  <c r="BB30" i="13" s="1"/>
  <c r="BC30" i="10"/>
  <c r="BC30" i="13" s="1"/>
  <c r="BD30" i="10"/>
  <c r="BD30" i="13" s="1"/>
  <c r="BE30" i="10"/>
  <c r="BE30" i="13" s="1"/>
  <c r="BF30" i="10"/>
  <c r="BF30" i="13" s="1"/>
  <c r="BG30" i="10"/>
  <c r="BG30" i="13" s="1"/>
  <c r="BH30" i="10"/>
  <c r="BH30" i="13" s="1"/>
  <c r="AZ31" i="10"/>
  <c r="AZ31" i="13" s="1"/>
  <c r="BA31" i="10"/>
  <c r="BA31" i="13" s="1"/>
  <c r="BB31" i="10"/>
  <c r="BB31" i="13" s="1"/>
  <c r="BC31" i="10"/>
  <c r="BC31" i="13" s="1"/>
  <c r="BD31" i="10"/>
  <c r="BD31" i="13" s="1"/>
  <c r="BE31" i="10"/>
  <c r="BE31" i="13" s="1"/>
  <c r="BF31" i="10"/>
  <c r="BF31" i="13" s="1"/>
  <c r="BG31" i="10"/>
  <c r="BG31" i="13" s="1"/>
  <c r="BH31" i="10"/>
  <c r="BH31" i="13" s="1"/>
  <c r="AZ32" i="10"/>
  <c r="AZ32" i="13" s="1"/>
  <c r="BA32" i="10"/>
  <c r="BA32" i="13" s="1"/>
  <c r="BB32" i="10"/>
  <c r="BB32" i="13" s="1"/>
  <c r="BC32" i="10"/>
  <c r="BC32" i="13" s="1"/>
  <c r="BD32" i="10"/>
  <c r="BD32" i="13" s="1"/>
  <c r="BE32" i="10"/>
  <c r="BE32" i="13" s="1"/>
  <c r="BF32" i="10"/>
  <c r="BF32" i="13" s="1"/>
  <c r="BG32" i="10"/>
  <c r="BG32" i="13" s="1"/>
  <c r="BH32" i="10"/>
  <c r="BH32" i="13" s="1"/>
  <c r="AZ33" i="10"/>
  <c r="AZ33" i="13" s="1"/>
  <c r="BA33" i="10"/>
  <c r="BA33" i="13" s="1"/>
  <c r="BB33" i="10"/>
  <c r="BB33" i="13" s="1"/>
  <c r="BC33" i="10"/>
  <c r="BC33" i="13" s="1"/>
  <c r="BD33" i="10"/>
  <c r="BD33" i="13" s="1"/>
  <c r="BE33" i="10"/>
  <c r="BE33" i="13" s="1"/>
  <c r="BF33" i="10"/>
  <c r="BF33" i="13" s="1"/>
  <c r="BG33" i="10"/>
  <c r="BG33" i="13" s="1"/>
  <c r="BH33" i="10"/>
  <c r="BH33" i="13" s="1"/>
  <c r="AZ34" i="10"/>
  <c r="AZ34" i="13" s="1"/>
  <c r="BA34" i="10"/>
  <c r="BA34" i="13" s="1"/>
  <c r="BB34" i="10"/>
  <c r="BB34" i="13" s="1"/>
  <c r="BC34" i="10"/>
  <c r="BC34" i="13" s="1"/>
  <c r="BD34" i="10"/>
  <c r="BD34" i="13" s="1"/>
  <c r="BE34" i="10"/>
  <c r="BE34" i="13" s="1"/>
  <c r="BF34" i="10"/>
  <c r="BF34" i="13" s="1"/>
  <c r="BG34" i="10"/>
  <c r="BG34" i="13" s="1"/>
  <c r="BH34" i="10"/>
  <c r="BH34" i="13" s="1"/>
  <c r="AZ35" i="10"/>
  <c r="AZ35" i="13" s="1"/>
  <c r="BA35" i="10"/>
  <c r="BA35" i="13" s="1"/>
  <c r="BB35" i="10"/>
  <c r="BB35" i="13" s="1"/>
  <c r="BC35" i="10"/>
  <c r="BC35" i="13" s="1"/>
  <c r="BD35" i="10"/>
  <c r="BD35" i="13" s="1"/>
  <c r="BE35" i="10"/>
  <c r="BE35" i="13" s="1"/>
  <c r="BF35" i="10"/>
  <c r="BF35" i="13" s="1"/>
  <c r="BG35" i="10"/>
  <c r="BG35" i="13" s="1"/>
  <c r="BH35" i="10"/>
  <c r="BH35" i="13" s="1"/>
  <c r="AZ36" i="10"/>
  <c r="AZ36" i="13" s="1"/>
  <c r="BA36" i="10"/>
  <c r="BA36" i="13" s="1"/>
  <c r="BB36" i="10"/>
  <c r="BB36" i="13" s="1"/>
  <c r="BC36" i="10"/>
  <c r="BC36" i="13" s="1"/>
  <c r="BD36" i="10"/>
  <c r="BD36" i="13" s="1"/>
  <c r="BE36" i="10"/>
  <c r="BE36" i="13" s="1"/>
  <c r="BF36" i="10"/>
  <c r="BF36" i="13" s="1"/>
  <c r="BG36" i="10"/>
  <c r="BG36" i="13" s="1"/>
  <c r="BH36" i="10"/>
  <c r="BH36" i="13" s="1"/>
  <c r="AZ37" i="10"/>
  <c r="AZ37" i="13" s="1"/>
  <c r="BA37" i="10"/>
  <c r="BA37" i="13" s="1"/>
  <c r="BB37" i="10"/>
  <c r="BB37" i="13" s="1"/>
  <c r="BC37" i="10"/>
  <c r="BC37" i="13" s="1"/>
  <c r="BD37" i="10"/>
  <c r="BD37" i="13" s="1"/>
  <c r="BE37" i="10"/>
  <c r="BE37" i="13" s="1"/>
  <c r="BF37" i="10"/>
  <c r="BF37" i="13" s="1"/>
  <c r="BG37" i="10"/>
  <c r="BG37" i="13" s="1"/>
  <c r="BH37" i="10"/>
  <c r="BH37" i="13" s="1"/>
  <c r="AZ38" i="10"/>
  <c r="AZ38" i="13" s="1"/>
  <c r="BA38" i="10"/>
  <c r="BA38" i="13" s="1"/>
  <c r="BB38" i="10"/>
  <c r="BB38" i="13" s="1"/>
  <c r="BC38" i="10"/>
  <c r="BC38" i="13" s="1"/>
  <c r="BD38" i="10"/>
  <c r="BD38" i="13" s="1"/>
  <c r="BE38" i="10"/>
  <c r="BE38" i="13" s="1"/>
  <c r="BF38" i="10"/>
  <c r="BF38" i="13" s="1"/>
  <c r="BG38" i="10"/>
  <c r="BG38" i="13" s="1"/>
  <c r="BH38" i="10"/>
  <c r="BH38" i="13" s="1"/>
  <c r="AZ39" i="10"/>
  <c r="AZ39" i="13" s="1"/>
  <c r="BA39" i="10"/>
  <c r="BA39" i="13" s="1"/>
  <c r="BB39" i="10"/>
  <c r="BB39" i="13" s="1"/>
  <c r="BC39" i="10"/>
  <c r="BC39" i="13" s="1"/>
  <c r="BD39" i="10"/>
  <c r="BD39" i="13" s="1"/>
  <c r="BE39" i="10"/>
  <c r="BE39" i="13" s="1"/>
  <c r="BF39" i="10"/>
  <c r="BF39" i="13" s="1"/>
  <c r="BG39" i="10"/>
  <c r="BG39" i="13" s="1"/>
  <c r="BH39" i="10"/>
  <c r="BH39" i="13" s="1"/>
  <c r="AZ40" i="10"/>
  <c r="AZ40" i="13" s="1"/>
  <c r="BA40" i="10"/>
  <c r="BA40" i="13" s="1"/>
  <c r="BB40" i="10"/>
  <c r="BB40" i="13" s="1"/>
  <c r="BC40" i="10"/>
  <c r="BC40" i="13" s="1"/>
  <c r="BD40" i="10"/>
  <c r="BD40" i="13" s="1"/>
  <c r="BE40" i="10"/>
  <c r="BE40" i="13" s="1"/>
  <c r="BF40" i="10"/>
  <c r="BF40" i="13" s="1"/>
  <c r="BG40" i="10"/>
  <c r="BG40" i="13" s="1"/>
  <c r="BH40" i="10"/>
  <c r="BH40" i="13" s="1"/>
  <c r="AZ41" i="10"/>
  <c r="AZ41" i="13" s="1"/>
  <c r="BA41" i="10"/>
  <c r="BA41" i="13" s="1"/>
  <c r="BB41" i="10"/>
  <c r="BB41" i="13" s="1"/>
  <c r="BC41" i="10"/>
  <c r="BC41" i="13" s="1"/>
  <c r="BD41" i="10"/>
  <c r="BD41" i="13" s="1"/>
  <c r="BE41" i="10"/>
  <c r="BE41" i="13" s="1"/>
  <c r="BF41" i="10"/>
  <c r="BF41" i="13" s="1"/>
  <c r="BG41" i="10"/>
  <c r="BG41" i="13" s="1"/>
  <c r="BH41" i="10"/>
  <c r="BH41" i="13" s="1"/>
  <c r="AZ42" i="10"/>
  <c r="AZ42" i="13" s="1"/>
  <c r="BA42" i="10"/>
  <c r="BA42" i="13" s="1"/>
  <c r="BB42" i="10"/>
  <c r="BB42" i="13" s="1"/>
  <c r="BC42" i="10"/>
  <c r="BC42" i="13" s="1"/>
  <c r="BD42" i="10"/>
  <c r="BD42" i="13" s="1"/>
  <c r="BE42" i="10"/>
  <c r="BE42" i="13" s="1"/>
  <c r="BF42" i="10"/>
  <c r="BF42" i="13" s="1"/>
  <c r="BG42" i="10"/>
  <c r="BG42" i="13" s="1"/>
  <c r="BH42" i="10"/>
  <c r="BH42" i="13" s="1"/>
  <c r="AZ43" i="10"/>
  <c r="AZ43" i="13" s="1"/>
  <c r="BA43" i="10"/>
  <c r="BA43" i="13" s="1"/>
  <c r="BB43" i="10"/>
  <c r="BB43" i="13" s="1"/>
  <c r="BC43" i="10"/>
  <c r="BC43" i="13" s="1"/>
  <c r="BD43" i="10"/>
  <c r="BD43" i="13" s="1"/>
  <c r="BE43" i="10"/>
  <c r="BE43" i="13" s="1"/>
  <c r="BF43" i="10"/>
  <c r="BF43" i="13" s="1"/>
  <c r="BG43" i="10"/>
  <c r="BG43" i="13" s="1"/>
  <c r="BH43" i="10"/>
  <c r="BH43" i="13" s="1"/>
  <c r="AZ44" i="10"/>
  <c r="AZ44" i="13" s="1"/>
  <c r="BA44" i="10"/>
  <c r="BA44" i="13" s="1"/>
  <c r="BB44" i="10"/>
  <c r="BB44" i="13" s="1"/>
  <c r="BC44" i="10"/>
  <c r="BC44" i="13" s="1"/>
  <c r="BD44" i="10"/>
  <c r="BD44" i="13" s="1"/>
  <c r="BE44" i="10"/>
  <c r="BE44" i="13" s="1"/>
  <c r="BF44" i="10"/>
  <c r="BF44" i="13" s="1"/>
  <c r="BG44" i="10"/>
  <c r="BG44" i="13" s="1"/>
  <c r="BH44" i="10"/>
  <c r="BH44" i="13" s="1"/>
  <c r="AZ45" i="10"/>
  <c r="AZ45" i="13" s="1"/>
  <c r="BA45" i="10"/>
  <c r="BA45" i="13" s="1"/>
  <c r="BB45" i="10"/>
  <c r="BB45" i="13" s="1"/>
  <c r="BC45" i="10"/>
  <c r="BC45" i="13" s="1"/>
  <c r="BD45" i="10"/>
  <c r="BD45" i="13" s="1"/>
  <c r="BE45" i="10"/>
  <c r="BE45" i="13" s="1"/>
  <c r="BF45" i="10"/>
  <c r="BF45" i="13" s="1"/>
  <c r="BG45" i="10"/>
  <c r="BG45" i="13" s="1"/>
  <c r="BH45" i="10"/>
  <c r="BH45" i="13" s="1"/>
  <c r="AZ46" i="10"/>
  <c r="AZ46" i="13" s="1"/>
  <c r="BA46" i="10"/>
  <c r="BA46" i="13" s="1"/>
  <c r="BB46" i="10"/>
  <c r="BB46" i="13" s="1"/>
  <c r="BC46" i="10"/>
  <c r="BC46" i="13" s="1"/>
  <c r="BD46" i="10"/>
  <c r="BD46" i="13" s="1"/>
  <c r="BE46" i="10"/>
  <c r="BE46" i="13" s="1"/>
  <c r="BF46" i="10"/>
  <c r="BF46" i="13" s="1"/>
  <c r="BG46" i="10"/>
  <c r="BG46" i="13" s="1"/>
  <c r="BH46" i="10"/>
  <c r="BH46" i="13" s="1"/>
  <c r="AZ47" i="10"/>
  <c r="AZ47" i="13" s="1"/>
  <c r="BA47" i="10"/>
  <c r="BA47" i="13" s="1"/>
  <c r="BB47" i="10"/>
  <c r="BB47" i="13" s="1"/>
  <c r="BC47" i="10"/>
  <c r="BC47" i="13" s="1"/>
  <c r="BD47" i="10"/>
  <c r="BD47" i="13" s="1"/>
  <c r="BE47" i="10"/>
  <c r="BE47" i="13" s="1"/>
  <c r="BF47" i="10"/>
  <c r="BF47" i="13" s="1"/>
  <c r="BG47" i="10"/>
  <c r="BG47" i="13" s="1"/>
  <c r="BH47" i="10"/>
  <c r="BH47" i="13" s="1"/>
  <c r="AZ48" i="10"/>
  <c r="AZ48" i="13" s="1"/>
  <c r="BA48" i="10"/>
  <c r="BA48" i="13" s="1"/>
  <c r="BB48" i="10"/>
  <c r="BB48" i="13" s="1"/>
  <c r="BC48" i="10"/>
  <c r="BC48" i="13" s="1"/>
  <c r="BD48" i="10"/>
  <c r="BD48" i="13" s="1"/>
  <c r="BE48" i="10"/>
  <c r="BE48" i="13" s="1"/>
  <c r="BF48" i="10"/>
  <c r="BF48" i="13" s="1"/>
  <c r="BG48" i="10"/>
  <c r="BG48" i="13" s="1"/>
  <c r="BH48" i="10"/>
  <c r="BH48" i="13" s="1"/>
  <c r="AZ49" i="10"/>
  <c r="AZ49" i="13" s="1"/>
  <c r="BA49" i="10"/>
  <c r="BA49" i="13" s="1"/>
  <c r="BB49" i="10"/>
  <c r="BB49" i="13" s="1"/>
  <c r="BC49" i="10"/>
  <c r="BC49" i="13" s="1"/>
  <c r="BD49" i="10"/>
  <c r="BD49" i="13" s="1"/>
  <c r="BE49" i="10"/>
  <c r="BE49" i="13" s="1"/>
  <c r="BF49" i="10"/>
  <c r="BF49" i="13" s="1"/>
  <c r="BG49" i="10"/>
  <c r="BG49" i="13" s="1"/>
  <c r="BH49" i="10"/>
  <c r="BH49" i="13" s="1"/>
  <c r="AZ50" i="10"/>
  <c r="AZ50" i="13" s="1"/>
  <c r="BA50" i="10"/>
  <c r="BA50" i="13" s="1"/>
  <c r="BB50" i="10"/>
  <c r="BB50" i="13" s="1"/>
  <c r="BC50" i="10"/>
  <c r="BC50" i="13" s="1"/>
  <c r="BD50" i="10"/>
  <c r="BD50" i="13" s="1"/>
  <c r="BE50" i="10"/>
  <c r="BE50" i="13" s="1"/>
  <c r="BF50" i="10"/>
  <c r="BF50" i="13" s="1"/>
  <c r="BG50" i="10"/>
  <c r="BG50" i="13" s="1"/>
  <c r="BH50" i="10"/>
  <c r="BH50" i="13" s="1"/>
  <c r="AZ51" i="10"/>
  <c r="AZ51" i="13" s="1"/>
  <c r="BA51" i="10"/>
  <c r="BA51" i="13" s="1"/>
  <c r="BB51" i="10"/>
  <c r="BB51" i="13" s="1"/>
  <c r="BC51" i="10"/>
  <c r="BC51" i="13" s="1"/>
  <c r="BD51" i="10"/>
  <c r="BD51" i="13" s="1"/>
  <c r="BE51" i="10"/>
  <c r="BE51" i="13" s="1"/>
  <c r="BF51" i="10"/>
  <c r="BF51" i="13" s="1"/>
  <c r="BG51" i="10"/>
  <c r="BG51" i="13" s="1"/>
  <c r="BH51" i="10"/>
  <c r="BH51" i="13" s="1"/>
  <c r="AZ52" i="10"/>
  <c r="AZ52" i="13" s="1"/>
  <c r="BA52" i="10"/>
  <c r="BA52" i="13" s="1"/>
  <c r="BB52" i="10"/>
  <c r="BB52" i="13" s="1"/>
  <c r="BC52" i="10"/>
  <c r="BC52" i="13" s="1"/>
  <c r="BD52" i="10"/>
  <c r="BD52" i="13" s="1"/>
  <c r="BE52" i="10"/>
  <c r="BE52" i="13" s="1"/>
  <c r="BF52" i="10"/>
  <c r="BF52" i="13" s="1"/>
  <c r="BG52" i="10"/>
  <c r="BG52" i="13" s="1"/>
  <c r="BH52" i="10"/>
  <c r="BH52" i="13" s="1"/>
  <c r="AZ53" i="10"/>
  <c r="AZ53" i="13" s="1"/>
  <c r="BA53" i="10"/>
  <c r="BA53" i="13" s="1"/>
  <c r="BB53" i="10"/>
  <c r="BB53" i="13" s="1"/>
  <c r="BC53" i="10"/>
  <c r="BC53" i="13" s="1"/>
  <c r="BD53" i="10"/>
  <c r="BD53" i="13" s="1"/>
  <c r="BE53" i="10"/>
  <c r="BE53" i="13" s="1"/>
  <c r="BF53" i="10"/>
  <c r="BF53" i="13" s="1"/>
  <c r="BG53" i="10"/>
  <c r="BG53" i="13" s="1"/>
  <c r="BH53" i="10"/>
  <c r="BH53" i="13" s="1"/>
  <c r="AZ54" i="10"/>
  <c r="AZ54" i="13" s="1"/>
  <c r="BA54" i="10"/>
  <c r="BA54" i="13" s="1"/>
  <c r="BB54" i="10"/>
  <c r="BB54" i="13" s="1"/>
  <c r="BC54" i="10"/>
  <c r="BC54" i="13" s="1"/>
  <c r="BD54" i="10"/>
  <c r="BD54" i="13" s="1"/>
  <c r="BE54" i="10"/>
  <c r="BE54" i="13" s="1"/>
  <c r="BF54" i="10"/>
  <c r="BF54" i="13" s="1"/>
  <c r="BG54" i="10"/>
  <c r="BG54" i="13" s="1"/>
  <c r="BH54" i="10"/>
  <c r="BH54" i="13" s="1"/>
  <c r="AZ57" i="10"/>
  <c r="AZ57" i="13" s="1"/>
  <c r="BA57" i="10"/>
  <c r="BA57" i="13" s="1"/>
  <c r="BB57" i="10"/>
  <c r="BB57" i="13" s="1"/>
  <c r="BC57" i="10"/>
  <c r="BC57" i="13" s="1"/>
  <c r="BD57" i="10"/>
  <c r="BD57" i="13" s="1"/>
  <c r="BE57" i="10"/>
  <c r="BE57" i="13" s="1"/>
  <c r="BF57" i="10"/>
  <c r="BF57" i="13" s="1"/>
  <c r="BG57" i="10"/>
  <c r="BG57" i="13" s="1"/>
  <c r="BH57" i="10"/>
  <c r="BH57" i="13" s="1"/>
  <c r="AZ58" i="10"/>
  <c r="AZ58" i="13" s="1"/>
  <c r="BA58" i="10"/>
  <c r="BA58" i="13" s="1"/>
  <c r="BB58" i="10"/>
  <c r="BB58" i="13" s="1"/>
  <c r="BC58" i="10"/>
  <c r="BC58" i="13" s="1"/>
  <c r="BD58" i="10"/>
  <c r="BD58" i="13" s="1"/>
  <c r="BE58" i="10"/>
  <c r="BE58" i="13" s="1"/>
  <c r="BF58" i="10"/>
  <c r="BF58" i="13" s="1"/>
  <c r="BG58" i="10"/>
  <c r="BG58" i="13" s="1"/>
  <c r="BH58" i="10"/>
  <c r="BH58" i="13" s="1"/>
  <c r="AZ59" i="10"/>
  <c r="AZ59" i="13" s="1"/>
  <c r="BA59" i="10"/>
  <c r="BA59" i="13" s="1"/>
  <c r="BB59" i="10"/>
  <c r="BB59" i="13" s="1"/>
  <c r="BC59" i="10"/>
  <c r="BC59" i="13" s="1"/>
  <c r="BD59" i="10"/>
  <c r="BD59" i="13" s="1"/>
  <c r="BE59" i="10"/>
  <c r="BE59" i="13" s="1"/>
  <c r="BF59" i="10"/>
  <c r="BF59" i="13" s="1"/>
  <c r="BG59" i="10"/>
  <c r="BG59" i="13" s="1"/>
  <c r="BH59" i="10"/>
  <c r="BH59" i="13" s="1"/>
  <c r="AZ60" i="10"/>
  <c r="AZ60" i="13" s="1"/>
  <c r="BA60" i="10"/>
  <c r="BA60" i="13" s="1"/>
  <c r="BB60" i="10"/>
  <c r="BB60" i="13" s="1"/>
  <c r="BC60" i="10"/>
  <c r="BC60" i="13" s="1"/>
  <c r="BD60" i="10"/>
  <c r="BD60" i="13" s="1"/>
  <c r="BE60" i="10"/>
  <c r="BE60" i="13" s="1"/>
  <c r="BF60" i="10"/>
  <c r="BF60" i="13" s="1"/>
  <c r="BG60" i="10"/>
  <c r="BG60" i="13" s="1"/>
  <c r="BH60" i="10"/>
  <c r="BH60" i="13" s="1"/>
  <c r="AZ61" i="10"/>
  <c r="AZ61" i="13" s="1"/>
  <c r="BA61" i="10"/>
  <c r="BA61" i="13" s="1"/>
  <c r="BB61" i="10"/>
  <c r="BB61" i="13" s="1"/>
  <c r="BC61" i="10"/>
  <c r="BC61" i="13" s="1"/>
  <c r="BD61" i="10"/>
  <c r="BD61" i="13" s="1"/>
  <c r="BE61" i="10"/>
  <c r="BE61" i="13" s="1"/>
  <c r="BF61" i="10"/>
  <c r="BF61" i="13" s="1"/>
  <c r="BG61" i="10"/>
  <c r="BG61" i="13" s="1"/>
  <c r="BH61" i="10"/>
  <c r="BH61" i="13" s="1"/>
  <c r="AZ62" i="10"/>
  <c r="AZ62" i="13" s="1"/>
  <c r="BA62" i="10"/>
  <c r="BA62" i="13" s="1"/>
  <c r="BB62" i="10"/>
  <c r="BB62" i="13" s="1"/>
  <c r="BC62" i="10"/>
  <c r="BC62" i="13" s="1"/>
  <c r="BD62" i="10"/>
  <c r="BD62" i="13" s="1"/>
  <c r="BE62" i="10"/>
  <c r="BE62" i="13" s="1"/>
  <c r="BF62" i="10"/>
  <c r="BF62" i="13" s="1"/>
  <c r="BG62" i="10"/>
  <c r="BG62" i="13" s="1"/>
  <c r="BH62" i="10"/>
  <c r="BH62" i="13" s="1"/>
  <c r="AZ63" i="10"/>
  <c r="AZ63" i="13" s="1"/>
  <c r="BA63" i="10"/>
  <c r="BA63" i="13" s="1"/>
  <c r="BB63" i="10"/>
  <c r="BB63" i="13" s="1"/>
  <c r="BC63" i="10"/>
  <c r="BC63" i="13" s="1"/>
  <c r="BD63" i="10"/>
  <c r="BD63" i="13" s="1"/>
  <c r="BE63" i="10"/>
  <c r="BE63" i="13" s="1"/>
  <c r="BF63" i="10"/>
  <c r="BF63" i="13" s="1"/>
  <c r="BG63" i="10"/>
  <c r="BG63" i="13" s="1"/>
  <c r="BH63" i="10"/>
  <c r="BH63" i="13" s="1"/>
  <c r="AZ64" i="10"/>
  <c r="AZ64" i="13" s="1"/>
  <c r="BA64" i="10"/>
  <c r="BA64" i="13" s="1"/>
  <c r="BB64" i="10"/>
  <c r="BB64" i="13" s="1"/>
  <c r="BC64" i="10"/>
  <c r="BC64" i="13" s="1"/>
  <c r="BD64" i="10"/>
  <c r="BD64" i="13" s="1"/>
  <c r="BE64" i="10"/>
  <c r="BE64" i="13" s="1"/>
  <c r="BF64" i="10"/>
  <c r="BF64" i="13" s="1"/>
  <c r="BG64" i="10"/>
  <c r="BG64" i="13" s="1"/>
  <c r="BH64" i="10"/>
  <c r="BH64" i="13" s="1"/>
  <c r="AZ65" i="10"/>
  <c r="AZ65" i="13" s="1"/>
  <c r="BA65" i="10"/>
  <c r="BA65" i="13" s="1"/>
  <c r="BB65" i="10"/>
  <c r="BB65" i="13" s="1"/>
  <c r="BC65" i="10"/>
  <c r="BC65" i="13" s="1"/>
  <c r="BD65" i="10"/>
  <c r="BD65" i="13" s="1"/>
  <c r="BE65" i="10"/>
  <c r="BE65" i="13" s="1"/>
  <c r="BF65" i="10"/>
  <c r="BF65" i="13" s="1"/>
  <c r="BG65" i="10"/>
  <c r="BG65" i="13" s="1"/>
  <c r="BH65" i="10"/>
  <c r="BH65" i="13" s="1"/>
  <c r="AZ66" i="10"/>
  <c r="AZ66" i="13" s="1"/>
  <c r="BA66" i="10"/>
  <c r="BA66" i="13" s="1"/>
  <c r="BB66" i="10"/>
  <c r="BB66" i="13" s="1"/>
  <c r="BC66" i="10"/>
  <c r="BC66" i="13" s="1"/>
  <c r="BD66" i="10"/>
  <c r="BD66" i="13" s="1"/>
  <c r="BE66" i="10"/>
  <c r="BE66" i="13" s="1"/>
  <c r="BF66" i="10"/>
  <c r="BF66" i="13" s="1"/>
  <c r="BG66" i="10"/>
  <c r="BG66" i="13" s="1"/>
  <c r="BH66" i="10"/>
  <c r="BH66" i="13" s="1"/>
  <c r="AZ67" i="10"/>
  <c r="AZ67" i="13" s="1"/>
  <c r="BA67" i="10"/>
  <c r="BA67" i="13" s="1"/>
  <c r="BB67" i="10"/>
  <c r="BB67" i="13" s="1"/>
  <c r="BC67" i="10"/>
  <c r="BC67" i="13" s="1"/>
  <c r="BD67" i="10"/>
  <c r="BD67" i="13" s="1"/>
  <c r="BE67" i="10"/>
  <c r="BE67" i="13" s="1"/>
  <c r="BF67" i="10"/>
  <c r="BF67" i="13" s="1"/>
  <c r="BG67" i="10"/>
  <c r="BG67" i="13" s="1"/>
  <c r="BH67" i="10"/>
  <c r="BH67" i="13" s="1"/>
  <c r="AZ68" i="10"/>
  <c r="AZ68" i="13" s="1"/>
  <c r="BA68" i="10"/>
  <c r="BA68" i="13" s="1"/>
  <c r="BB68" i="10"/>
  <c r="BB68" i="13" s="1"/>
  <c r="BC68" i="10"/>
  <c r="BC68" i="13" s="1"/>
  <c r="BD68" i="10"/>
  <c r="BD68" i="13" s="1"/>
  <c r="BE68" i="10"/>
  <c r="BE68" i="13" s="1"/>
  <c r="BF68" i="10"/>
  <c r="BF68" i="13" s="1"/>
  <c r="BG68" i="10"/>
  <c r="BG68" i="13" s="1"/>
  <c r="BH68" i="10"/>
  <c r="BH68" i="13" s="1"/>
  <c r="AZ69" i="10"/>
  <c r="AZ69" i="13" s="1"/>
  <c r="BA69" i="10"/>
  <c r="BA69" i="13" s="1"/>
  <c r="BB69" i="10"/>
  <c r="BB69" i="13" s="1"/>
  <c r="BC69" i="10"/>
  <c r="BC69" i="13" s="1"/>
  <c r="BD69" i="10"/>
  <c r="BD69" i="13" s="1"/>
  <c r="BE69" i="10"/>
  <c r="BE69" i="13" s="1"/>
  <c r="BF69" i="10"/>
  <c r="BF69" i="13" s="1"/>
  <c r="BG69" i="10"/>
  <c r="BG69" i="13" s="1"/>
  <c r="BH69" i="10"/>
  <c r="BH69" i="13" s="1"/>
  <c r="AZ70" i="10"/>
  <c r="AZ70" i="13" s="1"/>
  <c r="BA70" i="10"/>
  <c r="BA70" i="13" s="1"/>
  <c r="BB70" i="10"/>
  <c r="BB70" i="13" s="1"/>
  <c r="BC70" i="10"/>
  <c r="BC70" i="13" s="1"/>
  <c r="BD70" i="10"/>
  <c r="BD70" i="13" s="1"/>
  <c r="BE70" i="10"/>
  <c r="BE70" i="13" s="1"/>
  <c r="BF70" i="10"/>
  <c r="BF70" i="13" s="1"/>
  <c r="BG70" i="10"/>
  <c r="BG70" i="13" s="1"/>
  <c r="BH70" i="10"/>
  <c r="BH70" i="13" s="1"/>
  <c r="BA2" i="10"/>
  <c r="BA2" i="13" s="1"/>
  <c r="BB2" i="10"/>
  <c r="BB2" i="13" s="1"/>
  <c r="BC2" i="10"/>
  <c r="BC2" i="13" s="1"/>
  <c r="BD2" i="10"/>
  <c r="BD2" i="13" s="1"/>
  <c r="BE2" i="10"/>
  <c r="BE2" i="13" s="1"/>
  <c r="BF2" i="10"/>
  <c r="BF2" i="13" s="1"/>
  <c r="BG2" i="10"/>
  <c r="BG2" i="13" s="1"/>
  <c r="BH2" i="10"/>
  <c r="BH2" i="13" s="1"/>
  <c r="AZ2" i="10"/>
  <c r="AZ2" i="13" s="1"/>
  <c r="AK3" i="10"/>
  <c r="AK3" i="13" s="1"/>
  <c r="AL3" i="10"/>
  <c r="AL3" i="13" s="1"/>
  <c r="AM3" i="10"/>
  <c r="AM3" i="13" s="1"/>
  <c r="AN3" i="10"/>
  <c r="AN3" i="13" s="1"/>
  <c r="AO3" i="10"/>
  <c r="AO3" i="13" s="1"/>
  <c r="AP3" i="10"/>
  <c r="AP3" i="13" s="1"/>
  <c r="AQ3" i="10"/>
  <c r="AQ3" i="13" s="1"/>
  <c r="AR3" i="10"/>
  <c r="AR3" i="13" s="1"/>
  <c r="AS3" i="10"/>
  <c r="AS3" i="13" s="1"/>
  <c r="AT3" i="10"/>
  <c r="AT3" i="13" s="1"/>
  <c r="AU3" i="10"/>
  <c r="AU3" i="13" s="1"/>
  <c r="AV3" i="10"/>
  <c r="AV3" i="13" s="1"/>
  <c r="AW3" i="10"/>
  <c r="AW3" i="13" s="1"/>
  <c r="AX3" i="10"/>
  <c r="AX3" i="13" s="1"/>
  <c r="AK4" i="10"/>
  <c r="AK4" i="13" s="1"/>
  <c r="AL4" i="10"/>
  <c r="AL4" i="13" s="1"/>
  <c r="AM4" i="10"/>
  <c r="AM4" i="13" s="1"/>
  <c r="AN4" i="10"/>
  <c r="AN4" i="13" s="1"/>
  <c r="AO4" i="10"/>
  <c r="AO4" i="13" s="1"/>
  <c r="AP4" i="10"/>
  <c r="AP4" i="13" s="1"/>
  <c r="AQ4" i="10"/>
  <c r="AQ4" i="13" s="1"/>
  <c r="AR4" i="10"/>
  <c r="AR4" i="13" s="1"/>
  <c r="AS4" i="10"/>
  <c r="AS4" i="13" s="1"/>
  <c r="AT4" i="10"/>
  <c r="AT4" i="13" s="1"/>
  <c r="AU4" i="10"/>
  <c r="AU4" i="13" s="1"/>
  <c r="AV4" i="10"/>
  <c r="AV4" i="13" s="1"/>
  <c r="AW4" i="10"/>
  <c r="AW4" i="13" s="1"/>
  <c r="AX4" i="10"/>
  <c r="AX4" i="13" s="1"/>
  <c r="AK5" i="10"/>
  <c r="AK5" i="13" s="1"/>
  <c r="AL5" i="10"/>
  <c r="AL5" i="13" s="1"/>
  <c r="AM5" i="10"/>
  <c r="AM5" i="13" s="1"/>
  <c r="AN5" i="10"/>
  <c r="AN5" i="13" s="1"/>
  <c r="AO5" i="10"/>
  <c r="AO5" i="13" s="1"/>
  <c r="AP5" i="10"/>
  <c r="AP5" i="13" s="1"/>
  <c r="AQ5" i="10"/>
  <c r="AQ5" i="13" s="1"/>
  <c r="AR5" i="10"/>
  <c r="AR5" i="13" s="1"/>
  <c r="AS5" i="10"/>
  <c r="AS5" i="13" s="1"/>
  <c r="AT5" i="10"/>
  <c r="AT5" i="13" s="1"/>
  <c r="AU5" i="10"/>
  <c r="AU5" i="13" s="1"/>
  <c r="AV5" i="10"/>
  <c r="AV5" i="13" s="1"/>
  <c r="AW5" i="10"/>
  <c r="AW5" i="13" s="1"/>
  <c r="AX5" i="10"/>
  <c r="AX5" i="13" s="1"/>
  <c r="AK6" i="10"/>
  <c r="AK6" i="13" s="1"/>
  <c r="AL6" i="10"/>
  <c r="AL6" i="13" s="1"/>
  <c r="AM6" i="10"/>
  <c r="AM6" i="13" s="1"/>
  <c r="AN6" i="10"/>
  <c r="AN6" i="13" s="1"/>
  <c r="AO6" i="10"/>
  <c r="AO6" i="13" s="1"/>
  <c r="AP6" i="10"/>
  <c r="AP6" i="13" s="1"/>
  <c r="AQ6" i="10"/>
  <c r="AQ6" i="13" s="1"/>
  <c r="AR6" i="10"/>
  <c r="AR6" i="13" s="1"/>
  <c r="AS6" i="10"/>
  <c r="AS6" i="13" s="1"/>
  <c r="AT6" i="10"/>
  <c r="AT6" i="13" s="1"/>
  <c r="AU6" i="10"/>
  <c r="AU6" i="13" s="1"/>
  <c r="AV6" i="10"/>
  <c r="AV6" i="13" s="1"/>
  <c r="AW6" i="10"/>
  <c r="AW6" i="13" s="1"/>
  <c r="AX6" i="10"/>
  <c r="AX6" i="13" s="1"/>
  <c r="AK7" i="10"/>
  <c r="AK7" i="13" s="1"/>
  <c r="AL7" i="10"/>
  <c r="AL7" i="13" s="1"/>
  <c r="AM7" i="10"/>
  <c r="AM7" i="13" s="1"/>
  <c r="AN7" i="10"/>
  <c r="AN7" i="13" s="1"/>
  <c r="AO7" i="10"/>
  <c r="AO7" i="13" s="1"/>
  <c r="AP7" i="10"/>
  <c r="AP7" i="13" s="1"/>
  <c r="AQ7" i="10"/>
  <c r="AQ7" i="13" s="1"/>
  <c r="AR7" i="10"/>
  <c r="AR7" i="13" s="1"/>
  <c r="AS7" i="10"/>
  <c r="AS7" i="13" s="1"/>
  <c r="AT7" i="10"/>
  <c r="AT7" i="13" s="1"/>
  <c r="AU7" i="10"/>
  <c r="AU7" i="13" s="1"/>
  <c r="AV7" i="10"/>
  <c r="AV7" i="13" s="1"/>
  <c r="AW7" i="10"/>
  <c r="AW7" i="13" s="1"/>
  <c r="AX7" i="10"/>
  <c r="AX7" i="13" s="1"/>
  <c r="AK8" i="10"/>
  <c r="AK8" i="13" s="1"/>
  <c r="AL8" i="10"/>
  <c r="AL8" i="13" s="1"/>
  <c r="AM8" i="10"/>
  <c r="AM8" i="13" s="1"/>
  <c r="AN8" i="10"/>
  <c r="AN8" i="13" s="1"/>
  <c r="AO8" i="10"/>
  <c r="AO8" i="13" s="1"/>
  <c r="AP8" i="10"/>
  <c r="AP8" i="13" s="1"/>
  <c r="AQ8" i="10"/>
  <c r="AQ8" i="13" s="1"/>
  <c r="AR8" i="10"/>
  <c r="AR8" i="13" s="1"/>
  <c r="AS8" i="10"/>
  <c r="AS8" i="13" s="1"/>
  <c r="AT8" i="10"/>
  <c r="AT8" i="13" s="1"/>
  <c r="AU8" i="10"/>
  <c r="AU8" i="13" s="1"/>
  <c r="AV8" i="10"/>
  <c r="AV8" i="13" s="1"/>
  <c r="AW8" i="10"/>
  <c r="AW8" i="13" s="1"/>
  <c r="AX8" i="10"/>
  <c r="AX8" i="13" s="1"/>
  <c r="AK9" i="10"/>
  <c r="AK9" i="13" s="1"/>
  <c r="AL9" i="10"/>
  <c r="AL9" i="13" s="1"/>
  <c r="AM9" i="10"/>
  <c r="AM9" i="13" s="1"/>
  <c r="AN9" i="10"/>
  <c r="AN9" i="13" s="1"/>
  <c r="AO9" i="10"/>
  <c r="AO9" i="13" s="1"/>
  <c r="AP9" i="10"/>
  <c r="AP9" i="13" s="1"/>
  <c r="AQ9" i="10"/>
  <c r="AQ9" i="13" s="1"/>
  <c r="AR9" i="10"/>
  <c r="AR9" i="13" s="1"/>
  <c r="AS9" i="10"/>
  <c r="AS9" i="13" s="1"/>
  <c r="AT9" i="10"/>
  <c r="AT9" i="13" s="1"/>
  <c r="AU9" i="10"/>
  <c r="AU9" i="13" s="1"/>
  <c r="AV9" i="10"/>
  <c r="AV9" i="13" s="1"/>
  <c r="AW9" i="10"/>
  <c r="AW9" i="13" s="1"/>
  <c r="AX9" i="10"/>
  <c r="AX9" i="13" s="1"/>
  <c r="AK10" i="10"/>
  <c r="AK10" i="13" s="1"/>
  <c r="AL10" i="10"/>
  <c r="AL10" i="13" s="1"/>
  <c r="AM10" i="10"/>
  <c r="AM10" i="13" s="1"/>
  <c r="AN10" i="10"/>
  <c r="AN10" i="13" s="1"/>
  <c r="AO10" i="10"/>
  <c r="AO10" i="13" s="1"/>
  <c r="AP10" i="10"/>
  <c r="AP10" i="13" s="1"/>
  <c r="AQ10" i="10"/>
  <c r="AQ10" i="13" s="1"/>
  <c r="AR10" i="10"/>
  <c r="AR10" i="13" s="1"/>
  <c r="AS10" i="10"/>
  <c r="AS10" i="13" s="1"/>
  <c r="AT10" i="10"/>
  <c r="AT10" i="13" s="1"/>
  <c r="AU10" i="10"/>
  <c r="AU10" i="13" s="1"/>
  <c r="AV10" i="10"/>
  <c r="AV10" i="13" s="1"/>
  <c r="AW10" i="10"/>
  <c r="AW10" i="13" s="1"/>
  <c r="AX10" i="10"/>
  <c r="AX10" i="13" s="1"/>
  <c r="AK11" i="10"/>
  <c r="AK11" i="13" s="1"/>
  <c r="AL11" i="10"/>
  <c r="AL11" i="13" s="1"/>
  <c r="AM11" i="10"/>
  <c r="AM11" i="13" s="1"/>
  <c r="AN11" i="10"/>
  <c r="AN11" i="13" s="1"/>
  <c r="AO11" i="10"/>
  <c r="AO11" i="13" s="1"/>
  <c r="AP11" i="10"/>
  <c r="AP11" i="13" s="1"/>
  <c r="AQ11" i="10"/>
  <c r="AQ11" i="13" s="1"/>
  <c r="AR11" i="10"/>
  <c r="AR11" i="13" s="1"/>
  <c r="AS11" i="10"/>
  <c r="AS11" i="13" s="1"/>
  <c r="AT11" i="10"/>
  <c r="AT11" i="13" s="1"/>
  <c r="AU11" i="10"/>
  <c r="AU11" i="13" s="1"/>
  <c r="AV11" i="10"/>
  <c r="AV11" i="13" s="1"/>
  <c r="AW11" i="10"/>
  <c r="AW11" i="13" s="1"/>
  <c r="AX11" i="10"/>
  <c r="AX11" i="13" s="1"/>
  <c r="AK13" i="10"/>
  <c r="AK13" i="13" s="1"/>
  <c r="AL13" i="10"/>
  <c r="AL13" i="13" s="1"/>
  <c r="AM13" i="10"/>
  <c r="AM13" i="13" s="1"/>
  <c r="AN13" i="10"/>
  <c r="AN13" i="13" s="1"/>
  <c r="AO13" i="10"/>
  <c r="AO13" i="13" s="1"/>
  <c r="AP13" i="10"/>
  <c r="AP13" i="13" s="1"/>
  <c r="AQ13" i="10"/>
  <c r="AQ13" i="13" s="1"/>
  <c r="AR13" i="10"/>
  <c r="AR13" i="13" s="1"/>
  <c r="AS13" i="10"/>
  <c r="AS13" i="13" s="1"/>
  <c r="AT13" i="10"/>
  <c r="AT13" i="13" s="1"/>
  <c r="AU13" i="10"/>
  <c r="AU13" i="13" s="1"/>
  <c r="AV13" i="10"/>
  <c r="AV13" i="13" s="1"/>
  <c r="AW13" i="10"/>
  <c r="AW13" i="13" s="1"/>
  <c r="AX13" i="10"/>
  <c r="AX13" i="13" s="1"/>
  <c r="AK14" i="10"/>
  <c r="AK14" i="13" s="1"/>
  <c r="AL14" i="10"/>
  <c r="AL14" i="13" s="1"/>
  <c r="AM14" i="10"/>
  <c r="AM14" i="13" s="1"/>
  <c r="AN14" i="10"/>
  <c r="AN14" i="13" s="1"/>
  <c r="AO14" i="10"/>
  <c r="AO14" i="13" s="1"/>
  <c r="AP14" i="10"/>
  <c r="AP14" i="13" s="1"/>
  <c r="AQ14" i="10"/>
  <c r="AQ14" i="13" s="1"/>
  <c r="AR14" i="10"/>
  <c r="AR14" i="13" s="1"/>
  <c r="AS14" i="10"/>
  <c r="AS14" i="13" s="1"/>
  <c r="AT14" i="10"/>
  <c r="AT14" i="13" s="1"/>
  <c r="AU14" i="10"/>
  <c r="AU14" i="13" s="1"/>
  <c r="AV14" i="10"/>
  <c r="AV14" i="13" s="1"/>
  <c r="AW14" i="10"/>
  <c r="AW14" i="13" s="1"/>
  <c r="AX14" i="10"/>
  <c r="AX14" i="13" s="1"/>
  <c r="AK15" i="10"/>
  <c r="AK15" i="13" s="1"/>
  <c r="AL15" i="10"/>
  <c r="AL15" i="13" s="1"/>
  <c r="AM15" i="10"/>
  <c r="AM15" i="13" s="1"/>
  <c r="AN15" i="10"/>
  <c r="AN15" i="13" s="1"/>
  <c r="AO15" i="10"/>
  <c r="AO15" i="13" s="1"/>
  <c r="AP15" i="10"/>
  <c r="AP15" i="13" s="1"/>
  <c r="AQ15" i="10"/>
  <c r="AQ15" i="13" s="1"/>
  <c r="AR15" i="10"/>
  <c r="AR15" i="13" s="1"/>
  <c r="AS15" i="10"/>
  <c r="AS15" i="13" s="1"/>
  <c r="AT15" i="10"/>
  <c r="AT15" i="13" s="1"/>
  <c r="AU15" i="10"/>
  <c r="AU15" i="13" s="1"/>
  <c r="AV15" i="10"/>
  <c r="AV15" i="13" s="1"/>
  <c r="AW15" i="10"/>
  <c r="AW15" i="13" s="1"/>
  <c r="AX15" i="10"/>
  <c r="AX15" i="13" s="1"/>
  <c r="AK16" i="10"/>
  <c r="AK16" i="13" s="1"/>
  <c r="AL16" i="10"/>
  <c r="AL16" i="13" s="1"/>
  <c r="AM16" i="10"/>
  <c r="AM16" i="13" s="1"/>
  <c r="AN16" i="10"/>
  <c r="AN16" i="13" s="1"/>
  <c r="AO16" i="10"/>
  <c r="AO16" i="13" s="1"/>
  <c r="AP16" i="10"/>
  <c r="AP16" i="13" s="1"/>
  <c r="AQ16" i="10"/>
  <c r="AQ16" i="13" s="1"/>
  <c r="AR16" i="10"/>
  <c r="AR16" i="13" s="1"/>
  <c r="AS16" i="10"/>
  <c r="AS16" i="13" s="1"/>
  <c r="AT16" i="10"/>
  <c r="AT16" i="13" s="1"/>
  <c r="AU16" i="10"/>
  <c r="AU16" i="13" s="1"/>
  <c r="AV16" i="10"/>
  <c r="AV16" i="13" s="1"/>
  <c r="AW16" i="10"/>
  <c r="AW16" i="13" s="1"/>
  <c r="AX16" i="10"/>
  <c r="AX16" i="13" s="1"/>
  <c r="AK17" i="10"/>
  <c r="AK17" i="13" s="1"/>
  <c r="AL17" i="10"/>
  <c r="AL17" i="13" s="1"/>
  <c r="AM17" i="10"/>
  <c r="AM17" i="13" s="1"/>
  <c r="AN17" i="10"/>
  <c r="AN17" i="13" s="1"/>
  <c r="AO17" i="10"/>
  <c r="AO17" i="13" s="1"/>
  <c r="AP17" i="10"/>
  <c r="AP17" i="13" s="1"/>
  <c r="AQ17" i="10"/>
  <c r="AQ17" i="13" s="1"/>
  <c r="AR17" i="10"/>
  <c r="AR17" i="13" s="1"/>
  <c r="AS17" i="10"/>
  <c r="AS17" i="13" s="1"/>
  <c r="AT17" i="10"/>
  <c r="AT17" i="13" s="1"/>
  <c r="AU17" i="10"/>
  <c r="AU17" i="13" s="1"/>
  <c r="AV17" i="10"/>
  <c r="AV17" i="13" s="1"/>
  <c r="AW17" i="10"/>
  <c r="AW17" i="13" s="1"/>
  <c r="AX17" i="10"/>
  <c r="AX17" i="13" s="1"/>
  <c r="AK18" i="10"/>
  <c r="AK18" i="13" s="1"/>
  <c r="AL18" i="10"/>
  <c r="AL18" i="13" s="1"/>
  <c r="AM18" i="10"/>
  <c r="AM18" i="13" s="1"/>
  <c r="AN18" i="10"/>
  <c r="AN18" i="13" s="1"/>
  <c r="AO18" i="10"/>
  <c r="AO18" i="13" s="1"/>
  <c r="AP18" i="10"/>
  <c r="AP18" i="13" s="1"/>
  <c r="AQ18" i="10"/>
  <c r="AQ18" i="13" s="1"/>
  <c r="AR18" i="10"/>
  <c r="AR18" i="13" s="1"/>
  <c r="AS18" i="10"/>
  <c r="AS18" i="13" s="1"/>
  <c r="AT18" i="10"/>
  <c r="AT18" i="13" s="1"/>
  <c r="AU18" i="10"/>
  <c r="AU18" i="13" s="1"/>
  <c r="AV18" i="10"/>
  <c r="AV18" i="13" s="1"/>
  <c r="AW18" i="10"/>
  <c r="AW18" i="13" s="1"/>
  <c r="AX18" i="10"/>
  <c r="AX18" i="13" s="1"/>
  <c r="AK19" i="10"/>
  <c r="AK19" i="13" s="1"/>
  <c r="AL19" i="10"/>
  <c r="AL19" i="13" s="1"/>
  <c r="AM19" i="10"/>
  <c r="AM19" i="13" s="1"/>
  <c r="AN19" i="10"/>
  <c r="AN19" i="13" s="1"/>
  <c r="AO19" i="10"/>
  <c r="AO19" i="13" s="1"/>
  <c r="AP19" i="10"/>
  <c r="AP19" i="13" s="1"/>
  <c r="AQ19" i="10"/>
  <c r="AQ19" i="13" s="1"/>
  <c r="AR19" i="10"/>
  <c r="AR19" i="13" s="1"/>
  <c r="AS19" i="10"/>
  <c r="AS19" i="13" s="1"/>
  <c r="AT19" i="10"/>
  <c r="AT19" i="13" s="1"/>
  <c r="AU19" i="10"/>
  <c r="AU19" i="13" s="1"/>
  <c r="AV19" i="10"/>
  <c r="AV19" i="13" s="1"/>
  <c r="AW19" i="10"/>
  <c r="AW19" i="13" s="1"/>
  <c r="AX19" i="10"/>
  <c r="AX19" i="13" s="1"/>
  <c r="AK20" i="10"/>
  <c r="AK20" i="13" s="1"/>
  <c r="AL20" i="10"/>
  <c r="AL20" i="13" s="1"/>
  <c r="AM20" i="10"/>
  <c r="AM20" i="13" s="1"/>
  <c r="AN20" i="10"/>
  <c r="AN20" i="13" s="1"/>
  <c r="AO20" i="10"/>
  <c r="AO20" i="13" s="1"/>
  <c r="AP20" i="10"/>
  <c r="AP20" i="13" s="1"/>
  <c r="AQ20" i="10"/>
  <c r="AQ20" i="13" s="1"/>
  <c r="AR20" i="10"/>
  <c r="AR20" i="13" s="1"/>
  <c r="AS20" i="10"/>
  <c r="AS20" i="13" s="1"/>
  <c r="AT20" i="10"/>
  <c r="AT20" i="13" s="1"/>
  <c r="AU20" i="10"/>
  <c r="AU20" i="13" s="1"/>
  <c r="AV20" i="10"/>
  <c r="AV20" i="13" s="1"/>
  <c r="AW20" i="10"/>
  <c r="AW20" i="13" s="1"/>
  <c r="AX20" i="10"/>
  <c r="AX20" i="13" s="1"/>
  <c r="AK21" i="10"/>
  <c r="AK21" i="13" s="1"/>
  <c r="AL21" i="10"/>
  <c r="AL21" i="13" s="1"/>
  <c r="AM21" i="10"/>
  <c r="AM21" i="13" s="1"/>
  <c r="AN21" i="10"/>
  <c r="AN21" i="13" s="1"/>
  <c r="AO21" i="10"/>
  <c r="AO21" i="13" s="1"/>
  <c r="AP21" i="10"/>
  <c r="AP21" i="13" s="1"/>
  <c r="AQ21" i="10"/>
  <c r="AQ21" i="13" s="1"/>
  <c r="AR21" i="10"/>
  <c r="AR21" i="13" s="1"/>
  <c r="AS21" i="10"/>
  <c r="AS21" i="13" s="1"/>
  <c r="AT21" i="10"/>
  <c r="AT21" i="13" s="1"/>
  <c r="AU21" i="10"/>
  <c r="AU21" i="13" s="1"/>
  <c r="AV21" i="10"/>
  <c r="AV21" i="13" s="1"/>
  <c r="AW21" i="10"/>
  <c r="AW21" i="13" s="1"/>
  <c r="AX21" i="10"/>
  <c r="AX21" i="13" s="1"/>
  <c r="AK22" i="10"/>
  <c r="AK22" i="13" s="1"/>
  <c r="AL22" i="10"/>
  <c r="AL22" i="13" s="1"/>
  <c r="AM22" i="10"/>
  <c r="AM22" i="13" s="1"/>
  <c r="AN22" i="10"/>
  <c r="AN22" i="13" s="1"/>
  <c r="AO22" i="10"/>
  <c r="AO22" i="13" s="1"/>
  <c r="AP22" i="10"/>
  <c r="AP22" i="13" s="1"/>
  <c r="AQ22" i="10"/>
  <c r="AQ22" i="13" s="1"/>
  <c r="AR22" i="10"/>
  <c r="AR22" i="13" s="1"/>
  <c r="AS22" i="10"/>
  <c r="AS22" i="13" s="1"/>
  <c r="AT22" i="10"/>
  <c r="AT22" i="13" s="1"/>
  <c r="AU22" i="10"/>
  <c r="AU22" i="13" s="1"/>
  <c r="AV22" i="10"/>
  <c r="AV22" i="13" s="1"/>
  <c r="AW22" i="10"/>
  <c r="AW22" i="13" s="1"/>
  <c r="AX22" i="10"/>
  <c r="AX22" i="13" s="1"/>
  <c r="AK23" i="10"/>
  <c r="AK23" i="13" s="1"/>
  <c r="AL23" i="10"/>
  <c r="AL23" i="13" s="1"/>
  <c r="AM23" i="10"/>
  <c r="AM23" i="13" s="1"/>
  <c r="AN23" i="10"/>
  <c r="AN23" i="13" s="1"/>
  <c r="AO23" i="10"/>
  <c r="AO23" i="13" s="1"/>
  <c r="AP23" i="10"/>
  <c r="AP23" i="13" s="1"/>
  <c r="AQ23" i="10"/>
  <c r="AQ23" i="13" s="1"/>
  <c r="AR23" i="10"/>
  <c r="AR23" i="13" s="1"/>
  <c r="AS23" i="10"/>
  <c r="AS23" i="13" s="1"/>
  <c r="AT23" i="10"/>
  <c r="AT23" i="13" s="1"/>
  <c r="AU23" i="10"/>
  <c r="AU23" i="13" s="1"/>
  <c r="AV23" i="10"/>
  <c r="AV23" i="13" s="1"/>
  <c r="AW23" i="10"/>
  <c r="AW23" i="13" s="1"/>
  <c r="AX23" i="10"/>
  <c r="AX23" i="13" s="1"/>
  <c r="AK24" i="10"/>
  <c r="AK24" i="13" s="1"/>
  <c r="AL24" i="10"/>
  <c r="AL24" i="13" s="1"/>
  <c r="AM24" i="10"/>
  <c r="AM24" i="13" s="1"/>
  <c r="AN24" i="10"/>
  <c r="AN24" i="13" s="1"/>
  <c r="AO24" i="10"/>
  <c r="AO24" i="13" s="1"/>
  <c r="AP24" i="10"/>
  <c r="AP24" i="13" s="1"/>
  <c r="AQ24" i="10"/>
  <c r="AQ24" i="13" s="1"/>
  <c r="AR24" i="10"/>
  <c r="AR24" i="13" s="1"/>
  <c r="AS24" i="10"/>
  <c r="AS24" i="13" s="1"/>
  <c r="AT24" i="10"/>
  <c r="AT24" i="13" s="1"/>
  <c r="AU24" i="10"/>
  <c r="AU24" i="13" s="1"/>
  <c r="AV24" i="10"/>
  <c r="AV24" i="13" s="1"/>
  <c r="AW24" i="10"/>
  <c r="AW24" i="13" s="1"/>
  <c r="AX24" i="10"/>
  <c r="AX24" i="13" s="1"/>
  <c r="AK25" i="10"/>
  <c r="AK25" i="13" s="1"/>
  <c r="AL25" i="10"/>
  <c r="AL25" i="13" s="1"/>
  <c r="AM25" i="10"/>
  <c r="AM25" i="13" s="1"/>
  <c r="AN25" i="10"/>
  <c r="AN25" i="13" s="1"/>
  <c r="AO25" i="10"/>
  <c r="AO25" i="13" s="1"/>
  <c r="AP25" i="10"/>
  <c r="AP25" i="13" s="1"/>
  <c r="AQ25" i="10"/>
  <c r="AQ25" i="13" s="1"/>
  <c r="AR25" i="10"/>
  <c r="AR25" i="13" s="1"/>
  <c r="AS25" i="10"/>
  <c r="AS25" i="13" s="1"/>
  <c r="AT25" i="10"/>
  <c r="AT25" i="13" s="1"/>
  <c r="AU25" i="10"/>
  <c r="AU25" i="13" s="1"/>
  <c r="AV25" i="10"/>
  <c r="AV25" i="13" s="1"/>
  <c r="AW25" i="10"/>
  <c r="AW25" i="13" s="1"/>
  <c r="AX25" i="10"/>
  <c r="AX25" i="13" s="1"/>
  <c r="AK26" i="10"/>
  <c r="AK26" i="13" s="1"/>
  <c r="AL26" i="10"/>
  <c r="AL26" i="13" s="1"/>
  <c r="AM26" i="10"/>
  <c r="AM26" i="13" s="1"/>
  <c r="AN26" i="10"/>
  <c r="AN26" i="13" s="1"/>
  <c r="AO26" i="10"/>
  <c r="AO26" i="13" s="1"/>
  <c r="AP26" i="10"/>
  <c r="AP26" i="13" s="1"/>
  <c r="AQ26" i="10"/>
  <c r="AQ26" i="13" s="1"/>
  <c r="AR26" i="10"/>
  <c r="AR26" i="13" s="1"/>
  <c r="AS26" i="10"/>
  <c r="AS26" i="13" s="1"/>
  <c r="AT26" i="10"/>
  <c r="AT26" i="13" s="1"/>
  <c r="AU26" i="10"/>
  <c r="AU26" i="13" s="1"/>
  <c r="AV26" i="10"/>
  <c r="AV26" i="13" s="1"/>
  <c r="AW26" i="10"/>
  <c r="AW26" i="13" s="1"/>
  <c r="AX26" i="10"/>
  <c r="AX26" i="13" s="1"/>
  <c r="AK27" i="10"/>
  <c r="AK27" i="13" s="1"/>
  <c r="AL27" i="10"/>
  <c r="AL27" i="13" s="1"/>
  <c r="AM27" i="10"/>
  <c r="AM27" i="13" s="1"/>
  <c r="AN27" i="10"/>
  <c r="AN27" i="13" s="1"/>
  <c r="AO27" i="10"/>
  <c r="AO27" i="13" s="1"/>
  <c r="AP27" i="10"/>
  <c r="AP27" i="13" s="1"/>
  <c r="AQ27" i="10"/>
  <c r="AQ27" i="13" s="1"/>
  <c r="AR27" i="10"/>
  <c r="AR27" i="13" s="1"/>
  <c r="AS27" i="10"/>
  <c r="AS27" i="13" s="1"/>
  <c r="AT27" i="10"/>
  <c r="AT27" i="13" s="1"/>
  <c r="AU27" i="10"/>
  <c r="AU27" i="13" s="1"/>
  <c r="AV27" i="10"/>
  <c r="AV27" i="13" s="1"/>
  <c r="AW27" i="10"/>
  <c r="AW27" i="13" s="1"/>
  <c r="AX27" i="10"/>
  <c r="AX27" i="13" s="1"/>
  <c r="AK28" i="10"/>
  <c r="AK28" i="13" s="1"/>
  <c r="AL28" i="10"/>
  <c r="AL28" i="13" s="1"/>
  <c r="AM28" i="10"/>
  <c r="AM28" i="13" s="1"/>
  <c r="AN28" i="10"/>
  <c r="AN28" i="13" s="1"/>
  <c r="AO28" i="10"/>
  <c r="AO28" i="13" s="1"/>
  <c r="AP28" i="10"/>
  <c r="AP28" i="13" s="1"/>
  <c r="AQ28" i="10"/>
  <c r="AQ28" i="13" s="1"/>
  <c r="AR28" i="10"/>
  <c r="AR28" i="13" s="1"/>
  <c r="AS28" i="10"/>
  <c r="AS28" i="13" s="1"/>
  <c r="AT28" i="10"/>
  <c r="AT28" i="13" s="1"/>
  <c r="AU28" i="10"/>
  <c r="AU28" i="13" s="1"/>
  <c r="AV28" i="10"/>
  <c r="AV28" i="13" s="1"/>
  <c r="AW28" i="10"/>
  <c r="AW28" i="13" s="1"/>
  <c r="AX28" i="10"/>
  <c r="AX28" i="13" s="1"/>
  <c r="AK29" i="10"/>
  <c r="AK29" i="13" s="1"/>
  <c r="AL29" i="10"/>
  <c r="AL29" i="13" s="1"/>
  <c r="AM29" i="10"/>
  <c r="AM29" i="13" s="1"/>
  <c r="AN29" i="10"/>
  <c r="AN29" i="13" s="1"/>
  <c r="AO29" i="10"/>
  <c r="AO29" i="13" s="1"/>
  <c r="AP29" i="10"/>
  <c r="AP29" i="13" s="1"/>
  <c r="AQ29" i="10"/>
  <c r="AQ29" i="13" s="1"/>
  <c r="AR29" i="10"/>
  <c r="AR29" i="13" s="1"/>
  <c r="AS29" i="10"/>
  <c r="AS29" i="13" s="1"/>
  <c r="AT29" i="10"/>
  <c r="AT29" i="13" s="1"/>
  <c r="AU29" i="10"/>
  <c r="AU29" i="13" s="1"/>
  <c r="AV29" i="10"/>
  <c r="AV29" i="13" s="1"/>
  <c r="AW29" i="10"/>
  <c r="AW29" i="13" s="1"/>
  <c r="AX29" i="10"/>
  <c r="AX29" i="13" s="1"/>
  <c r="AK30" i="10"/>
  <c r="AK30" i="13" s="1"/>
  <c r="AL30" i="10"/>
  <c r="AL30" i="13" s="1"/>
  <c r="AM30" i="10"/>
  <c r="AM30" i="13" s="1"/>
  <c r="AN30" i="10"/>
  <c r="AN30" i="13" s="1"/>
  <c r="AO30" i="10"/>
  <c r="AO30" i="13" s="1"/>
  <c r="AP30" i="10"/>
  <c r="AP30" i="13" s="1"/>
  <c r="AQ30" i="10"/>
  <c r="AQ30" i="13" s="1"/>
  <c r="AR30" i="10"/>
  <c r="AR30" i="13" s="1"/>
  <c r="AS30" i="10"/>
  <c r="AS30" i="13" s="1"/>
  <c r="AT30" i="10"/>
  <c r="AT30" i="13" s="1"/>
  <c r="AU30" i="10"/>
  <c r="AU30" i="13" s="1"/>
  <c r="AV30" i="10"/>
  <c r="AV30" i="13" s="1"/>
  <c r="AW30" i="10"/>
  <c r="AW30" i="13" s="1"/>
  <c r="AX30" i="10"/>
  <c r="AX30" i="13" s="1"/>
  <c r="AK31" i="10"/>
  <c r="AK31" i="13" s="1"/>
  <c r="AL31" i="10"/>
  <c r="AL31" i="13" s="1"/>
  <c r="AM31" i="10"/>
  <c r="AM31" i="13" s="1"/>
  <c r="AN31" i="10"/>
  <c r="AN31" i="13" s="1"/>
  <c r="AO31" i="10"/>
  <c r="AO31" i="13" s="1"/>
  <c r="AP31" i="10"/>
  <c r="AP31" i="13" s="1"/>
  <c r="AQ31" i="10"/>
  <c r="AQ31" i="13" s="1"/>
  <c r="AR31" i="10"/>
  <c r="AR31" i="13" s="1"/>
  <c r="AS31" i="10"/>
  <c r="AS31" i="13" s="1"/>
  <c r="AT31" i="10"/>
  <c r="AT31" i="13" s="1"/>
  <c r="AU31" i="10"/>
  <c r="AU31" i="13" s="1"/>
  <c r="AV31" i="10"/>
  <c r="AV31" i="13" s="1"/>
  <c r="AW31" i="10"/>
  <c r="AW31" i="13" s="1"/>
  <c r="AX31" i="10"/>
  <c r="AX31" i="13" s="1"/>
  <c r="AK32" i="10"/>
  <c r="AK32" i="13" s="1"/>
  <c r="AL32" i="10"/>
  <c r="AL32" i="13" s="1"/>
  <c r="AM32" i="10"/>
  <c r="AM32" i="13" s="1"/>
  <c r="AN32" i="10"/>
  <c r="AN32" i="13" s="1"/>
  <c r="AO32" i="10"/>
  <c r="AO32" i="13" s="1"/>
  <c r="AP32" i="10"/>
  <c r="AP32" i="13" s="1"/>
  <c r="AQ32" i="10"/>
  <c r="AQ32" i="13" s="1"/>
  <c r="AR32" i="10"/>
  <c r="AR32" i="13" s="1"/>
  <c r="AS32" i="10"/>
  <c r="AS32" i="13" s="1"/>
  <c r="AT32" i="10"/>
  <c r="AT32" i="13" s="1"/>
  <c r="AU32" i="10"/>
  <c r="AU32" i="13" s="1"/>
  <c r="AV32" i="10"/>
  <c r="AV32" i="13" s="1"/>
  <c r="AW32" i="10"/>
  <c r="AW32" i="13" s="1"/>
  <c r="AX32" i="10"/>
  <c r="AX32" i="13" s="1"/>
  <c r="AK33" i="10"/>
  <c r="AK33" i="13" s="1"/>
  <c r="AL33" i="10"/>
  <c r="AL33" i="13" s="1"/>
  <c r="AM33" i="10"/>
  <c r="AM33" i="13" s="1"/>
  <c r="AN33" i="10"/>
  <c r="AN33" i="13" s="1"/>
  <c r="AO33" i="10"/>
  <c r="AO33" i="13" s="1"/>
  <c r="AP33" i="10"/>
  <c r="AP33" i="13" s="1"/>
  <c r="AQ33" i="10"/>
  <c r="AQ33" i="13" s="1"/>
  <c r="AR33" i="10"/>
  <c r="AR33" i="13" s="1"/>
  <c r="AS33" i="10"/>
  <c r="AS33" i="13" s="1"/>
  <c r="AT33" i="10"/>
  <c r="AT33" i="13" s="1"/>
  <c r="AU33" i="10"/>
  <c r="AU33" i="13" s="1"/>
  <c r="AV33" i="10"/>
  <c r="AV33" i="13" s="1"/>
  <c r="AW33" i="10"/>
  <c r="AW33" i="13" s="1"/>
  <c r="AX33" i="10"/>
  <c r="AX33" i="13" s="1"/>
  <c r="AK34" i="10"/>
  <c r="AK34" i="13" s="1"/>
  <c r="AL34" i="10"/>
  <c r="AL34" i="13" s="1"/>
  <c r="AM34" i="10"/>
  <c r="AM34" i="13" s="1"/>
  <c r="AN34" i="10"/>
  <c r="AN34" i="13" s="1"/>
  <c r="AO34" i="10"/>
  <c r="AO34" i="13" s="1"/>
  <c r="AP34" i="10"/>
  <c r="AP34" i="13" s="1"/>
  <c r="AQ34" i="10"/>
  <c r="AQ34" i="13" s="1"/>
  <c r="AR34" i="10"/>
  <c r="AR34" i="13" s="1"/>
  <c r="AS34" i="10"/>
  <c r="AS34" i="13" s="1"/>
  <c r="AT34" i="10"/>
  <c r="AT34" i="13" s="1"/>
  <c r="AU34" i="10"/>
  <c r="AU34" i="13" s="1"/>
  <c r="AV34" i="10"/>
  <c r="AV34" i="13" s="1"/>
  <c r="AW34" i="10"/>
  <c r="AW34" i="13" s="1"/>
  <c r="AX34" i="10"/>
  <c r="AX34" i="13" s="1"/>
  <c r="AK35" i="10"/>
  <c r="AK35" i="13" s="1"/>
  <c r="AL35" i="10"/>
  <c r="AL35" i="13" s="1"/>
  <c r="AM35" i="10"/>
  <c r="AM35" i="13" s="1"/>
  <c r="AN35" i="10"/>
  <c r="AN35" i="13" s="1"/>
  <c r="AO35" i="10"/>
  <c r="AO35" i="13" s="1"/>
  <c r="AP35" i="10"/>
  <c r="AP35" i="13" s="1"/>
  <c r="AQ35" i="10"/>
  <c r="AQ35" i="13" s="1"/>
  <c r="AR35" i="10"/>
  <c r="AR35" i="13" s="1"/>
  <c r="AS35" i="10"/>
  <c r="AS35" i="13" s="1"/>
  <c r="AT35" i="10"/>
  <c r="AT35" i="13" s="1"/>
  <c r="AU35" i="10"/>
  <c r="AU35" i="13" s="1"/>
  <c r="AV35" i="10"/>
  <c r="AV35" i="13" s="1"/>
  <c r="AW35" i="10"/>
  <c r="AW35" i="13" s="1"/>
  <c r="AX35" i="10"/>
  <c r="AX35" i="13" s="1"/>
  <c r="AK36" i="10"/>
  <c r="AK36" i="13" s="1"/>
  <c r="AL36" i="10"/>
  <c r="AL36" i="13" s="1"/>
  <c r="AM36" i="10"/>
  <c r="AM36" i="13" s="1"/>
  <c r="AN36" i="10"/>
  <c r="AN36" i="13" s="1"/>
  <c r="AO36" i="10"/>
  <c r="AO36" i="13" s="1"/>
  <c r="AP36" i="10"/>
  <c r="AP36" i="13" s="1"/>
  <c r="AQ36" i="10"/>
  <c r="AQ36" i="13" s="1"/>
  <c r="AR36" i="10"/>
  <c r="AR36" i="13" s="1"/>
  <c r="AS36" i="10"/>
  <c r="AS36" i="13" s="1"/>
  <c r="AT36" i="10"/>
  <c r="AT36" i="13" s="1"/>
  <c r="AU36" i="10"/>
  <c r="AU36" i="13" s="1"/>
  <c r="AV36" i="10"/>
  <c r="AV36" i="13" s="1"/>
  <c r="AW36" i="10"/>
  <c r="AW36" i="13" s="1"/>
  <c r="AX36" i="10"/>
  <c r="AX36" i="13" s="1"/>
  <c r="AK37" i="10"/>
  <c r="AK37" i="13" s="1"/>
  <c r="AL37" i="10"/>
  <c r="AL37" i="13" s="1"/>
  <c r="AM37" i="10"/>
  <c r="AM37" i="13" s="1"/>
  <c r="AN37" i="10"/>
  <c r="AN37" i="13" s="1"/>
  <c r="AO37" i="10"/>
  <c r="AO37" i="13" s="1"/>
  <c r="AP37" i="10"/>
  <c r="AP37" i="13" s="1"/>
  <c r="AQ37" i="10"/>
  <c r="AQ37" i="13" s="1"/>
  <c r="AR37" i="10"/>
  <c r="AR37" i="13" s="1"/>
  <c r="AS37" i="10"/>
  <c r="AS37" i="13" s="1"/>
  <c r="AT37" i="10"/>
  <c r="AT37" i="13" s="1"/>
  <c r="AU37" i="10"/>
  <c r="AU37" i="13" s="1"/>
  <c r="AV37" i="10"/>
  <c r="AV37" i="13" s="1"/>
  <c r="AW37" i="10"/>
  <c r="AW37" i="13" s="1"/>
  <c r="AX37" i="10"/>
  <c r="AX37" i="13" s="1"/>
  <c r="AK38" i="10"/>
  <c r="AK38" i="13" s="1"/>
  <c r="AL38" i="10"/>
  <c r="AL38" i="13" s="1"/>
  <c r="AM38" i="10"/>
  <c r="AM38" i="13" s="1"/>
  <c r="AN38" i="10"/>
  <c r="AN38" i="13" s="1"/>
  <c r="AO38" i="10"/>
  <c r="AO38" i="13" s="1"/>
  <c r="AP38" i="10"/>
  <c r="AP38" i="13" s="1"/>
  <c r="AQ38" i="10"/>
  <c r="AQ38" i="13" s="1"/>
  <c r="AR38" i="10"/>
  <c r="AR38" i="13" s="1"/>
  <c r="AS38" i="10"/>
  <c r="AS38" i="13" s="1"/>
  <c r="AT38" i="10"/>
  <c r="AT38" i="13" s="1"/>
  <c r="AU38" i="10"/>
  <c r="AU38" i="13" s="1"/>
  <c r="AV38" i="10"/>
  <c r="AV38" i="13" s="1"/>
  <c r="AW38" i="10"/>
  <c r="AW38" i="13" s="1"/>
  <c r="AX38" i="10"/>
  <c r="AX38" i="13" s="1"/>
  <c r="AK39" i="10"/>
  <c r="AK39" i="13" s="1"/>
  <c r="AL39" i="10"/>
  <c r="AL39" i="13" s="1"/>
  <c r="AM39" i="10"/>
  <c r="AM39" i="13" s="1"/>
  <c r="AN39" i="10"/>
  <c r="AN39" i="13" s="1"/>
  <c r="AO39" i="10"/>
  <c r="AO39" i="13" s="1"/>
  <c r="AP39" i="10"/>
  <c r="AP39" i="13" s="1"/>
  <c r="AQ39" i="10"/>
  <c r="AQ39" i="13" s="1"/>
  <c r="AR39" i="10"/>
  <c r="AR39" i="13" s="1"/>
  <c r="AS39" i="10"/>
  <c r="AS39" i="13" s="1"/>
  <c r="AT39" i="10"/>
  <c r="AT39" i="13" s="1"/>
  <c r="AU39" i="10"/>
  <c r="AU39" i="13" s="1"/>
  <c r="AV39" i="10"/>
  <c r="AV39" i="13" s="1"/>
  <c r="AW39" i="10"/>
  <c r="AW39" i="13" s="1"/>
  <c r="AX39" i="10"/>
  <c r="AX39" i="13" s="1"/>
  <c r="AK40" i="10"/>
  <c r="AK40" i="13" s="1"/>
  <c r="AL40" i="10"/>
  <c r="AL40" i="13" s="1"/>
  <c r="AM40" i="10"/>
  <c r="AM40" i="13" s="1"/>
  <c r="AN40" i="10"/>
  <c r="AN40" i="13" s="1"/>
  <c r="AO40" i="10"/>
  <c r="AO40" i="13" s="1"/>
  <c r="AP40" i="10"/>
  <c r="AP40" i="13" s="1"/>
  <c r="AQ40" i="10"/>
  <c r="AQ40" i="13" s="1"/>
  <c r="AR40" i="10"/>
  <c r="AR40" i="13" s="1"/>
  <c r="AS40" i="10"/>
  <c r="AS40" i="13" s="1"/>
  <c r="AT40" i="10"/>
  <c r="AT40" i="13" s="1"/>
  <c r="AU40" i="10"/>
  <c r="AU40" i="13" s="1"/>
  <c r="AV40" i="10"/>
  <c r="AV40" i="13" s="1"/>
  <c r="AW40" i="10"/>
  <c r="AW40" i="13" s="1"/>
  <c r="AX40" i="10"/>
  <c r="AX40" i="13" s="1"/>
  <c r="AK41" i="10"/>
  <c r="AK41" i="13" s="1"/>
  <c r="AL41" i="10"/>
  <c r="AL41" i="13" s="1"/>
  <c r="AM41" i="10"/>
  <c r="AM41" i="13" s="1"/>
  <c r="AN41" i="10"/>
  <c r="AN41" i="13" s="1"/>
  <c r="AO41" i="10"/>
  <c r="AO41" i="13" s="1"/>
  <c r="AP41" i="10"/>
  <c r="AP41" i="13" s="1"/>
  <c r="AQ41" i="10"/>
  <c r="AQ41" i="13" s="1"/>
  <c r="AR41" i="10"/>
  <c r="AR41" i="13" s="1"/>
  <c r="AS41" i="10"/>
  <c r="AS41" i="13" s="1"/>
  <c r="AT41" i="10"/>
  <c r="AT41" i="13" s="1"/>
  <c r="AU41" i="10"/>
  <c r="AU41" i="13" s="1"/>
  <c r="AV41" i="10"/>
  <c r="AV41" i="13" s="1"/>
  <c r="AW41" i="10"/>
  <c r="AW41" i="13" s="1"/>
  <c r="AX41" i="10"/>
  <c r="AX41" i="13" s="1"/>
  <c r="AK42" i="10"/>
  <c r="AK42" i="13" s="1"/>
  <c r="AL42" i="10"/>
  <c r="AL42" i="13" s="1"/>
  <c r="AM42" i="10"/>
  <c r="AM42" i="13" s="1"/>
  <c r="AN42" i="10"/>
  <c r="AN42" i="13" s="1"/>
  <c r="AO42" i="10"/>
  <c r="AO42" i="13" s="1"/>
  <c r="AP42" i="10"/>
  <c r="AP42" i="13" s="1"/>
  <c r="AQ42" i="10"/>
  <c r="AQ42" i="13" s="1"/>
  <c r="AR42" i="10"/>
  <c r="AR42" i="13" s="1"/>
  <c r="AS42" i="10"/>
  <c r="AS42" i="13" s="1"/>
  <c r="AT42" i="10"/>
  <c r="AT42" i="13" s="1"/>
  <c r="AU42" i="10"/>
  <c r="AU42" i="13" s="1"/>
  <c r="AV42" i="10"/>
  <c r="AV42" i="13" s="1"/>
  <c r="AW42" i="10"/>
  <c r="AW42" i="13" s="1"/>
  <c r="AX42" i="10"/>
  <c r="AX42" i="13" s="1"/>
  <c r="AK43" i="10"/>
  <c r="AK43" i="13" s="1"/>
  <c r="AL43" i="10"/>
  <c r="AL43" i="13" s="1"/>
  <c r="AM43" i="10"/>
  <c r="AM43" i="13" s="1"/>
  <c r="AN43" i="10"/>
  <c r="AN43" i="13" s="1"/>
  <c r="AO43" i="10"/>
  <c r="AO43" i="13" s="1"/>
  <c r="AP43" i="10"/>
  <c r="AP43" i="13" s="1"/>
  <c r="AQ43" i="10"/>
  <c r="AQ43" i="13" s="1"/>
  <c r="AR43" i="10"/>
  <c r="AR43" i="13" s="1"/>
  <c r="AS43" i="10"/>
  <c r="AS43" i="13" s="1"/>
  <c r="AT43" i="10"/>
  <c r="AT43" i="13" s="1"/>
  <c r="AU43" i="10"/>
  <c r="AU43" i="13" s="1"/>
  <c r="AV43" i="10"/>
  <c r="AV43" i="13" s="1"/>
  <c r="AW43" i="10"/>
  <c r="AW43" i="13" s="1"/>
  <c r="AX43" i="10"/>
  <c r="AX43" i="13" s="1"/>
  <c r="AK44" i="10"/>
  <c r="AK44" i="13" s="1"/>
  <c r="AL44" i="10"/>
  <c r="AL44" i="13" s="1"/>
  <c r="AM44" i="10"/>
  <c r="AM44" i="13" s="1"/>
  <c r="AN44" i="10"/>
  <c r="AN44" i="13" s="1"/>
  <c r="AO44" i="10"/>
  <c r="AO44" i="13" s="1"/>
  <c r="AP44" i="10"/>
  <c r="AP44" i="13" s="1"/>
  <c r="AQ44" i="10"/>
  <c r="AQ44" i="13" s="1"/>
  <c r="AR44" i="10"/>
  <c r="AR44" i="13" s="1"/>
  <c r="AS44" i="10"/>
  <c r="AS44" i="13" s="1"/>
  <c r="AT44" i="10"/>
  <c r="AT44" i="13" s="1"/>
  <c r="AU44" i="10"/>
  <c r="AU44" i="13" s="1"/>
  <c r="AV44" i="10"/>
  <c r="AV44" i="13" s="1"/>
  <c r="AW44" i="10"/>
  <c r="AW44" i="13" s="1"/>
  <c r="AX44" i="10"/>
  <c r="AX44" i="13" s="1"/>
  <c r="AK45" i="10"/>
  <c r="AK45" i="13" s="1"/>
  <c r="AL45" i="10"/>
  <c r="AL45" i="13" s="1"/>
  <c r="AM45" i="10"/>
  <c r="AM45" i="13" s="1"/>
  <c r="AN45" i="10"/>
  <c r="AN45" i="13" s="1"/>
  <c r="AO45" i="10"/>
  <c r="AO45" i="13" s="1"/>
  <c r="AP45" i="10"/>
  <c r="AP45" i="13" s="1"/>
  <c r="AQ45" i="10"/>
  <c r="AQ45" i="13" s="1"/>
  <c r="AR45" i="10"/>
  <c r="AR45" i="13" s="1"/>
  <c r="AS45" i="10"/>
  <c r="AS45" i="13" s="1"/>
  <c r="AT45" i="10"/>
  <c r="AT45" i="13" s="1"/>
  <c r="AU45" i="10"/>
  <c r="AU45" i="13" s="1"/>
  <c r="AV45" i="10"/>
  <c r="AV45" i="13" s="1"/>
  <c r="AW45" i="10"/>
  <c r="AW45" i="13" s="1"/>
  <c r="AX45" i="10"/>
  <c r="AX45" i="13" s="1"/>
  <c r="AK46" i="10"/>
  <c r="AK46" i="13" s="1"/>
  <c r="AL46" i="10"/>
  <c r="AL46" i="13" s="1"/>
  <c r="AM46" i="10"/>
  <c r="AM46" i="13" s="1"/>
  <c r="AN46" i="10"/>
  <c r="AN46" i="13" s="1"/>
  <c r="AO46" i="10"/>
  <c r="AO46" i="13" s="1"/>
  <c r="AP46" i="10"/>
  <c r="AP46" i="13" s="1"/>
  <c r="AQ46" i="10"/>
  <c r="AQ46" i="13" s="1"/>
  <c r="AR46" i="10"/>
  <c r="AR46" i="13" s="1"/>
  <c r="AS46" i="10"/>
  <c r="AS46" i="13" s="1"/>
  <c r="AT46" i="10"/>
  <c r="AT46" i="13" s="1"/>
  <c r="AU46" i="10"/>
  <c r="AU46" i="13" s="1"/>
  <c r="AV46" i="10"/>
  <c r="AV46" i="13" s="1"/>
  <c r="AW46" i="10"/>
  <c r="AW46" i="13" s="1"/>
  <c r="AX46" i="10"/>
  <c r="AX46" i="13" s="1"/>
  <c r="AK47" i="10"/>
  <c r="AK47" i="13" s="1"/>
  <c r="AL47" i="10"/>
  <c r="AL47" i="13" s="1"/>
  <c r="AM47" i="10"/>
  <c r="AM47" i="13" s="1"/>
  <c r="AN47" i="10"/>
  <c r="AN47" i="13" s="1"/>
  <c r="AO47" i="10"/>
  <c r="AO47" i="13" s="1"/>
  <c r="AP47" i="10"/>
  <c r="AP47" i="13" s="1"/>
  <c r="AQ47" i="10"/>
  <c r="AQ47" i="13" s="1"/>
  <c r="AR47" i="10"/>
  <c r="AR47" i="13" s="1"/>
  <c r="AS47" i="10"/>
  <c r="AS47" i="13" s="1"/>
  <c r="AT47" i="10"/>
  <c r="AT47" i="13" s="1"/>
  <c r="AU47" i="10"/>
  <c r="AU47" i="13" s="1"/>
  <c r="AV47" i="10"/>
  <c r="AV47" i="13" s="1"/>
  <c r="AW47" i="10"/>
  <c r="AW47" i="13" s="1"/>
  <c r="AX47" i="10"/>
  <c r="AX47" i="13" s="1"/>
  <c r="AK48" i="10"/>
  <c r="AK48" i="13" s="1"/>
  <c r="AL48" i="10"/>
  <c r="AL48" i="13" s="1"/>
  <c r="AM48" i="10"/>
  <c r="AM48" i="13" s="1"/>
  <c r="AN48" i="10"/>
  <c r="AN48" i="13" s="1"/>
  <c r="AO48" i="10"/>
  <c r="AO48" i="13" s="1"/>
  <c r="AP48" i="10"/>
  <c r="AP48" i="13" s="1"/>
  <c r="AQ48" i="10"/>
  <c r="AQ48" i="13" s="1"/>
  <c r="AR48" i="10"/>
  <c r="AR48" i="13" s="1"/>
  <c r="AS48" i="10"/>
  <c r="AS48" i="13" s="1"/>
  <c r="AT48" i="10"/>
  <c r="AT48" i="13" s="1"/>
  <c r="AU48" i="10"/>
  <c r="AU48" i="13" s="1"/>
  <c r="AV48" i="10"/>
  <c r="AV48" i="13" s="1"/>
  <c r="AW48" i="10"/>
  <c r="AW48" i="13" s="1"/>
  <c r="AX48" i="10"/>
  <c r="AX48" i="13" s="1"/>
  <c r="AK49" i="10"/>
  <c r="AK49" i="13" s="1"/>
  <c r="AL49" i="10"/>
  <c r="AL49" i="13" s="1"/>
  <c r="AM49" i="10"/>
  <c r="AM49" i="13" s="1"/>
  <c r="AN49" i="10"/>
  <c r="AN49" i="13" s="1"/>
  <c r="AO49" i="10"/>
  <c r="AO49" i="13" s="1"/>
  <c r="AP49" i="10"/>
  <c r="AP49" i="13" s="1"/>
  <c r="AQ49" i="10"/>
  <c r="AQ49" i="13" s="1"/>
  <c r="AR49" i="10"/>
  <c r="AR49" i="13" s="1"/>
  <c r="AS49" i="10"/>
  <c r="AS49" i="13" s="1"/>
  <c r="AT49" i="10"/>
  <c r="AT49" i="13" s="1"/>
  <c r="AU49" i="10"/>
  <c r="AU49" i="13" s="1"/>
  <c r="AV49" i="10"/>
  <c r="AV49" i="13" s="1"/>
  <c r="AW49" i="10"/>
  <c r="AW49" i="13" s="1"/>
  <c r="AX49" i="10"/>
  <c r="AX49" i="13" s="1"/>
  <c r="AK50" i="10"/>
  <c r="AK50" i="13" s="1"/>
  <c r="AL50" i="10"/>
  <c r="AL50" i="13" s="1"/>
  <c r="AM50" i="10"/>
  <c r="AM50" i="13" s="1"/>
  <c r="AN50" i="10"/>
  <c r="AN50" i="13" s="1"/>
  <c r="AO50" i="10"/>
  <c r="AO50" i="13" s="1"/>
  <c r="AP50" i="10"/>
  <c r="AP50" i="13" s="1"/>
  <c r="AQ50" i="10"/>
  <c r="AQ50" i="13" s="1"/>
  <c r="AR50" i="10"/>
  <c r="AR50" i="13" s="1"/>
  <c r="AS50" i="10"/>
  <c r="AS50" i="13" s="1"/>
  <c r="AT50" i="10"/>
  <c r="AT50" i="13" s="1"/>
  <c r="AU50" i="10"/>
  <c r="AU50" i="13" s="1"/>
  <c r="AV50" i="10"/>
  <c r="AV50" i="13" s="1"/>
  <c r="AW50" i="10"/>
  <c r="AW50" i="13" s="1"/>
  <c r="AX50" i="10"/>
  <c r="AX50" i="13" s="1"/>
  <c r="AK51" i="10"/>
  <c r="AK51" i="13" s="1"/>
  <c r="AL51" i="10"/>
  <c r="AL51" i="13" s="1"/>
  <c r="AM51" i="10"/>
  <c r="AM51" i="13" s="1"/>
  <c r="AN51" i="10"/>
  <c r="AN51" i="13" s="1"/>
  <c r="AO51" i="10"/>
  <c r="AO51" i="13" s="1"/>
  <c r="AP51" i="10"/>
  <c r="AP51" i="13" s="1"/>
  <c r="AQ51" i="10"/>
  <c r="AQ51" i="13" s="1"/>
  <c r="AR51" i="10"/>
  <c r="AR51" i="13" s="1"/>
  <c r="AS51" i="10"/>
  <c r="AS51" i="13" s="1"/>
  <c r="AT51" i="10"/>
  <c r="AT51" i="13" s="1"/>
  <c r="AU51" i="10"/>
  <c r="AU51" i="13" s="1"/>
  <c r="AV51" i="10"/>
  <c r="AV51" i="13" s="1"/>
  <c r="AW51" i="10"/>
  <c r="AW51" i="13" s="1"/>
  <c r="AX51" i="10"/>
  <c r="AX51" i="13" s="1"/>
  <c r="AK52" i="10"/>
  <c r="AK52" i="13" s="1"/>
  <c r="AL52" i="10"/>
  <c r="AL52" i="13" s="1"/>
  <c r="AM52" i="10"/>
  <c r="AM52" i="13" s="1"/>
  <c r="AN52" i="10"/>
  <c r="AN52" i="13" s="1"/>
  <c r="AO52" i="10"/>
  <c r="AO52" i="13" s="1"/>
  <c r="AP52" i="10"/>
  <c r="AP52" i="13" s="1"/>
  <c r="AQ52" i="10"/>
  <c r="AQ52" i="13" s="1"/>
  <c r="AR52" i="10"/>
  <c r="AR52" i="13" s="1"/>
  <c r="AS52" i="10"/>
  <c r="AS52" i="13" s="1"/>
  <c r="AT52" i="10"/>
  <c r="AT52" i="13" s="1"/>
  <c r="AU52" i="10"/>
  <c r="AU52" i="13" s="1"/>
  <c r="AV52" i="10"/>
  <c r="AV52" i="13" s="1"/>
  <c r="AW52" i="10"/>
  <c r="AW52" i="13" s="1"/>
  <c r="AX52" i="10"/>
  <c r="AX52" i="13" s="1"/>
  <c r="AK53" i="10"/>
  <c r="AK53" i="13" s="1"/>
  <c r="AL53" i="10"/>
  <c r="AL53" i="13" s="1"/>
  <c r="AM53" i="10"/>
  <c r="AM53" i="13" s="1"/>
  <c r="AN53" i="10"/>
  <c r="AN53" i="13" s="1"/>
  <c r="AO53" i="10"/>
  <c r="AO53" i="13" s="1"/>
  <c r="AP53" i="10"/>
  <c r="AP53" i="13" s="1"/>
  <c r="AQ53" i="10"/>
  <c r="AQ53" i="13" s="1"/>
  <c r="AR53" i="10"/>
  <c r="AR53" i="13" s="1"/>
  <c r="AS53" i="10"/>
  <c r="AS53" i="13" s="1"/>
  <c r="AT53" i="10"/>
  <c r="AT53" i="13" s="1"/>
  <c r="AU53" i="10"/>
  <c r="AU53" i="13" s="1"/>
  <c r="AV53" i="10"/>
  <c r="AV53" i="13" s="1"/>
  <c r="AW53" i="10"/>
  <c r="AW53" i="13" s="1"/>
  <c r="AX53" i="10"/>
  <c r="AX53" i="13" s="1"/>
  <c r="AK54" i="10"/>
  <c r="AK54" i="13" s="1"/>
  <c r="AL54" i="10"/>
  <c r="AL54" i="13" s="1"/>
  <c r="AM54" i="10"/>
  <c r="AM54" i="13" s="1"/>
  <c r="AN54" i="10"/>
  <c r="AN54" i="13" s="1"/>
  <c r="AO54" i="10"/>
  <c r="AO54" i="13" s="1"/>
  <c r="AP54" i="10"/>
  <c r="AP54" i="13" s="1"/>
  <c r="AQ54" i="10"/>
  <c r="AQ54" i="13" s="1"/>
  <c r="AR54" i="10"/>
  <c r="AR54" i="13" s="1"/>
  <c r="AS54" i="10"/>
  <c r="AS54" i="13" s="1"/>
  <c r="AT54" i="10"/>
  <c r="AT54" i="13" s="1"/>
  <c r="AU54" i="10"/>
  <c r="AU54" i="13" s="1"/>
  <c r="AV54" i="10"/>
  <c r="AV54" i="13" s="1"/>
  <c r="AW54" i="10"/>
  <c r="AW54" i="13" s="1"/>
  <c r="AX54" i="10"/>
  <c r="AX54" i="13" s="1"/>
  <c r="AK57" i="10"/>
  <c r="AK57" i="13" s="1"/>
  <c r="AL57" i="10"/>
  <c r="AL57" i="13" s="1"/>
  <c r="AM57" i="10"/>
  <c r="AM57" i="13" s="1"/>
  <c r="AN57" i="10"/>
  <c r="AN57" i="13" s="1"/>
  <c r="AO57" i="10"/>
  <c r="AO57" i="13" s="1"/>
  <c r="AP57" i="10"/>
  <c r="AP57" i="13" s="1"/>
  <c r="AQ57" i="10"/>
  <c r="AQ57" i="13" s="1"/>
  <c r="AR57" i="10"/>
  <c r="AR57" i="13" s="1"/>
  <c r="AS57" i="10"/>
  <c r="AS57" i="13" s="1"/>
  <c r="AT57" i="10"/>
  <c r="AT57" i="13" s="1"/>
  <c r="AU57" i="10"/>
  <c r="AU57" i="13" s="1"/>
  <c r="AV57" i="10"/>
  <c r="AV57" i="13" s="1"/>
  <c r="AW57" i="10"/>
  <c r="AW57" i="13" s="1"/>
  <c r="AX57" i="10"/>
  <c r="AX57" i="13" s="1"/>
  <c r="AK58" i="10"/>
  <c r="AK58" i="13" s="1"/>
  <c r="AL58" i="10"/>
  <c r="AL58" i="13" s="1"/>
  <c r="AM58" i="10"/>
  <c r="AM58" i="13" s="1"/>
  <c r="AN58" i="10"/>
  <c r="AN58" i="13" s="1"/>
  <c r="AO58" i="10"/>
  <c r="AO58" i="13" s="1"/>
  <c r="AP58" i="10"/>
  <c r="AP58" i="13" s="1"/>
  <c r="AQ58" i="10"/>
  <c r="AQ58" i="13" s="1"/>
  <c r="AR58" i="10"/>
  <c r="AR58" i="13" s="1"/>
  <c r="AS58" i="10"/>
  <c r="AS58" i="13" s="1"/>
  <c r="AT58" i="10"/>
  <c r="AT58" i="13" s="1"/>
  <c r="AU58" i="10"/>
  <c r="AU58" i="13" s="1"/>
  <c r="AV58" i="10"/>
  <c r="AV58" i="13" s="1"/>
  <c r="AW58" i="10"/>
  <c r="AW58" i="13" s="1"/>
  <c r="AX58" i="10"/>
  <c r="AX58" i="13" s="1"/>
  <c r="AK59" i="10"/>
  <c r="AK59" i="13" s="1"/>
  <c r="AL59" i="10"/>
  <c r="AL59" i="13" s="1"/>
  <c r="AM59" i="10"/>
  <c r="AM59" i="13" s="1"/>
  <c r="AN59" i="10"/>
  <c r="AN59" i="13" s="1"/>
  <c r="AO59" i="10"/>
  <c r="AO59" i="13" s="1"/>
  <c r="AP59" i="10"/>
  <c r="AP59" i="13" s="1"/>
  <c r="AQ59" i="10"/>
  <c r="AQ59" i="13" s="1"/>
  <c r="AR59" i="10"/>
  <c r="AR59" i="13" s="1"/>
  <c r="AS59" i="10"/>
  <c r="AS59" i="13" s="1"/>
  <c r="AT59" i="10"/>
  <c r="AT59" i="13" s="1"/>
  <c r="AU59" i="10"/>
  <c r="AU59" i="13" s="1"/>
  <c r="AV59" i="10"/>
  <c r="AV59" i="13" s="1"/>
  <c r="AW59" i="10"/>
  <c r="AW59" i="13" s="1"/>
  <c r="AX59" i="10"/>
  <c r="AX59" i="13" s="1"/>
  <c r="AK60" i="10"/>
  <c r="AK60" i="13" s="1"/>
  <c r="AL60" i="10"/>
  <c r="AL60" i="13" s="1"/>
  <c r="AM60" i="10"/>
  <c r="AM60" i="13" s="1"/>
  <c r="AN60" i="10"/>
  <c r="AN60" i="13" s="1"/>
  <c r="AO60" i="10"/>
  <c r="AO60" i="13" s="1"/>
  <c r="AP60" i="10"/>
  <c r="AP60" i="13" s="1"/>
  <c r="AQ60" i="10"/>
  <c r="AQ60" i="13" s="1"/>
  <c r="AR60" i="10"/>
  <c r="AR60" i="13" s="1"/>
  <c r="AS60" i="10"/>
  <c r="AS60" i="13" s="1"/>
  <c r="AT60" i="10"/>
  <c r="AT60" i="13" s="1"/>
  <c r="AU60" i="10"/>
  <c r="AU60" i="13" s="1"/>
  <c r="AV60" i="10"/>
  <c r="AV60" i="13" s="1"/>
  <c r="AW60" i="10"/>
  <c r="AW60" i="13" s="1"/>
  <c r="AX60" i="10"/>
  <c r="AX60" i="13" s="1"/>
  <c r="AK61" i="10"/>
  <c r="AK61" i="13" s="1"/>
  <c r="AL61" i="10"/>
  <c r="AL61" i="13" s="1"/>
  <c r="AM61" i="10"/>
  <c r="AM61" i="13" s="1"/>
  <c r="AN61" i="10"/>
  <c r="AN61" i="13" s="1"/>
  <c r="AO61" i="10"/>
  <c r="AO61" i="13" s="1"/>
  <c r="AP61" i="10"/>
  <c r="AP61" i="13" s="1"/>
  <c r="AQ61" i="10"/>
  <c r="AQ61" i="13" s="1"/>
  <c r="AR61" i="10"/>
  <c r="AR61" i="13" s="1"/>
  <c r="AS61" i="10"/>
  <c r="AS61" i="13" s="1"/>
  <c r="AT61" i="10"/>
  <c r="AT61" i="13" s="1"/>
  <c r="AU61" i="10"/>
  <c r="AU61" i="13" s="1"/>
  <c r="AV61" i="10"/>
  <c r="AV61" i="13" s="1"/>
  <c r="AW61" i="10"/>
  <c r="AW61" i="13" s="1"/>
  <c r="AX61" i="10"/>
  <c r="AX61" i="13" s="1"/>
  <c r="AK62" i="10"/>
  <c r="AK62" i="13" s="1"/>
  <c r="AL62" i="10"/>
  <c r="AL62" i="13" s="1"/>
  <c r="AM62" i="10"/>
  <c r="AM62" i="13" s="1"/>
  <c r="AN62" i="10"/>
  <c r="AN62" i="13" s="1"/>
  <c r="AO62" i="10"/>
  <c r="AO62" i="13" s="1"/>
  <c r="AP62" i="10"/>
  <c r="AP62" i="13" s="1"/>
  <c r="AQ62" i="10"/>
  <c r="AQ62" i="13" s="1"/>
  <c r="AR62" i="10"/>
  <c r="AR62" i="13" s="1"/>
  <c r="AS62" i="10"/>
  <c r="AS62" i="13" s="1"/>
  <c r="AT62" i="10"/>
  <c r="AT62" i="13" s="1"/>
  <c r="AU62" i="10"/>
  <c r="AU62" i="13" s="1"/>
  <c r="AV62" i="10"/>
  <c r="AV62" i="13" s="1"/>
  <c r="AW62" i="10"/>
  <c r="AW62" i="13" s="1"/>
  <c r="AX62" i="10"/>
  <c r="AX62" i="13" s="1"/>
  <c r="AK63" i="10"/>
  <c r="AK63" i="13" s="1"/>
  <c r="AL63" i="10"/>
  <c r="AL63" i="13" s="1"/>
  <c r="AM63" i="10"/>
  <c r="AM63" i="13" s="1"/>
  <c r="AN63" i="10"/>
  <c r="AN63" i="13" s="1"/>
  <c r="AO63" i="10"/>
  <c r="AO63" i="13" s="1"/>
  <c r="AP63" i="10"/>
  <c r="AP63" i="13" s="1"/>
  <c r="AQ63" i="10"/>
  <c r="AQ63" i="13" s="1"/>
  <c r="AR63" i="10"/>
  <c r="AR63" i="13" s="1"/>
  <c r="AS63" i="10"/>
  <c r="AS63" i="13" s="1"/>
  <c r="AT63" i="10"/>
  <c r="AT63" i="13" s="1"/>
  <c r="AU63" i="10"/>
  <c r="AU63" i="13" s="1"/>
  <c r="AV63" i="10"/>
  <c r="AV63" i="13" s="1"/>
  <c r="AW63" i="10"/>
  <c r="AW63" i="13" s="1"/>
  <c r="AX63" i="10"/>
  <c r="AX63" i="13" s="1"/>
  <c r="AK64" i="10"/>
  <c r="AK64" i="13" s="1"/>
  <c r="AL64" i="10"/>
  <c r="AL64" i="13" s="1"/>
  <c r="AM64" i="10"/>
  <c r="AM64" i="13" s="1"/>
  <c r="AN64" i="10"/>
  <c r="AN64" i="13" s="1"/>
  <c r="AO64" i="10"/>
  <c r="AO64" i="13" s="1"/>
  <c r="AP64" i="10"/>
  <c r="AP64" i="13" s="1"/>
  <c r="AQ64" i="10"/>
  <c r="AQ64" i="13" s="1"/>
  <c r="AR64" i="10"/>
  <c r="AR64" i="13" s="1"/>
  <c r="AS64" i="10"/>
  <c r="AS64" i="13" s="1"/>
  <c r="AT64" i="10"/>
  <c r="AT64" i="13" s="1"/>
  <c r="AU64" i="10"/>
  <c r="AU64" i="13" s="1"/>
  <c r="AV64" i="10"/>
  <c r="AV64" i="13" s="1"/>
  <c r="AW64" i="10"/>
  <c r="AW64" i="13" s="1"/>
  <c r="AX64" i="10"/>
  <c r="AX64" i="13" s="1"/>
  <c r="AK65" i="10"/>
  <c r="AK65" i="13" s="1"/>
  <c r="AL65" i="10"/>
  <c r="AL65" i="13" s="1"/>
  <c r="AM65" i="10"/>
  <c r="AM65" i="13" s="1"/>
  <c r="AN65" i="10"/>
  <c r="AN65" i="13" s="1"/>
  <c r="AO65" i="10"/>
  <c r="AO65" i="13" s="1"/>
  <c r="AP65" i="10"/>
  <c r="AP65" i="13" s="1"/>
  <c r="AQ65" i="10"/>
  <c r="AQ65" i="13" s="1"/>
  <c r="AR65" i="10"/>
  <c r="AR65" i="13" s="1"/>
  <c r="AS65" i="10"/>
  <c r="AS65" i="13" s="1"/>
  <c r="AT65" i="10"/>
  <c r="AT65" i="13" s="1"/>
  <c r="AU65" i="10"/>
  <c r="AU65" i="13" s="1"/>
  <c r="AV65" i="10"/>
  <c r="AV65" i="13" s="1"/>
  <c r="AW65" i="10"/>
  <c r="AW65" i="13" s="1"/>
  <c r="AX65" i="10"/>
  <c r="AX65" i="13" s="1"/>
  <c r="AK66" i="10"/>
  <c r="AK66" i="13" s="1"/>
  <c r="AL66" i="10"/>
  <c r="AL66" i="13" s="1"/>
  <c r="AM66" i="10"/>
  <c r="AM66" i="13" s="1"/>
  <c r="AN66" i="10"/>
  <c r="AN66" i="13" s="1"/>
  <c r="AO66" i="10"/>
  <c r="AO66" i="13" s="1"/>
  <c r="AP66" i="10"/>
  <c r="AP66" i="13" s="1"/>
  <c r="AQ66" i="10"/>
  <c r="AQ66" i="13" s="1"/>
  <c r="AR66" i="10"/>
  <c r="AR66" i="13" s="1"/>
  <c r="AS66" i="10"/>
  <c r="AS66" i="13" s="1"/>
  <c r="AT66" i="10"/>
  <c r="AT66" i="13" s="1"/>
  <c r="AU66" i="10"/>
  <c r="AU66" i="13" s="1"/>
  <c r="AV66" i="10"/>
  <c r="AV66" i="13" s="1"/>
  <c r="AW66" i="10"/>
  <c r="AW66" i="13" s="1"/>
  <c r="AX66" i="10"/>
  <c r="AX66" i="13" s="1"/>
  <c r="AK67" i="10"/>
  <c r="AK67" i="13" s="1"/>
  <c r="AL67" i="10"/>
  <c r="AL67" i="13" s="1"/>
  <c r="AM67" i="10"/>
  <c r="AM67" i="13" s="1"/>
  <c r="AN67" i="10"/>
  <c r="AN67" i="13" s="1"/>
  <c r="AO67" i="10"/>
  <c r="AO67" i="13" s="1"/>
  <c r="AP67" i="10"/>
  <c r="AP67" i="13" s="1"/>
  <c r="AQ67" i="10"/>
  <c r="AQ67" i="13" s="1"/>
  <c r="AR67" i="10"/>
  <c r="AR67" i="13" s="1"/>
  <c r="AS67" i="10"/>
  <c r="AS67" i="13" s="1"/>
  <c r="AT67" i="10"/>
  <c r="AT67" i="13" s="1"/>
  <c r="AU67" i="10"/>
  <c r="AU67" i="13" s="1"/>
  <c r="AV67" i="10"/>
  <c r="AV67" i="13" s="1"/>
  <c r="AW67" i="10"/>
  <c r="AW67" i="13" s="1"/>
  <c r="AX67" i="10"/>
  <c r="AX67" i="13" s="1"/>
  <c r="AK68" i="10"/>
  <c r="AK68" i="13" s="1"/>
  <c r="AL68" i="10"/>
  <c r="AL68" i="13" s="1"/>
  <c r="AM68" i="10"/>
  <c r="AM68" i="13" s="1"/>
  <c r="AN68" i="10"/>
  <c r="AN68" i="13" s="1"/>
  <c r="AO68" i="10"/>
  <c r="AO68" i="13" s="1"/>
  <c r="AP68" i="10"/>
  <c r="AP68" i="13" s="1"/>
  <c r="AQ68" i="10"/>
  <c r="AQ68" i="13" s="1"/>
  <c r="AR68" i="10"/>
  <c r="AR68" i="13" s="1"/>
  <c r="AS68" i="10"/>
  <c r="AS68" i="13" s="1"/>
  <c r="AT68" i="10"/>
  <c r="AT68" i="13" s="1"/>
  <c r="AU68" i="10"/>
  <c r="AU68" i="13" s="1"/>
  <c r="AV68" i="10"/>
  <c r="AV68" i="13" s="1"/>
  <c r="AW68" i="10"/>
  <c r="AW68" i="13" s="1"/>
  <c r="AX68" i="10"/>
  <c r="AX68" i="13" s="1"/>
  <c r="AK69" i="10"/>
  <c r="AK69" i="13" s="1"/>
  <c r="AL69" i="10"/>
  <c r="AL69" i="13" s="1"/>
  <c r="AM69" i="10"/>
  <c r="AM69" i="13" s="1"/>
  <c r="AN69" i="10"/>
  <c r="AN69" i="13" s="1"/>
  <c r="AO69" i="10"/>
  <c r="AO69" i="13" s="1"/>
  <c r="AP69" i="10"/>
  <c r="AP69" i="13" s="1"/>
  <c r="AQ69" i="10"/>
  <c r="AQ69" i="13" s="1"/>
  <c r="AR69" i="10"/>
  <c r="AR69" i="13" s="1"/>
  <c r="AS69" i="10"/>
  <c r="AS69" i="13" s="1"/>
  <c r="AT69" i="10"/>
  <c r="AT69" i="13" s="1"/>
  <c r="AU69" i="10"/>
  <c r="AU69" i="13" s="1"/>
  <c r="AV69" i="10"/>
  <c r="AV69" i="13" s="1"/>
  <c r="AW69" i="10"/>
  <c r="AW69" i="13" s="1"/>
  <c r="AX69" i="10"/>
  <c r="AX69" i="13" s="1"/>
  <c r="AK70" i="10"/>
  <c r="AK70" i="13" s="1"/>
  <c r="AL70" i="10"/>
  <c r="AL70" i="13" s="1"/>
  <c r="AM70" i="10"/>
  <c r="AM70" i="13" s="1"/>
  <c r="AN70" i="10"/>
  <c r="AN70" i="13" s="1"/>
  <c r="AO70" i="10"/>
  <c r="AO70" i="13" s="1"/>
  <c r="AP70" i="10"/>
  <c r="AP70" i="13" s="1"/>
  <c r="AQ70" i="10"/>
  <c r="AQ70" i="13" s="1"/>
  <c r="AR70" i="10"/>
  <c r="AR70" i="13" s="1"/>
  <c r="AS70" i="10"/>
  <c r="AS70" i="13" s="1"/>
  <c r="AT70" i="10"/>
  <c r="AT70" i="13" s="1"/>
  <c r="AU70" i="10"/>
  <c r="AU70" i="13" s="1"/>
  <c r="AV70" i="10"/>
  <c r="AV70" i="13" s="1"/>
  <c r="AW70" i="10"/>
  <c r="AW70" i="13" s="1"/>
  <c r="AX70" i="10"/>
  <c r="AX70" i="13" s="1"/>
  <c r="AL2" i="10"/>
  <c r="AL2" i="13" s="1"/>
  <c r="AM2" i="10"/>
  <c r="AM2" i="13" s="1"/>
  <c r="AN2" i="10"/>
  <c r="AN2" i="13" s="1"/>
  <c r="AO2" i="10"/>
  <c r="AO2" i="13" s="1"/>
  <c r="AP2" i="10"/>
  <c r="AP2" i="13" s="1"/>
  <c r="AQ2" i="10"/>
  <c r="AQ2" i="13" s="1"/>
  <c r="AR2" i="10"/>
  <c r="AR2" i="13" s="1"/>
  <c r="AS2" i="10"/>
  <c r="AS2" i="13" s="1"/>
  <c r="AT2" i="10"/>
  <c r="AT2" i="13" s="1"/>
  <c r="AU2" i="10"/>
  <c r="AU2" i="13" s="1"/>
  <c r="AV2" i="10"/>
  <c r="AV2" i="13" s="1"/>
  <c r="AW2" i="10"/>
  <c r="AW2" i="13" s="1"/>
  <c r="AX2" i="10"/>
  <c r="AX2" i="13" s="1"/>
  <c r="AK2" i="10"/>
  <c r="AK2" i="13" s="1"/>
  <c r="AA3" i="10"/>
  <c r="AA3" i="13" s="1"/>
  <c r="AB3" i="10"/>
  <c r="AB3" i="13" s="1"/>
  <c r="AC3" i="10"/>
  <c r="AC3" i="13" s="1"/>
  <c r="AD3" i="10"/>
  <c r="AD3" i="13" s="1"/>
  <c r="AF3" i="10"/>
  <c r="AF3" i="13" s="1"/>
  <c r="AG3" i="10"/>
  <c r="AG3" i="13" s="1"/>
  <c r="AH3" i="10"/>
  <c r="AH3" i="13" s="1"/>
  <c r="AI3" i="10"/>
  <c r="AI3" i="13" s="1"/>
  <c r="AA4" i="10"/>
  <c r="AA4" i="13" s="1"/>
  <c r="AB4" i="10"/>
  <c r="AB4" i="13" s="1"/>
  <c r="AC4" i="10"/>
  <c r="AC4" i="13" s="1"/>
  <c r="AD4" i="10"/>
  <c r="AD4" i="13" s="1"/>
  <c r="AF4" i="10"/>
  <c r="AF4" i="13" s="1"/>
  <c r="AG4" i="10"/>
  <c r="AG4" i="13" s="1"/>
  <c r="AH4" i="10"/>
  <c r="AH4" i="13" s="1"/>
  <c r="AI4" i="10"/>
  <c r="AI4" i="13" s="1"/>
  <c r="AA5" i="10"/>
  <c r="AA5" i="13" s="1"/>
  <c r="AB5" i="10"/>
  <c r="AB5" i="13" s="1"/>
  <c r="AC5" i="10"/>
  <c r="AC5" i="13" s="1"/>
  <c r="AD5" i="10"/>
  <c r="AD5" i="13" s="1"/>
  <c r="AF5" i="10"/>
  <c r="AF5" i="13" s="1"/>
  <c r="AG5" i="10"/>
  <c r="AG5" i="13" s="1"/>
  <c r="AH5" i="10"/>
  <c r="AH5" i="13" s="1"/>
  <c r="AI5" i="10"/>
  <c r="AI5" i="13" s="1"/>
  <c r="AA6" i="10"/>
  <c r="AA6" i="13" s="1"/>
  <c r="AB6" i="10"/>
  <c r="AB6" i="13" s="1"/>
  <c r="AC6" i="10"/>
  <c r="AC6" i="13" s="1"/>
  <c r="AD6" i="10"/>
  <c r="AD6" i="13" s="1"/>
  <c r="AF6" i="10"/>
  <c r="AF6" i="13" s="1"/>
  <c r="AG6" i="10"/>
  <c r="AG6" i="13" s="1"/>
  <c r="AH6" i="10"/>
  <c r="AH6" i="13" s="1"/>
  <c r="AI6" i="10"/>
  <c r="AI6" i="13" s="1"/>
  <c r="AA7" i="10"/>
  <c r="AA7" i="13" s="1"/>
  <c r="AB7" i="10"/>
  <c r="AB7" i="13" s="1"/>
  <c r="AC7" i="10"/>
  <c r="AC7" i="13" s="1"/>
  <c r="AD7" i="10"/>
  <c r="AD7" i="13" s="1"/>
  <c r="AF7" i="10"/>
  <c r="AF7" i="13" s="1"/>
  <c r="AG7" i="10"/>
  <c r="AG7" i="13" s="1"/>
  <c r="AH7" i="10"/>
  <c r="AH7" i="13" s="1"/>
  <c r="AI7" i="10"/>
  <c r="AI7" i="13" s="1"/>
  <c r="AA8" i="10"/>
  <c r="AA8" i="13" s="1"/>
  <c r="AB8" i="10"/>
  <c r="AB8" i="13" s="1"/>
  <c r="AC8" i="10"/>
  <c r="AC8" i="13" s="1"/>
  <c r="AD8" i="10"/>
  <c r="AD8" i="13" s="1"/>
  <c r="AF8" i="10"/>
  <c r="AF8" i="13" s="1"/>
  <c r="AG8" i="10"/>
  <c r="AG8" i="13" s="1"/>
  <c r="AH8" i="10"/>
  <c r="AH8" i="13" s="1"/>
  <c r="AI8" i="10"/>
  <c r="AI8" i="13" s="1"/>
  <c r="AA9" i="10"/>
  <c r="AA9" i="13" s="1"/>
  <c r="AB9" i="10"/>
  <c r="AB9" i="13" s="1"/>
  <c r="AC9" i="10"/>
  <c r="AC9" i="13" s="1"/>
  <c r="AD9" i="10"/>
  <c r="AD9" i="13" s="1"/>
  <c r="AF9" i="10"/>
  <c r="AF9" i="13" s="1"/>
  <c r="AG9" i="10"/>
  <c r="AG9" i="13" s="1"/>
  <c r="AH9" i="10"/>
  <c r="AH9" i="13" s="1"/>
  <c r="AI9" i="10"/>
  <c r="AI9" i="13" s="1"/>
  <c r="AA10" i="10"/>
  <c r="AA10" i="13" s="1"/>
  <c r="AB10" i="10"/>
  <c r="AB10" i="13" s="1"/>
  <c r="AC10" i="10"/>
  <c r="AC10" i="13" s="1"/>
  <c r="AD10" i="10"/>
  <c r="AD10" i="13" s="1"/>
  <c r="AF10" i="10"/>
  <c r="AF10" i="13" s="1"/>
  <c r="AG10" i="10"/>
  <c r="AG10" i="13" s="1"/>
  <c r="AH10" i="10"/>
  <c r="AH10" i="13" s="1"/>
  <c r="AI10" i="10"/>
  <c r="AI10" i="13" s="1"/>
  <c r="AA11" i="10"/>
  <c r="AA11" i="13" s="1"/>
  <c r="AB11" i="10"/>
  <c r="AB11" i="13" s="1"/>
  <c r="AC11" i="10"/>
  <c r="AC11" i="13" s="1"/>
  <c r="AD11" i="10"/>
  <c r="AD11" i="13" s="1"/>
  <c r="AF11" i="10"/>
  <c r="AF11" i="13" s="1"/>
  <c r="AG11" i="10"/>
  <c r="AG11" i="13" s="1"/>
  <c r="AH11" i="10"/>
  <c r="AH11" i="13" s="1"/>
  <c r="AI11" i="10"/>
  <c r="AI11" i="13" s="1"/>
  <c r="AA13" i="10"/>
  <c r="AA13" i="13" s="1"/>
  <c r="AB13" i="10"/>
  <c r="AB13" i="13" s="1"/>
  <c r="AC13" i="10"/>
  <c r="AC13" i="13" s="1"/>
  <c r="AD13" i="10"/>
  <c r="AD13" i="13" s="1"/>
  <c r="AF13" i="10"/>
  <c r="AF13" i="13" s="1"/>
  <c r="AG13" i="10"/>
  <c r="AG13" i="13" s="1"/>
  <c r="AH13" i="10"/>
  <c r="AH13" i="13" s="1"/>
  <c r="AI13" i="10"/>
  <c r="AI13" i="13" s="1"/>
  <c r="AA14" i="10"/>
  <c r="AA14" i="13" s="1"/>
  <c r="AB14" i="10"/>
  <c r="AB14" i="13" s="1"/>
  <c r="AC14" i="10"/>
  <c r="AC14" i="13" s="1"/>
  <c r="AD14" i="10"/>
  <c r="AD14" i="13" s="1"/>
  <c r="AF14" i="10"/>
  <c r="AF14" i="13" s="1"/>
  <c r="AG14" i="10"/>
  <c r="AG14" i="13" s="1"/>
  <c r="AH14" i="10"/>
  <c r="AH14" i="13" s="1"/>
  <c r="AI14" i="10"/>
  <c r="AI14" i="13" s="1"/>
  <c r="AA15" i="10"/>
  <c r="AA15" i="13" s="1"/>
  <c r="AB15" i="10"/>
  <c r="AB15" i="13" s="1"/>
  <c r="AC15" i="10"/>
  <c r="AC15" i="13" s="1"/>
  <c r="AD15" i="10"/>
  <c r="AD15" i="13" s="1"/>
  <c r="AF15" i="10"/>
  <c r="AF15" i="13" s="1"/>
  <c r="AG15" i="10"/>
  <c r="AG15" i="13" s="1"/>
  <c r="AH15" i="10"/>
  <c r="AH15" i="13" s="1"/>
  <c r="AI15" i="10"/>
  <c r="AI15" i="13" s="1"/>
  <c r="AA16" i="10"/>
  <c r="AA16" i="13" s="1"/>
  <c r="AB16" i="10"/>
  <c r="AB16" i="13" s="1"/>
  <c r="AC16" i="10"/>
  <c r="AC16" i="13" s="1"/>
  <c r="AD16" i="10"/>
  <c r="AD16" i="13" s="1"/>
  <c r="AF16" i="10"/>
  <c r="AF16" i="13" s="1"/>
  <c r="AG16" i="10"/>
  <c r="AG16" i="13" s="1"/>
  <c r="AH16" i="10"/>
  <c r="AH16" i="13" s="1"/>
  <c r="AI16" i="10"/>
  <c r="AI16" i="13" s="1"/>
  <c r="AA17" i="10"/>
  <c r="AA17" i="13" s="1"/>
  <c r="AB17" i="10"/>
  <c r="AB17" i="13" s="1"/>
  <c r="AC17" i="10"/>
  <c r="AC17" i="13" s="1"/>
  <c r="AD17" i="10"/>
  <c r="AD17" i="13" s="1"/>
  <c r="AF17" i="10"/>
  <c r="AF17" i="13" s="1"/>
  <c r="AG17" i="10"/>
  <c r="AG17" i="13" s="1"/>
  <c r="AH17" i="10"/>
  <c r="AH17" i="13" s="1"/>
  <c r="AI17" i="10"/>
  <c r="AI17" i="13" s="1"/>
  <c r="AA18" i="10"/>
  <c r="AA18" i="13" s="1"/>
  <c r="AB18" i="10"/>
  <c r="AB18" i="13" s="1"/>
  <c r="AC18" i="10"/>
  <c r="AC18" i="13" s="1"/>
  <c r="AD18" i="10"/>
  <c r="AD18" i="13" s="1"/>
  <c r="AF18" i="10"/>
  <c r="AF18" i="13" s="1"/>
  <c r="AG18" i="10"/>
  <c r="AG18" i="13" s="1"/>
  <c r="AH18" i="10"/>
  <c r="AH18" i="13" s="1"/>
  <c r="AI18" i="10"/>
  <c r="AI18" i="13" s="1"/>
  <c r="AA19" i="10"/>
  <c r="AA19" i="13" s="1"/>
  <c r="AB19" i="10"/>
  <c r="AB19" i="13" s="1"/>
  <c r="AC19" i="10"/>
  <c r="AC19" i="13" s="1"/>
  <c r="AD19" i="10"/>
  <c r="AD19" i="13" s="1"/>
  <c r="AF19" i="10"/>
  <c r="AF19" i="13" s="1"/>
  <c r="AG19" i="10"/>
  <c r="AG19" i="13" s="1"/>
  <c r="AH19" i="10"/>
  <c r="AH19" i="13" s="1"/>
  <c r="AI19" i="10"/>
  <c r="AI19" i="13" s="1"/>
  <c r="AA20" i="10"/>
  <c r="AA20" i="13" s="1"/>
  <c r="AB20" i="10"/>
  <c r="AB20" i="13" s="1"/>
  <c r="AC20" i="10"/>
  <c r="AC20" i="13" s="1"/>
  <c r="AD20" i="10"/>
  <c r="AD20" i="13" s="1"/>
  <c r="AF20" i="10"/>
  <c r="AF20" i="13" s="1"/>
  <c r="AG20" i="10"/>
  <c r="AG20" i="13" s="1"/>
  <c r="AH20" i="10"/>
  <c r="AH20" i="13" s="1"/>
  <c r="AI20" i="10"/>
  <c r="AI20" i="13" s="1"/>
  <c r="AA21" i="10"/>
  <c r="AA21" i="13" s="1"/>
  <c r="AB21" i="10"/>
  <c r="AB21" i="13" s="1"/>
  <c r="AC21" i="10"/>
  <c r="AC21" i="13" s="1"/>
  <c r="AD21" i="10"/>
  <c r="AD21" i="13" s="1"/>
  <c r="AF21" i="10"/>
  <c r="AF21" i="13" s="1"/>
  <c r="AG21" i="10"/>
  <c r="AG21" i="13" s="1"/>
  <c r="AH21" i="10"/>
  <c r="AH21" i="13" s="1"/>
  <c r="AI21" i="10"/>
  <c r="AI21" i="13" s="1"/>
  <c r="AA22" i="10"/>
  <c r="AA22" i="13" s="1"/>
  <c r="AB22" i="10"/>
  <c r="AB22" i="13" s="1"/>
  <c r="AC22" i="10"/>
  <c r="AC22" i="13" s="1"/>
  <c r="AD22" i="10"/>
  <c r="AD22" i="13" s="1"/>
  <c r="AF22" i="10"/>
  <c r="AF22" i="13" s="1"/>
  <c r="AG22" i="10"/>
  <c r="AG22" i="13" s="1"/>
  <c r="AH22" i="10"/>
  <c r="AH22" i="13" s="1"/>
  <c r="AI22" i="10"/>
  <c r="AI22" i="13" s="1"/>
  <c r="AA23" i="10"/>
  <c r="AA23" i="13" s="1"/>
  <c r="AB23" i="10"/>
  <c r="AB23" i="13" s="1"/>
  <c r="AC23" i="10"/>
  <c r="AC23" i="13" s="1"/>
  <c r="AD23" i="10"/>
  <c r="AD23" i="13" s="1"/>
  <c r="AF23" i="10"/>
  <c r="AF23" i="13" s="1"/>
  <c r="AG23" i="10"/>
  <c r="AG23" i="13" s="1"/>
  <c r="AH23" i="10"/>
  <c r="AH23" i="13" s="1"/>
  <c r="AI23" i="10"/>
  <c r="AI23" i="13" s="1"/>
  <c r="AA24" i="10"/>
  <c r="AA24" i="13" s="1"/>
  <c r="AB24" i="10"/>
  <c r="AB24" i="13" s="1"/>
  <c r="AC24" i="10"/>
  <c r="AC24" i="13" s="1"/>
  <c r="AD24" i="10"/>
  <c r="AD24" i="13" s="1"/>
  <c r="AF24" i="10"/>
  <c r="AF24" i="13" s="1"/>
  <c r="AG24" i="10"/>
  <c r="AG24" i="13" s="1"/>
  <c r="AH24" i="10"/>
  <c r="AH24" i="13" s="1"/>
  <c r="AI24" i="10"/>
  <c r="AI24" i="13" s="1"/>
  <c r="AA25" i="10"/>
  <c r="AA25" i="13" s="1"/>
  <c r="AB25" i="10"/>
  <c r="AB25" i="13" s="1"/>
  <c r="AC25" i="10"/>
  <c r="AC25" i="13" s="1"/>
  <c r="AD25" i="10"/>
  <c r="AD25" i="13" s="1"/>
  <c r="AF25" i="10"/>
  <c r="AF25" i="13" s="1"/>
  <c r="AG25" i="10"/>
  <c r="AG25" i="13" s="1"/>
  <c r="AH25" i="10"/>
  <c r="AH25" i="13" s="1"/>
  <c r="AI25" i="10"/>
  <c r="AI25" i="13" s="1"/>
  <c r="AA26" i="10"/>
  <c r="AA26" i="13" s="1"/>
  <c r="AB26" i="10"/>
  <c r="AB26" i="13" s="1"/>
  <c r="AC26" i="10"/>
  <c r="AC26" i="13" s="1"/>
  <c r="AD26" i="10"/>
  <c r="AD26" i="13" s="1"/>
  <c r="AF26" i="10"/>
  <c r="AF26" i="13" s="1"/>
  <c r="AG26" i="10"/>
  <c r="AG26" i="13" s="1"/>
  <c r="AH26" i="10"/>
  <c r="AH26" i="13" s="1"/>
  <c r="AI26" i="10"/>
  <c r="AI26" i="13" s="1"/>
  <c r="AA27" i="10"/>
  <c r="AA27" i="13" s="1"/>
  <c r="AB27" i="10"/>
  <c r="AB27" i="13" s="1"/>
  <c r="AC27" i="10"/>
  <c r="AC27" i="13" s="1"/>
  <c r="AD27" i="10"/>
  <c r="AD27" i="13" s="1"/>
  <c r="AF27" i="10"/>
  <c r="AF27" i="13" s="1"/>
  <c r="AG27" i="10"/>
  <c r="AG27" i="13" s="1"/>
  <c r="AH27" i="10"/>
  <c r="AH27" i="13" s="1"/>
  <c r="AI27" i="10"/>
  <c r="AI27" i="13" s="1"/>
  <c r="AA28" i="10"/>
  <c r="AA28" i="13" s="1"/>
  <c r="AB28" i="10"/>
  <c r="AB28" i="13" s="1"/>
  <c r="AC28" i="10"/>
  <c r="AC28" i="13" s="1"/>
  <c r="AD28" i="10"/>
  <c r="AD28" i="13" s="1"/>
  <c r="AF28" i="10"/>
  <c r="AF28" i="13" s="1"/>
  <c r="AG28" i="10"/>
  <c r="AG28" i="13" s="1"/>
  <c r="AH28" i="10"/>
  <c r="AH28" i="13" s="1"/>
  <c r="AI28" i="10"/>
  <c r="AI28" i="13" s="1"/>
  <c r="AA29" i="10"/>
  <c r="AA29" i="13" s="1"/>
  <c r="AB29" i="10"/>
  <c r="AB29" i="13" s="1"/>
  <c r="AC29" i="10"/>
  <c r="AC29" i="13" s="1"/>
  <c r="AD29" i="10"/>
  <c r="AD29" i="13" s="1"/>
  <c r="AF29" i="10"/>
  <c r="AF29" i="13" s="1"/>
  <c r="AG29" i="10"/>
  <c r="AG29" i="13" s="1"/>
  <c r="AH29" i="10"/>
  <c r="AH29" i="13" s="1"/>
  <c r="AI29" i="10"/>
  <c r="AI29" i="13" s="1"/>
  <c r="AA30" i="10"/>
  <c r="AA30" i="13" s="1"/>
  <c r="AB30" i="10"/>
  <c r="AB30" i="13" s="1"/>
  <c r="AC30" i="10"/>
  <c r="AC30" i="13" s="1"/>
  <c r="AD30" i="10"/>
  <c r="AD30" i="13" s="1"/>
  <c r="AF30" i="10"/>
  <c r="AF30" i="13" s="1"/>
  <c r="AG30" i="10"/>
  <c r="AG30" i="13" s="1"/>
  <c r="AH30" i="10"/>
  <c r="AH30" i="13" s="1"/>
  <c r="AI30" i="10"/>
  <c r="AI30" i="13" s="1"/>
  <c r="AA31" i="10"/>
  <c r="AA31" i="13" s="1"/>
  <c r="AB31" i="10"/>
  <c r="AB31" i="13" s="1"/>
  <c r="AC31" i="10"/>
  <c r="AC31" i="13" s="1"/>
  <c r="AD31" i="10"/>
  <c r="AD31" i="13" s="1"/>
  <c r="AF31" i="10"/>
  <c r="AF31" i="13" s="1"/>
  <c r="AG31" i="10"/>
  <c r="AG31" i="13" s="1"/>
  <c r="AH31" i="10"/>
  <c r="AH31" i="13" s="1"/>
  <c r="AI31" i="10"/>
  <c r="AI31" i="13" s="1"/>
  <c r="AA32" i="10"/>
  <c r="AA32" i="13" s="1"/>
  <c r="AB32" i="10"/>
  <c r="AB32" i="13" s="1"/>
  <c r="AC32" i="10"/>
  <c r="AC32" i="13" s="1"/>
  <c r="AD32" i="10"/>
  <c r="AD32" i="13" s="1"/>
  <c r="AF32" i="10"/>
  <c r="AF32" i="13" s="1"/>
  <c r="AG32" i="10"/>
  <c r="AG32" i="13" s="1"/>
  <c r="AH32" i="10"/>
  <c r="AH32" i="13" s="1"/>
  <c r="AI32" i="10"/>
  <c r="AI32" i="13" s="1"/>
  <c r="AA33" i="10"/>
  <c r="AA33" i="13" s="1"/>
  <c r="AB33" i="10"/>
  <c r="AB33" i="13" s="1"/>
  <c r="AC33" i="10"/>
  <c r="AC33" i="13" s="1"/>
  <c r="AD33" i="10"/>
  <c r="AD33" i="13" s="1"/>
  <c r="AF33" i="10"/>
  <c r="AF33" i="13" s="1"/>
  <c r="AG33" i="10"/>
  <c r="AG33" i="13" s="1"/>
  <c r="AH33" i="10"/>
  <c r="AH33" i="13" s="1"/>
  <c r="AI33" i="10"/>
  <c r="AI33" i="13" s="1"/>
  <c r="AA34" i="10"/>
  <c r="AA34" i="13" s="1"/>
  <c r="AB34" i="10"/>
  <c r="AB34" i="13" s="1"/>
  <c r="AC34" i="10"/>
  <c r="AC34" i="13" s="1"/>
  <c r="AD34" i="10"/>
  <c r="AD34" i="13" s="1"/>
  <c r="AF34" i="10"/>
  <c r="AF34" i="13" s="1"/>
  <c r="AG34" i="10"/>
  <c r="AG34" i="13" s="1"/>
  <c r="AH34" i="10"/>
  <c r="AH34" i="13" s="1"/>
  <c r="AI34" i="10"/>
  <c r="AI34" i="13" s="1"/>
  <c r="AA35" i="10"/>
  <c r="AA35" i="13" s="1"/>
  <c r="AB35" i="10"/>
  <c r="AB35" i="13" s="1"/>
  <c r="AC35" i="10"/>
  <c r="AC35" i="13" s="1"/>
  <c r="AD35" i="10"/>
  <c r="AD35" i="13" s="1"/>
  <c r="AF35" i="10"/>
  <c r="AF35" i="13" s="1"/>
  <c r="AG35" i="10"/>
  <c r="AG35" i="13" s="1"/>
  <c r="AH35" i="10"/>
  <c r="AH35" i="13" s="1"/>
  <c r="AI35" i="10"/>
  <c r="AI35" i="13" s="1"/>
  <c r="AA36" i="10"/>
  <c r="AA36" i="13" s="1"/>
  <c r="AB36" i="10"/>
  <c r="AB36" i="13" s="1"/>
  <c r="AC36" i="10"/>
  <c r="AC36" i="13" s="1"/>
  <c r="AD36" i="10"/>
  <c r="AD36" i="13" s="1"/>
  <c r="AF36" i="10"/>
  <c r="AF36" i="13" s="1"/>
  <c r="AG36" i="10"/>
  <c r="AG36" i="13" s="1"/>
  <c r="AH36" i="10"/>
  <c r="AH36" i="13" s="1"/>
  <c r="AI36" i="10"/>
  <c r="AI36" i="13" s="1"/>
  <c r="AA37" i="10"/>
  <c r="AA37" i="13" s="1"/>
  <c r="AB37" i="10"/>
  <c r="AB37" i="13" s="1"/>
  <c r="AC37" i="10"/>
  <c r="AC37" i="13" s="1"/>
  <c r="AD37" i="10"/>
  <c r="AD37" i="13" s="1"/>
  <c r="AF37" i="10"/>
  <c r="AF37" i="13" s="1"/>
  <c r="AG37" i="10"/>
  <c r="AG37" i="13" s="1"/>
  <c r="AH37" i="10"/>
  <c r="AH37" i="13" s="1"/>
  <c r="AI37" i="10"/>
  <c r="AI37" i="13" s="1"/>
  <c r="AA38" i="10"/>
  <c r="AA38" i="13" s="1"/>
  <c r="AB38" i="10"/>
  <c r="AB38" i="13" s="1"/>
  <c r="AC38" i="10"/>
  <c r="AC38" i="13" s="1"/>
  <c r="AD38" i="10"/>
  <c r="AD38" i="13" s="1"/>
  <c r="AF38" i="10"/>
  <c r="AF38" i="13" s="1"/>
  <c r="AG38" i="10"/>
  <c r="AG38" i="13" s="1"/>
  <c r="AH38" i="10"/>
  <c r="AH38" i="13" s="1"/>
  <c r="AI38" i="10"/>
  <c r="AI38" i="13" s="1"/>
  <c r="AA39" i="10"/>
  <c r="AA39" i="13" s="1"/>
  <c r="AB39" i="10"/>
  <c r="AB39" i="13" s="1"/>
  <c r="AC39" i="10"/>
  <c r="AC39" i="13" s="1"/>
  <c r="AD39" i="10"/>
  <c r="AD39" i="13" s="1"/>
  <c r="AF39" i="10"/>
  <c r="AF39" i="13" s="1"/>
  <c r="AG39" i="10"/>
  <c r="AG39" i="13" s="1"/>
  <c r="AH39" i="10"/>
  <c r="AH39" i="13" s="1"/>
  <c r="AI39" i="10"/>
  <c r="AI39" i="13" s="1"/>
  <c r="AA40" i="10"/>
  <c r="AA40" i="13" s="1"/>
  <c r="AB40" i="10"/>
  <c r="AB40" i="13" s="1"/>
  <c r="AC40" i="10"/>
  <c r="AC40" i="13" s="1"/>
  <c r="AD40" i="10"/>
  <c r="AD40" i="13" s="1"/>
  <c r="AF40" i="10"/>
  <c r="AF40" i="13" s="1"/>
  <c r="AG40" i="10"/>
  <c r="AG40" i="13" s="1"/>
  <c r="AH40" i="10"/>
  <c r="AH40" i="13" s="1"/>
  <c r="AI40" i="10"/>
  <c r="AI40" i="13" s="1"/>
  <c r="AA41" i="10"/>
  <c r="AA41" i="13" s="1"/>
  <c r="AB41" i="10"/>
  <c r="AB41" i="13" s="1"/>
  <c r="AC41" i="10"/>
  <c r="AC41" i="13" s="1"/>
  <c r="AD41" i="10"/>
  <c r="AD41" i="13" s="1"/>
  <c r="AF41" i="10"/>
  <c r="AF41" i="13" s="1"/>
  <c r="AG41" i="10"/>
  <c r="AG41" i="13" s="1"/>
  <c r="AH41" i="10"/>
  <c r="AH41" i="13" s="1"/>
  <c r="AI41" i="10"/>
  <c r="AI41" i="13" s="1"/>
  <c r="AA42" i="10"/>
  <c r="AA42" i="13" s="1"/>
  <c r="AB42" i="10"/>
  <c r="AB42" i="13" s="1"/>
  <c r="AC42" i="10"/>
  <c r="AC42" i="13" s="1"/>
  <c r="AD42" i="10"/>
  <c r="AD42" i="13" s="1"/>
  <c r="AF42" i="10"/>
  <c r="AF42" i="13" s="1"/>
  <c r="AG42" i="10"/>
  <c r="AG42" i="13" s="1"/>
  <c r="AH42" i="10"/>
  <c r="AH42" i="13" s="1"/>
  <c r="AI42" i="10"/>
  <c r="AI42" i="13" s="1"/>
  <c r="AA43" i="10"/>
  <c r="AA43" i="13" s="1"/>
  <c r="AB43" i="10"/>
  <c r="AB43" i="13" s="1"/>
  <c r="AC43" i="10"/>
  <c r="AC43" i="13" s="1"/>
  <c r="AD43" i="10"/>
  <c r="AD43" i="13" s="1"/>
  <c r="AF43" i="10"/>
  <c r="AF43" i="13" s="1"/>
  <c r="AG43" i="10"/>
  <c r="AG43" i="13" s="1"/>
  <c r="AH43" i="10"/>
  <c r="AH43" i="13" s="1"/>
  <c r="AI43" i="10"/>
  <c r="AI43" i="13" s="1"/>
  <c r="AA44" i="10"/>
  <c r="AA44" i="13" s="1"/>
  <c r="AB44" i="10"/>
  <c r="AB44" i="13" s="1"/>
  <c r="AC44" i="10"/>
  <c r="AC44" i="13" s="1"/>
  <c r="AD44" i="10"/>
  <c r="AD44" i="13" s="1"/>
  <c r="AF44" i="10"/>
  <c r="AF44" i="13" s="1"/>
  <c r="AG44" i="10"/>
  <c r="AG44" i="13" s="1"/>
  <c r="AH44" i="10"/>
  <c r="AH44" i="13" s="1"/>
  <c r="AI44" i="10"/>
  <c r="AI44" i="13" s="1"/>
  <c r="AA45" i="10"/>
  <c r="AA45" i="13" s="1"/>
  <c r="AB45" i="10"/>
  <c r="AB45" i="13" s="1"/>
  <c r="AC45" i="10"/>
  <c r="AC45" i="13" s="1"/>
  <c r="AD45" i="10"/>
  <c r="AD45" i="13" s="1"/>
  <c r="AF45" i="10"/>
  <c r="AF45" i="13" s="1"/>
  <c r="AG45" i="10"/>
  <c r="AG45" i="13" s="1"/>
  <c r="AH45" i="10"/>
  <c r="AH45" i="13" s="1"/>
  <c r="AI45" i="10"/>
  <c r="AI45" i="13" s="1"/>
  <c r="AA46" i="10"/>
  <c r="AA46" i="13" s="1"/>
  <c r="AB46" i="10"/>
  <c r="AB46" i="13" s="1"/>
  <c r="AC46" i="10"/>
  <c r="AC46" i="13" s="1"/>
  <c r="AD46" i="10"/>
  <c r="AD46" i="13" s="1"/>
  <c r="AF46" i="10"/>
  <c r="AF46" i="13" s="1"/>
  <c r="AG46" i="10"/>
  <c r="AG46" i="13" s="1"/>
  <c r="AH46" i="10"/>
  <c r="AH46" i="13" s="1"/>
  <c r="AI46" i="10"/>
  <c r="AI46" i="13" s="1"/>
  <c r="AA47" i="10"/>
  <c r="AA47" i="13" s="1"/>
  <c r="AB47" i="10"/>
  <c r="AB47" i="13" s="1"/>
  <c r="AC47" i="10"/>
  <c r="AC47" i="13" s="1"/>
  <c r="AD47" i="10"/>
  <c r="AD47" i="13" s="1"/>
  <c r="AF47" i="10"/>
  <c r="AF47" i="13" s="1"/>
  <c r="AG47" i="10"/>
  <c r="AG47" i="13" s="1"/>
  <c r="AH47" i="10"/>
  <c r="AH47" i="13" s="1"/>
  <c r="AI47" i="10"/>
  <c r="AI47" i="13" s="1"/>
  <c r="AA48" i="10"/>
  <c r="AA48" i="13" s="1"/>
  <c r="AB48" i="10"/>
  <c r="AB48" i="13" s="1"/>
  <c r="AC48" i="10"/>
  <c r="AC48" i="13" s="1"/>
  <c r="AD48" i="10"/>
  <c r="AD48" i="13" s="1"/>
  <c r="AF48" i="10"/>
  <c r="AF48" i="13" s="1"/>
  <c r="AG48" i="10"/>
  <c r="AG48" i="13" s="1"/>
  <c r="AH48" i="10"/>
  <c r="AH48" i="13" s="1"/>
  <c r="AI48" i="10"/>
  <c r="AI48" i="13" s="1"/>
  <c r="AA49" i="10"/>
  <c r="AA49" i="13" s="1"/>
  <c r="AB49" i="10"/>
  <c r="AB49" i="13" s="1"/>
  <c r="AC49" i="10"/>
  <c r="AC49" i="13" s="1"/>
  <c r="AD49" i="10"/>
  <c r="AD49" i="13" s="1"/>
  <c r="AF49" i="10"/>
  <c r="AF49" i="13" s="1"/>
  <c r="AG49" i="10"/>
  <c r="AG49" i="13" s="1"/>
  <c r="AH49" i="10"/>
  <c r="AH49" i="13" s="1"/>
  <c r="AI49" i="10"/>
  <c r="AI49" i="13" s="1"/>
  <c r="AA50" i="10"/>
  <c r="AA50" i="13" s="1"/>
  <c r="AB50" i="10"/>
  <c r="AB50" i="13" s="1"/>
  <c r="AC50" i="10"/>
  <c r="AC50" i="13" s="1"/>
  <c r="AD50" i="10"/>
  <c r="AD50" i="13" s="1"/>
  <c r="AF50" i="10"/>
  <c r="AF50" i="13" s="1"/>
  <c r="AG50" i="10"/>
  <c r="AG50" i="13" s="1"/>
  <c r="AH50" i="10"/>
  <c r="AH50" i="13" s="1"/>
  <c r="AI50" i="10"/>
  <c r="AI50" i="13" s="1"/>
  <c r="AA51" i="10"/>
  <c r="AA51" i="13" s="1"/>
  <c r="AB51" i="10"/>
  <c r="AB51" i="13" s="1"/>
  <c r="AC51" i="10"/>
  <c r="AC51" i="13" s="1"/>
  <c r="AD51" i="10"/>
  <c r="AD51" i="13" s="1"/>
  <c r="AF51" i="10"/>
  <c r="AF51" i="13" s="1"/>
  <c r="AG51" i="10"/>
  <c r="AG51" i="13" s="1"/>
  <c r="AH51" i="10"/>
  <c r="AH51" i="13" s="1"/>
  <c r="AI51" i="10"/>
  <c r="AI51" i="13" s="1"/>
  <c r="AA52" i="10"/>
  <c r="AA52" i="13" s="1"/>
  <c r="AB52" i="10"/>
  <c r="AB52" i="13" s="1"/>
  <c r="AC52" i="10"/>
  <c r="AC52" i="13" s="1"/>
  <c r="AD52" i="10"/>
  <c r="AD52" i="13" s="1"/>
  <c r="AF52" i="10"/>
  <c r="AF52" i="13" s="1"/>
  <c r="AG52" i="10"/>
  <c r="AG52" i="13" s="1"/>
  <c r="AH52" i="10"/>
  <c r="AH52" i="13" s="1"/>
  <c r="AI52" i="10"/>
  <c r="AI52" i="13" s="1"/>
  <c r="AA53" i="10"/>
  <c r="AA53" i="13" s="1"/>
  <c r="AB53" i="10"/>
  <c r="AB53" i="13" s="1"/>
  <c r="AC53" i="10"/>
  <c r="AC53" i="13" s="1"/>
  <c r="AD53" i="10"/>
  <c r="AD53" i="13" s="1"/>
  <c r="AF53" i="10"/>
  <c r="AF53" i="13" s="1"/>
  <c r="AG53" i="10"/>
  <c r="AG53" i="13" s="1"/>
  <c r="AH53" i="10"/>
  <c r="AH53" i="13" s="1"/>
  <c r="AI53" i="10"/>
  <c r="AI53" i="13" s="1"/>
  <c r="AA54" i="10"/>
  <c r="AA54" i="13" s="1"/>
  <c r="AB54" i="10"/>
  <c r="AB54" i="13" s="1"/>
  <c r="AC54" i="10"/>
  <c r="AC54" i="13" s="1"/>
  <c r="AD54" i="10"/>
  <c r="AD54" i="13" s="1"/>
  <c r="AF54" i="10"/>
  <c r="AF54" i="13" s="1"/>
  <c r="AG54" i="10"/>
  <c r="AG54" i="13" s="1"/>
  <c r="AH54" i="10"/>
  <c r="AH54" i="13" s="1"/>
  <c r="AI54" i="10"/>
  <c r="AI54" i="13" s="1"/>
  <c r="AA57" i="10"/>
  <c r="AA57" i="13" s="1"/>
  <c r="AB57" i="10"/>
  <c r="AB57" i="13" s="1"/>
  <c r="AC57" i="10"/>
  <c r="AC57" i="13" s="1"/>
  <c r="AD57" i="10"/>
  <c r="AD57" i="13" s="1"/>
  <c r="AF57" i="10"/>
  <c r="AF57" i="13" s="1"/>
  <c r="AG57" i="10"/>
  <c r="AG57" i="13" s="1"/>
  <c r="AH57" i="10"/>
  <c r="AH57" i="13" s="1"/>
  <c r="AI57" i="10"/>
  <c r="AI57" i="13" s="1"/>
  <c r="AA58" i="10"/>
  <c r="AA58" i="13" s="1"/>
  <c r="AB58" i="10"/>
  <c r="AB58" i="13" s="1"/>
  <c r="AC58" i="10"/>
  <c r="AC58" i="13" s="1"/>
  <c r="AD58" i="10"/>
  <c r="AD58" i="13" s="1"/>
  <c r="AF58" i="10"/>
  <c r="AF58" i="13" s="1"/>
  <c r="AG58" i="10"/>
  <c r="AG58" i="13" s="1"/>
  <c r="AH58" i="10"/>
  <c r="AH58" i="13" s="1"/>
  <c r="AI58" i="10"/>
  <c r="AI58" i="13" s="1"/>
  <c r="AA59" i="10"/>
  <c r="AA59" i="13" s="1"/>
  <c r="AB59" i="10"/>
  <c r="AB59" i="13" s="1"/>
  <c r="AC59" i="10"/>
  <c r="AC59" i="13" s="1"/>
  <c r="AD59" i="10"/>
  <c r="AD59" i="13" s="1"/>
  <c r="AF59" i="10"/>
  <c r="AF59" i="13" s="1"/>
  <c r="AG59" i="10"/>
  <c r="AG59" i="13" s="1"/>
  <c r="AH59" i="10"/>
  <c r="AH59" i="13" s="1"/>
  <c r="AI59" i="10"/>
  <c r="AI59" i="13" s="1"/>
  <c r="AA60" i="10"/>
  <c r="AA60" i="13" s="1"/>
  <c r="AB60" i="10"/>
  <c r="AB60" i="13" s="1"/>
  <c r="AC60" i="10"/>
  <c r="AC60" i="13" s="1"/>
  <c r="AD60" i="10"/>
  <c r="AD60" i="13" s="1"/>
  <c r="AF60" i="10"/>
  <c r="AF60" i="13" s="1"/>
  <c r="AG60" i="10"/>
  <c r="AG60" i="13" s="1"/>
  <c r="AH60" i="10"/>
  <c r="AH60" i="13" s="1"/>
  <c r="AI60" i="10"/>
  <c r="AI60" i="13" s="1"/>
  <c r="AA61" i="10"/>
  <c r="AA61" i="13" s="1"/>
  <c r="AB61" i="10"/>
  <c r="AB61" i="13" s="1"/>
  <c r="AC61" i="10"/>
  <c r="AC61" i="13" s="1"/>
  <c r="AD61" i="10"/>
  <c r="AD61" i="13" s="1"/>
  <c r="AF61" i="10"/>
  <c r="AF61" i="13" s="1"/>
  <c r="AG61" i="10"/>
  <c r="AG61" i="13" s="1"/>
  <c r="AH61" i="10"/>
  <c r="AH61" i="13" s="1"/>
  <c r="AI61" i="10"/>
  <c r="AI61" i="13" s="1"/>
  <c r="AA62" i="10"/>
  <c r="AA62" i="13" s="1"/>
  <c r="AB62" i="10"/>
  <c r="AB62" i="13" s="1"/>
  <c r="AC62" i="10"/>
  <c r="AC62" i="13" s="1"/>
  <c r="AD62" i="10"/>
  <c r="AD62" i="13" s="1"/>
  <c r="AF62" i="10"/>
  <c r="AF62" i="13" s="1"/>
  <c r="AG62" i="10"/>
  <c r="AG62" i="13" s="1"/>
  <c r="AH62" i="10"/>
  <c r="AH62" i="13" s="1"/>
  <c r="AI62" i="10"/>
  <c r="AI62" i="13" s="1"/>
  <c r="AA63" i="10"/>
  <c r="AA63" i="13" s="1"/>
  <c r="AB63" i="10"/>
  <c r="AB63" i="13" s="1"/>
  <c r="AC63" i="10"/>
  <c r="AC63" i="13" s="1"/>
  <c r="AD63" i="10"/>
  <c r="AD63" i="13" s="1"/>
  <c r="AF63" i="10"/>
  <c r="AF63" i="13" s="1"/>
  <c r="AG63" i="10"/>
  <c r="AG63" i="13" s="1"/>
  <c r="AH63" i="10"/>
  <c r="AH63" i="13" s="1"/>
  <c r="AI63" i="10"/>
  <c r="AI63" i="13" s="1"/>
  <c r="AA64" i="10"/>
  <c r="AA64" i="13" s="1"/>
  <c r="AB64" i="10"/>
  <c r="AB64" i="13" s="1"/>
  <c r="AC64" i="10"/>
  <c r="AC64" i="13" s="1"/>
  <c r="AD64" i="10"/>
  <c r="AD64" i="13" s="1"/>
  <c r="AF64" i="10"/>
  <c r="AF64" i="13" s="1"/>
  <c r="AG64" i="10"/>
  <c r="AG64" i="13" s="1"/>
  <c r="AH64" i="10"/>
  <c r="AH64" i="13" s="1"/>
  <c r="AI64" i="10"/>
  <c r="AI64" i="13" s="1"/>
  <c r="AA65" i="10"/>
  <c r="AA65" i="13" s="1"/>
  <c r="AB65" i="10"/>
  <c r="AB65" i="13" s="1"/>
  <c r="AC65" i="10"/>
  <c r="AC65" i="13" s="1"/>
  <c r="AD65" i="10"/>
  <c r="AD65" i="13" s="1"/>
  <c r="AF65" i="10"/>
  <c r="AF65" i="13" s="1"/>
  <c r="AG65" i="10"/>
  <c r="AG65" i="13" s="1"/>
  <c r="AH65" i="10"/>
  <c r="AH65" i="13" s="1"/>
  <c r="AI65" i="10"/>
  <c r="AI65" i="13" s="1"/>
  <c r="AA66" i="10"/>
  <c r="AA66" i="13" s="1"/>
  <c r="AB66" i="10"/>
  <c r="AB66" i="13" s="1"/>
  <c r="AC66" i="10"/>
  <c r="AC66" i="13" s="1"/>
  <c r="AD66" i="10"/>
  <c r="AD66" i="13" s="1"/>
  <c r="AF66" i="10"/>
  <c r="AF66" i="13" s="1"/>
  <c r="AG66" i="10"/>
  <c r="AG66" i="13" s="1"/>
  <c r="AH66" i="10"/>
  <c r="AH66" i="13" s="1"/>
  <c r="AI66" i="10"/>
  <c r="AI66" i="13" s="1"/>
  <c r="AA67" i="10"/>
  <c r="AA67" i="13" s="1"/>
  <c r="AB67" i="10"/>
  <c r="AB67" i="13" s="1"/>
  <c r="AC67" i="10"/>
  <c r="AC67" i="13" s="1"/>
  <c r="AD67" i="10"/>
  <c r="AD67" i="13" s="1"/>
  <c r="AF67" i="10"/>
  <c r="AF67" i="13" s="1"/>
  <c r="AG67" i="10"/>
  <c r="AG67" i="13" s="1"/>
  <c r="AH67" i="10"/>
  <c r="AH67" i="13" s="1"/>
  <c r="AI67" i="10"/>
  <c r="AI67" i="13" s="1"/>
  <c r="AA68" i="10"/>
  <c r="AA68" i="13" s="1"/>
  <c r="AB68" i="10"/>
  <c r="AB68" i="13" s="1"/>
  <c r="AC68" i="10"/>
  <c r="AC68" i="13" s="1"/>
  <c r="AD68" i="10"/>
  <c r="AD68" i="13" s="1"/>
  <c r="AF68" i="10"/>
  <c r="AF68" i="13" s="1"/>
  <c r="AG68" i="10"/>
  <c r="AG68" i="13" s="1"/>
  <c r="AH68" i="10"/>
  <c r="AH68" i="13" s="1"/>
  <c r="AI68" i="10"/>
  <c r="AI68" i="13" s="1"/>
  <c r="AA69" i="10"/>
  <c r="AA69" i="13" s="1"/>
  <c r="AB69" i="10"/>
  <c r="AB69" i="13" s="1"/>
  <c r="AC69" i="10"/>
  <c r="AC69" i="13" s="1"/>
  <c r="AD69" i="10"/>
  <c r="AD69" i="13" s="1"/>
  <c r="AF69" i="10"/>
  <c r="AF69" i="13" s="1"/>
  <c r="AG69" i="10"/>
  <c r="AG69" i="13" s="1"/>
  <c r="AH69" i="10"/>
  <c r="AH69" i="13" s="1"/>
  <c r="AI69" i="10"/>
  <c r="AI69" i="13" s="1"/>
  <c r="AA70" i="10"/>
  <c r="AA70" i="13" s="1"/>
  <c r="AB70" i="10"/>
  <c r="AB70" i="13" s="1"/>
  <c r="AC70" i="10"/>
  <c r="AC70" i="13" s="1"/>
  <c r="AD70" i="10"/>
  <c r="AD70" i="13" s="1"/>
  <c r="AF70" i="10"/>
  <c r="AF70" i="13" s="1"/>
  <c r="AG70" i="10"/>
  <c r="AG70" i="13" s="1"/>
  <c r="AH70" i="10"/>
  <c r="AH70" i="13" s="1"/>
  <c r="AI70" i="10"/>
  <c r="AI70" i="13" s="1"/>
  <c r="AB2" i="10"/>
  <c r="AB2" i="13" s="1"/>
  <c r="AC2" i="10"/>
  <c r="AC2" i="13" s="1"/>
  <c r="AD2" i="10"/>
  <c r="AD2" i="13" s="1"/>
  <c r="AF2" i="10"/>
  <c r="AF2" i="13" s="1"/>
  <c r="AG2" i="10"/>
  <c r="AG2" i="13" s="1"/>
  <c r="AH2" i="10"/>
  <c r="AH2" i="13" s="1"/>
  <c r="AI2" i="10"/>
  <c r="AI2" i="13" s="1"/>
  <c r="AA2" i="10"/>
  <c r="AA2" i="13" s="1"/>
  <c r="X3" i="10"/>
  <c r="X3" i="13" s="1"/>
  <c r="Y3" i="10"/>
  <c r="Y3" i="13" s="1"/>
  <c r="X4" i="10"/>
  <c r="X4" i="13" s="1"/>
  <c r="Y4" i="10"/>
  <c r="Y4" i="13" s="1"/>
  <c r="X5" i="10"/>
  <c r="X5" i="13" s="1"/>
  <c r="Y5" i="10"/>
  <c r="Y5" i="13" s="1"/>
  <c r="X6" i="10"/>
  <c r="X6" i="13" s="1"/>
  <c r="Y6" i="10"/>
  <c r="Y6" i="13" s="1"/>
  <c r="X7" i="10"/>
  <c r="X7" i="13" s="1"/>
  <c r="Y7" i="10"/>
  <c r="Y7" i="13" s="1"/>
  <c r="X8" i="10"/>
  <c r="X8" i="13" s="1"/>
  <c r="Y8" i="10"/>
  <c r="Y8" i="13" s="1"/>
  <c r="X9" i="10"/>
  <c r="X9" i="13" s="1"/>
  <c r="Y9" i="10"/>
  <c r="Y9" i="13" s="1"/>
  <c r="X10" i="10"/>
  <c r="X10" i="13" s="1"/>
  <c r="Y10" i="10"/>
  <c r="Y10" i="13" s="1"/>
  <c r="X11" i="10"/>
  <c r="X11" i="13" s="1"/>
  <c r="Y11" i="10"/>
  <c r="Y11" i="13" s="1"/>
  <c r="X13" i="10"/>
  <c r="X13" i="13" s="1"/>
  <c r="Y13" i="10"/>
  <c r="Y13" i="13" s="1"/>
  <c r="X14" i="10"/>
  <c r="X14" i="13" s="1"/>
  <c r="Y14" i="10"/>
  <c r="Y14" i="13" s="1"/>
  <c r="X15" i="10"/>
  <c r="X15" i="13" s="1"/>
  <c r="Y15" i="10"/>
  <c r="Y15" i="13" s="1"/>
  <c r="X16" i="10"/>
  <c r="X16" i="13" s="1"/>
  <c r="Y16" i="10"/>
  <c r="Y16" i="13" s="1"/>
  <c r="X17" i="10"/>
  <c r="X17" i="13" s="1"/>
  <c r="Y17" i="10"/>
  <c r="Y17" i="13" s="1"/>
  <c r="X18" i="10"/>
  <c r="X18" i="13" s="1"/>
  <c r="Y18" i="10"/>
  <c r="Y18" i="13" s="1"/>
  <c r="X19" i="10"/>
  <c r="X19" i="13" s="1"/>
  <c r="Y19" i="10"/>
  <c r="Y19" i="13" s="1"/>
  <c r="X20" i="10"/>
  <c r="X20" i="13" s="1"/>
  <c r="Y20" i="10"/>
  <c r="Y20" i="13" s="1"/>
  <c r="X21" i="10"/>
  <c r="X21" i="13" s="1"/>
  <c r="Y21" i="10"/>
  <c r="Y21" i="13" s="1"/>
  <c r="X22" i="10"/>
  <c r="X22" i="13" s="1"/>
  <c r="Y22" i="10"/>
  <c r="Y22" i="13" s="1"/>
  <c r="X23" i="10"/>
  <c r="X23" i="13" s="1"/>
  <c r="Y23" i="10"/>
  <c r="Y23" i="13" s="1"/>
  <c r="X24" i="10"/>
  <c r="X24" i="13" s="1"/>
  <c r="Y24" i="10"/>
  <c r="Y24" i="13" s="1"/>
  <c r="X25" i="10"/>
  <c r="X25" i="13" s="1"/>
  <c r="Y25" i="10"/>
  <c r="Y25" i="13" s="1"/>
  <c r="X26" i="10"/>
  <c r="X26" i="13" s="1"/>
  <c r="Y26" i="10"/>
  <c r="Y26" i="13" s="1"/>
  <c r="X27" i="10"/>
  <c r="X27" i="13" s="1"/>
  <c r="Y27" i="10"/>
  <c r="Y27" i="13" s="1"/>
  <c r="X28" i="10"/>
  <c r="X28" i="13" s="1"/>
  <c r="Y28" i="10"/>
  <c r="Y28" i="13" s="1"/>
  <c r="X29" i="10"/>
  <c r="X29" i="13" s="1"/>
  <c r="Y29" i="10"/>
  <c r="Y29" i="13" s="1"/>
  <c r="X30" i="10"/>
  <c r="X30" i="13" s="1"/>
  <c r="Y30" i="10"/>
  <c r="Y30" i="13" s="1"/>
  <c r="X31" i="10"/>
  <c r="X31" i="13" s="1"/>
  <c r="Y31" i="10"/>
  <c r="Y31" i="13" s="1"/>
  <c r="X32" i="10"/>
  <c r="X32" i="13" s="1"/>
  <c r="Y32" i="10"/>
  <c r="Y32" i="13" s="1"/>
  <c r="X33" i="10"/>
  <c r="X33" i="13" s="1"/>
  <c r="Y33" i="10"/>
  <c r="Y33" i="13" s="1"/>
  <c r="X34" i="10"/>
  <c r="X34" i="13" s="1"/>
  <c r="Y34" i="10"/>
  <c r="Y34" i="13" s="1"/>
  <c r="X35" i="10"/>
  <c r="X35" i="13" s="1"/>
  <c r="Y35" i="10"/>
  <c r="Y35" i="13" s="1"/>
  <c r="X36" i="10"/>
  <c r="X36" i="13" s="1"/>
  <c r="Y36" i="10"/>
  <c r="Y36" i="13" s="1"/>
  <c r="X37" i="10"/>
  <c r="X37" i="13" s="1"/>
  <c r="Y37" i="10"/>
  <c r="Y37" i="13" s="1"/>
  <c r="X38" i="10"/>
  <c r="X38" i="13" s="1"/>
  <c r="Y38" i="10"/>
  <c r="Y38" i="13" s="1"/>
  <c r="X39" i="10"/>
  <c r="X39" i="13" s="1"/>
  <c r="Y39" i="10"/>
  <c r="Y39" i="13" s="1"/>
  <c r="X40" i="10"/>
  <c r="X40" i="13" s="1"/>
  <c r="Y40" i="10"/>
  <c r="Y40" i="13" s="1"/>
  <c r="X41" i="10"/>
  <c r="X41" i="13" s="1"/>
  <c r="Y41" i="10"/>
  <c r="Y41" i="13" s="1"/>
  <c r="X42" i="10"/>
  <c r="X42" i="13" s="1"/>
  <c r="Y42" i="10"/>
  <c r="Y42" i="13" s="1"/>
  <c r="X43" i="10"/>
  <c r="X43" i="13" s="1"/>
  <c r="Y43" i="10"/>
  <c r="Y43" i="13" s="1"/>
  <c r="X44" i="10"/>
  <c r="X44" i="13" s="1"/>
  <c r="Y44" i="10"/>
  <c r="Y44" i="13" s="1"/>
  <c r="X45" i="10"/>
  <c r="X45" i="13" s="1"/>
  <c r="Y45" i="10"/>
  <c r="Y45" i="13" s="1"/>
  <c r="X46" i="10"/>
  <c r="X46" i="13" s="1"/>
  <c r="Y46" i="10"/>
  <c r="Y46" i="13" s="1"/>
  <c r="X47" i="10"/>
  <c r="X47" i="13" s="1"/>
  <c r="Y47" i="10"/>
  <c r="Y47" i="13" s="1"/>
  <c r="X48" i="10"/>
  <c r="X48" i="13" s="1"/>
  <c r="Y48" i="10"/>
  <c r="Y48" i="13" s="1"/>
  <c r="X49" i="10"/>
  <c r="X49" i="13" s="1"/>
  <c r="Y49" i="10"/>
  <c r="Y49" i="13" s="1"/>
  <c r="X50" i="10"/>
  <c r="X50" i="13" s="1"/>
  <c r="Y50" i="10"/>
  <c r="Y50" i="13" s="1"/>
  <c r="X51" i="10"/>
  <c r="X51" i="13" s="1"/>
  <c r="Y51" i="10"/>
  <c r="Y51" i="13" s="1"/>
  <c r="X52" i="10"/>
  <c r="X52" i="13" s="1"/>
  <c r="Y52" i="10"/>
  <c r="Y52" i="13" s="1"/>
  <c r="X53" i="10"/>
  <c r="X53" i="13" s="1"/>
  <c r="Y53" i="10"/>
  <c r="Y53" i="13" s="1"/>
  <c r="X54" i="10"/>
  <c r="X54" i="13" s="1"/>
  <c r="Y54" i="10"/>
  <c r="Y54" i="13" s="1"/>
  <c r="X57" i="10"/>
  <c r="X57" i="13" s="1"/>
  <c r="Y57" i="10"/>
  <c r="Y57" i="13" s="1"/>
  <c r="X58" i="10"/>
  <c r="X58" i="13" s="1"/>
  <c r="Y58" i="10"/>
  <c r="Y58" i="13" s="1"/>
  <c r="X59" i="10"/>
  <c r="X59" i="13" s="1"/>
  <c r="Y59" i="10"/>
  <c r="Y59" i="13" s="1"/>
  <c r="X60" i="10"/>
  <c r="X60" i="13" s="1"/>
  <c r="Y60" i="10"/>
  <c r="Y60" i="13" s="1"/>
  <c r="X61" i="10"/>
  <c r="X61" i="13" s="1"/>
  <c r="Y61" i="10"/>
  <c r="Y61" i="13" s="1"/>
  <c r="X62" i="10"/>
  <c r="X62" i="13" s="1"/>
  <c r="Y62" i="10"/>
  <c r="Y62" i="13" s="1"/>
  <c r="X63" i="10"/>
  <c r="X63" i="13" s="1"/>
  <c r="Y63" i="10"/>
  <c r="Y63" i="13" s="1"/>
  <c r="X64" i="10"/>
  <c r="X64" i="13" s="1"/>
  <c r="Y64" i="10"/>
  <c r="Y64" i="13" s="1"/>
  <c r="X65" i="10"/>
  <c r="X65" i="13" s="1"/>
  <c r="Y65" i="10"/>
  <c r="Y65" i="13" s="1"/>
  <c r="X66" i="10"/>
  <c r="X66" i="13" s="1"/>
  <c r="Y66" i="10"/>
  <c r="Y66" i="13" s="1"/>
  <c r="X67" i="10"/>
  <c r="X67" i="13" s="1"/>
  <c r="Y67" i="10"/>
  <c r="Y67" i="13" s="1"/>
  <c r="X68" i="10"/>
  <c r="X68" i="13" s="1"/>
  <c r="Y68" i="10"/>
  <c r="Y68" i="13" s="1"/>
  <c r="X69" i="10"/>
  <c r="X69" i="13" s="1"/>
  <c r="Y69" i="10"/>
  <c r="Y69" i="13" s="1"/>
  <c r="X70" i="10"/>
  <c r="X70" i="13" s="1"/>
  <c r="Y70" i="10"/>
  <c r="Y70" i="13" s="1"/>
  <c r="Y2" i="10"/>
  <c r="Y2" i="13" s="1"/>
  <c r="X2" i="10"/>
  <c r="X2" i="13" s="1"/>
  <c r="O28" i="12" l="1"/>
  <c r="L86" i="12"/>
  <c r="M86" i="12"/>
  <c r="K86" i="12"/>
  <c r="N86" i="12"/>
  <c r="J86" i="12"/>
  <c r="O86" i="12" s="1"/>
  <c r="J88" i="12"/>
  <c r="O88" i="12" s="1"/>
  <c r="L88" i="12"/>
  <c r="M88" i="12"/>
  <c r="N88" i="12"/>
  <c r="K88" i="12"/>
  <c r="M87" i="12"/>
  <c r="J87" i="12"/>
  <c r="O87" i="12" s="1"/>
  <c r="N87" i="12"/>
  <c r="K87" i="12"/>
  <c r="L87" i="12"/>
  <c r="AA56" i="10"/>
  <c r="AA56" i="13" s="1"/>
  <c r="AH56" i="10"/>
  <c r="AH56" i="13" s="1"/>
  <c r="AT56" i="10"/>
  <c r="AT56" i="13" s="1"/>
  <c r="BB56" i="10"/>
  <c r="BB56" i="13" s="1"/>
  <c r="Y56" i="10"/>
  <c r="Y56" i="13" s="1"/>
  <c r="AG56" i="10"/>
  <c r="AG56" i="13" s="1"/>
  <c r="AS56" i="10"/>
  <c r="AS56" i="13" s="1"/>
  <c r="BA56" i="10"/>
  <c r="BA56" i="13" s="1"/>
  <c r="AF56" i="10"/>
  <c r="AF56" i="13" s="1"/>
  <c r="AR56" i="10"/>
  <c r="AR56" i="13" s="1"/>
  <c r="BH56" i="10"/>
  <c r="BH56" i="13" s="1"/>
  <c r="AZ56" i="10"/>
  <c r="AZ56" i="13" s="1"/>
  <c r="AI56" i="10"/>
  <c r="AI56" i="13" s="1"/>
  <c r="AU56" i="10"/>
  <c r="AU56" i="13" s="1"/>
  <c r="AD56" i="10"/>
  <c r="AD56" i="13" s="1"/>
  <c r="AQ56" i="10"/>
  <c r="AQ56" i="13" s="1"/>
  <c r="BG56" i="10"/>
  <c r="BG56" i="13" s="1"/>
  <c r="AC56" i="10"/>
  <c r="AC56" i="13" s="1"/>
  <c r="AX56" i="10"/>
  <c r="AX56" i="13" s="1"/>
  <c r="AP56" i="10"/>
  <c r="AP56" i="13" s="1"/>
  <c r="BF56" i="10"/>
  <c r="BF56" i="13" s="1"/>
  <c r="BC56" i="10"/>
  <c r="BC56" i="13" s="1"/>
  <c r="AB56" i="10"/>
  <c r="AB56" i="13" s="1"/>
  <c r="AW56" i="10"/>
  <c r="AW56" i="13" s="1"/>
  <c r="BE56" i="10"/>
  <c r="BE56" i="13" s="1"/>
  <c r="X56" i="10"/>
  <c r="X56" i="13" s="1"/>
  <c r="AV56" i="10"/>
  <c r="AV56" i="13" s="1"/>
  <c r="BD56" i="10"/>
  <c r="BD56" i="13" s="1"/>
  <c r="B4" i="10"/>
  <c r="B5" i="10"/>
  <c r="B6" i="10"/>
  <c r="O76" i="10"/>
  <c r="O77" i="10" s="1"/>
  <c r="I76" i="10"/>
  <c r="I77" i="10" s="1"/>
  <c r="I23" i="10" s="1"/>
  <c r="H76" i="10"/>
  <c r="H77" i="10" s="1"/>
  <c r="H61" i="10" s="1"/>
  <c r="V54" i="10"/>
  <c r="G76" i="10"/>
  <c r="G77" i="10" s="1"/>
  <c r="G11" i="10" s="1"/>
  <c r="V51" i="10"/>
  <c r="R76" i="10"/>
  <c r="R77" i="10" s="1"/>
  <c r="R54" i="10" s="1"/>
  <c r="Q64" i="10"/>
  <c r="Q58" i="10"/>
  <c r="Q69" i="10"/>
  <c r="Q15" i="10"/>
  <c r="Q19" i="10"/>
  <c r="Q23" i="10"/>
  <c r="Q27" i="10"/>
  <c r="Q31" i="10"/>
  <c r="Q35" i="10"/>
  <c r="Q39" i="10"/>
  <c r="Q43" i="10"/>
  <c r="Q66" i="10"/>
  <c r="Q60" i="10"/>
  <c r="Q63" i="10"/>
  <c r="Q57" i="10"/>
  <c r="Q14" i="10"/>
  <c r="Q18" i="10"/>
  <c r="Q22" i="10"/>
  <c r="Q26" i="10"/>
  <c r="Q30" i="10"/>
  <c r="Q65" i="10"/>
  <c r="Q59" i="10"/>
  <c r="Q17" i="10"/>
  <c r="Q21" i="10"/>
  <c r="Q25" i="10"/>
  <c r="Q29" i="10"/>
  <c r="Q33" i="10"/>
  <c r="Q37" i="10"/>
  <c r="Q41" i="10"/>
  <c r="Q45" i="10"/>
  <c r="Q70" i="10"/>
  <c r="Q61" i="10"/>
  <c r="Q38" i="10"/>
  <c r="Q62" i="10"/>
  <c r="Q28" i="10"/>
  <c r="Q47" i="10"/>
  <c r="Q67" i="10"/>
  <c r="Q16" i="10"/>
  <c r="Q7" i="10"/>
  <c r="Q36" i="10"/>
  <c r="Q44" i="10"/>
  <c r="Q46" i="10"/>
  <c r="Q50" i="10"/>
  <c r="Q54" i="10"/>
  <c r="Q4" i="10"/>
  <c r="Q34" i="10"/>
  <c r="Q53" i="10"/>
  <c r="Q6" i="10"/>
  <c r="Q8" i="10"/>
  <c r="Q10" i="10"/>
  <c r="Q49" i="10"/>
  <c r="Q3" i="10"/>
  <c r="Q5" i="10"/>
  <c r="Q9" i="10"/>
  <c r="Q11" i="10"/>
  <c r="Q68" i="10"/>
  <c r="Q2" i="10"/>
  <c r="Q52" i="10"/>
  <c r="Q40" i="10"/>
  <c r="Q32" i="10"/>
  <c r="Q48" i="10"/>
  <c r="Q20" i="10"/>
  <c r="Q24" i="10"/>
  <c r="Q42" i="10"/>
  <c r="Q51" i="10"/>
  <c r="J61" i="10"/>
  <c r="J16" i="10"/>
  <c r="J20" i="10"/>
  <c r="J24" i="10"/>
  <c r="J28" i="10"/>
  <c r="J32" i="10"/>
  <c r="J36" i="10"/>
  <c r="J40" i="10"/>
  <c r="J44" i="10"/>
  <c r="J58" i="10"/>
  <c r="J15" i="10"/>
  <c r="J19" i="10"/>
  <c r="J23" i="10"/>
  <c r="J27" i="10"/>
  <c r="J31" i="10"/>
  <c r="J35" i="10"/>
  <c r="J39" i="10"/>
  <c r="J43" i="10"/>
  <c r="J60" i="10"/>
  <c r="J30" i="10"/>
  <c r="J48" i="10"/>
  <c r="J18" i="10"/>
  <c r="J21" i="10"/>
  <c r="J34" i="10"/>
  <c r="J42" i="10"/>
  <c r="J33" i="10"/>
  <c r="J41" i="10"/>
  <c r="J47" i="10"/>
  <c r="J51" i="10"/>
  <c r="J2" i="10"/>
  <c r="J10" i="10"/>
  <c r="J26" i="10"/>
  <c r="J29" i="10"/>
  <c r="J7" i="10"/>
  <c r="J14" i="10"/>
  <c r="J17" i="10"/>
  <c r="J22" i="10"/>
  <c r="J25" i="10"/>
  <c r="J45" i="10"/>
  <c r="J57" i="10"/>
  <c r="J46" i="10"/>
  <c r="J52" i="10"/>
  <c r="J37" i="10"/>
  <c r="J9" i="10"/>
  <c r="J11" i="10"/>
  <c r="J49" i="10"/>
  <c r="J53" i="10"/>
  <c r="J4" i="10"/>
  <c r="J6" i="10"/>
  <c r="J8" i="10"/>
  <c r="J50" i="10"/>
  <c r="J3" i="10"/>
  <c r="J5" i="10"/>
  <c r="J59" i="10"/>
  <c r="J38" i="10"/>
  <c r="J54" i="10"/>
  <c r="I60" i="10"/>
  <c r="I57" i="10"/>
  <c r="I15" i="10"/>
  <c r="I14" i="10"/>
  <c r="I7" i="10"/>
  <c r="I24" i="10"/>
  <c r="I26" i="10"/>
  <c r="I36" i="10"/>
  <c r="I34" i="10"/>
  <c r="I49" i="10"/>
  <c r="I9" i="10"/>
  <c r="I44" i="10"/>
  <c r="I50" i="10"/>
  <c r="I6" i="10"/>
  <c r="I10" i="10"/>
  <c r="I29" i="10"/>
  <c r="I41" i="10"/>
  <c r="I3" i="10"/>
  <c r="I42" i="10"/>
  <c r="I52" i="10"/>
  <c r="I21" i="10"/>
  <c r="P69" i="10"/>
  <c r="P15" i="10"/>
  <c r="P19" i="10"/>
  <c r="P23" i="10"/>
  <c r="P27" i="10"/>
  <c r="P31" i="10"/>
  <c r="P35" i="10"/>
  <c r="P39" i="10"/>
  <c r="P43" i="10"/>
  <c r="P66" i="10"/>
  <c r="P60" i="10"/>
  <c r="P63" i="10"/>
  <c r="P57" i="10"/>
  <c r="P14" i="10"/>
  <c r="P18" i="10"/>
  <c r="P22" i="10"/>
  <c r="P26" i="10"/>
  <c r="P30" i="10"/>
  <c r="P34" i="10"/>
  <c r="P38" i="10"/>
  <c r="P42" i="10"/>
  <c r="P68" i="10"/>
  <c r="P62" i="10"/>
  <c r="P70" i="10"/>
  <c r="P58" i="10"/>
  <c r="P25" i="10"/>
  <c r="P28" i="10"/>
  <c r="P47" i="10"/>
  <c r="P67" i="10"/>
  <c r="P16" i="10"/>
  <c r="P37" i="10"/>
  <c r="P45" i="10"/>
  <c r="P36" i="10"/>
  <c r="P44" i="10"/>
  <c r="P46" i="10"/>
  <c r="P50" i="10"/>
  <c r="P54" i="10"/>
  <c r="P4" i="10"/>
  <c r="P64" i="10"/>
  <c r="P21" i="10"/>
  <c r="P24" i="10"/>
  <c r="P9" i="10"/>
  <c r="P49" i="10"/>
  <c r="P3" i="10"/>
  <c r="P5" i="10"/>
  <c r="P7" i="10"/>
  <c r="P8" i="10"/>
  <c r="P10" i="10"/>
  <c r="P29" i="10"/>
  <c r="P41" i="10"/>
  <c r="P2" i="10"/>
  <c r="P40" i="10"/>
  <c r="P6" i="10"/>
  <c r="P32" i="10"/>
  <c r="P48" i="10"/>
  <c r="P59" i="10"/>
  <c r="P20" i="10"/>
  <c r="P51" i="10"/>
  <c r="P11" i="10"/>
  <c r="P53" i="10"/>
  <c r="P65" i="10"/>
  <c r="P61" i="10"/>
  <c r="P17" i="10"/>
  <c r="P33" i="10"/>
  <c r="P52" i="10"/>
  <c r="W63" i="19"/>
  <c r="W67" i="19"/>
  <c r="V4" i="10"/>
  <c r="V2" i="10"/>
  <c r="V50" i="10"/>
  <c r="V44" i="10"/>
  <c r="R42" i="10"/>
  <c r="V27" i="10"/>
  <c r="V24" i="10"/>
  <c r="V70" i="19"/>
  <c r="V70" i="10" s="1"/>
  <c r="O66" i="10"/>
  <c r="O60" i="10"/>
  <c r="O63" i="10"/>
  <c r="O57" i="10"/>
  <c r="O14" i="10"/>
  <c r="O18" i="10"/>
  <c r="O22" i="10"/>
  <c r="O26" i="10"/>
  <c r="O30" i="10"/>
  <c r="O34" i="10"/>
  <c r="O38" i="10"/>
  <c r="O42" i="10"/>
  <c r="O68" i="10"/>
  <c r="O65" i="10"/>
  <c r="O59" i="10"/>
  <c r="O17" i="10"/>
  <c r="O21" i="10"/>
  <c r="O25" i="10"/>
  <c r="O29" i="10"/>
  <c r="O67" i="10"/>
  <c r="O61" i="10"/>
  <c r="O16" i="10"/>
  <c r="O20" i="10"/>
  <c r="O24" i="10"/>
  <c r="O28" i="10"/>
  <c r="O32" i="10"/>
  <c r="O36" i="10"/>
  <c r="O40" i="10"/>
  <c r="O44" i="10"/>
  <c r="O62" i="10"/>
  <c r="O31" i="10"/>
  <c r="O37" i="10"/>
  <c r="O45" i="10"/>
  <c r="O19" i="10"/>
  <c r="O46" i="10"/>
  <c r="O64" i="10"/>
  <c r="O9" i="10"/>
  <c r="O69" i="10"/>
  <c r="O27" i="10"/>
  <c r="O35" i="10"/>
  <c r="O43" i="10"/>
  <c r="O49" i="10"/>
  <c r="O53" i="10"/>
  <c r="O6" i="10"/>
  <c r="O15" i="10"/>
  <c r="G57" i="10"/>
  <c r="G59" i="10"/>
  <c r="G9" i="10"/>
  <c r="B60" i="10"/>
  <c r="B61" i="10"/>
  <c r="B57" i="10"/>
  <c r="B58" i="10"/>
  <c r="B8" i="10"/>
  <c r="B59" i="10"/>
  <c r="B9" i="10"/>
  <c r="B3" i="10"/>
  <c r="V9" i="10"/>
  <c r="V7" i="10"/>
  <c r="V5" i="10"/>
  <c r="O52" i="10"/>
  <c r="V48" i="10"/>
  <c r="R46" i="10"/>
  <c r="O33" i="10"/>
  <c r="O58" i="10"/>
  <c r="H4" i="10"/>
  <c r="H59" i="10"/>
  <c r="W64" i="19"/>
  <c r="V47" i="10"/>
  <c r="R33" i="10"/>
  <c r="W65" i="19"/>
  <c r="N76" i="10"/>
  <c r="N77" i="10" s="1"/>
  <c r="F76" i="10"/>
  <c r="F77" i="10" s="1"/>
  <c r="B2" i="10"/>
  <c r="B56" i="10" s="1"/>
  <c r="V10" i="10"/>
  <c r="V8" i="10"/>
  <c r="O47" i="10"/>
  <c r="O39" i="10"/>
  <c r="R67" i="10"/>
  <c r="R61" i="10"/>
  <c r="R16" i="10"/>
  <c r="R20" i="10"/>
  <c r="R24" i="10"/>
  <c r="R28" i="10"/>
  <c r="R32" i="10"/>
  <c r="R36" i="10"/>
  <c r="R40" i="10"/>
  <c r="R44" i="10"/>
  <c r="R64" i="10"/>
  <c r="R58" i="10"/>
  <c r="R69" i="10"/>
  <c r="R15" i="10"/>
  <c r="R19" i="10"/>
  <c r="R23" i="10"/>
  <c r="R27" i="10"/>
  <c r="R31" i="10"/>
  <c r="R35" i="10"/>
  <c r="R39" i="10"/>
  <c r="R43" i="10"/>
  <c r="R66" i="10"/>
  <c r="R60" i="10"/>
  <c r="R68" i="10"/>
  <c r="R65" i="10"/>
  <c r="R57" i="10"/>
  <c r="R59" i="10"/>
  <c r="R48" i="10"/>
  <c r="R70" i="10"/>
  <c r="R22" i="10"/>
  <c r="R25" i="10"/>
  <c r="R38" i="10"/>
  <c r="R62" i="10"/>
  <c r="R37" i="10"/>
  <c r="R45" i="10"/>
  <c r="R47" i="10"/>
  <c r="R51" i="10"/>
  <c r="R2" i="10"/>
  <c r="R10" i="10"/>
  <c r="R30" i="10"/>
  <c r="R7" i="10"/>
  <c r="R18" i="10"/>
  <c r="R21" i="10"/>
  <c r="R52" i="10"/>
  <c r="V35" i="10"/>
  <c r="W68" i="19"/>
  <c r="M76" i="10"/>
  <c r="M77" i="10" s="1"/>
  <c r="E76" i="10"/>
  <c r="E77" i="10" s="1"/>
  <c r="U77" i="10"/>
  <c r="B11" i="10"/>
  <c r="H7" i="10"/>
  <c r="R5" i="10"/>
  <c r="R3" i="10"/>
  <c r="G2" i="10"/>
  <c r="O54" i="10"/>
  <c r="O51" i="10"/>
  <c r="R49" i="10"/>
  <c r="V43" i="10"/>
  <c r="R41" i="10"/>
  <c r="R29" i="10"/>
  <c r="R26" i="10"/>
  <c r="O23" i="10"/>
  <c r="V15" i="10"/>
  <c r="H58" i="10"/>
  <c r="V69" i="19"/>
  <c r="V69" i="10" s="1"/>
  <c r="V63" i="19"/>
  <c r="V63" i="10" s="1"/>
  <c r="T76" i="10"/>
  <c r="T77" i="10" s="1"/>
  <c r="L76" i="10"/>
  <c r="L77" i="10" s="1"/>
  <c r="D76" i="10"/>
  <c r="D77" i="10" s="1"/>
  <c r="B10" i="10"/>
  <c r="R8" i="10"/>
  <c r="R6" i="10"/>
  <c r="G5" i="10"/>
  <c r="R4" i="10"/>
  <c r="R53" i="10"/>
  <c r="V52" i="10"/>
  <c r="R50" i="10"/>
  <c r="O48" i="10"/>
  <c r="R34" i="10"/>
  <c r="R63" i="10"/>
  <c r="V57" i="10"/>
  <c r="V14" i="10"/>
  <c r="V18" i="10"/>
  <c r="V22" i="10"/>
  <c r="V26" i="10"/>
  <c r="V30" i="10"/>
  <c r="V34" i="10"/>
  <c r="V38" i="10"/>
  <c r="V42" i="10"/>
  <c r="V59" i="10"/>
  <c r="V17" i="10"/>
  <c r="V21" i="10"/>
  <c r="V25" i="10"/>
  <c r="V29" i="10"/>
  <c r="V33" i="10"/>
  <c r="V37" i="10"/>
  <c r="V41" i="10"/>
  <c r="V45" i="10"/>
  <c r="V62" i="10"/>
  <c r="V58" i="10"/>
  <c r="V20" i="10"/>
  <c r="V23" i="10"/>
  <c r="V46" i="10"/>
  <c r="V61" i="10"/>
  <c r="V32" i="10"/>
  <c r="V40" i="10"/>
  <c r="V60" i="10"/>
  <c r="V28" i="10"/>
  <c r="V31" i="10"/>
  <c r="V39" i="10"/>
  <c r="V49" i="10"/>
  <c r="V53" i="10"/>
  <c r="V6" i="10"/>
  <c r="V67" i="10"/>
  <c r="V16" i="10"/>
  <c r="V19" i="10"/>
  <c r="V3" i="10"/>
  <c r="V11" i="10"/>
  <c r="R17" i="10"/>
  <c r="S76" i="10"/>
  <c r="S77" i="10" s="1"/>
  <c r="K76" i="10"/>
  <c r="K77" i="10" s="1"/>
  <c r="C76" i="10"/>
  <c r="C77" i="10" s="1"/>
  <c r="B7" i="10"/>
  <c r="R11" i="10"/>
  <c r="R9" i="10"/>
  <c r="G8" i="10"/>
  <c r="O4" i="10"/>
  <c r="O2" i="10"/>
  <c r="O50" i="10"/>
  <c r="O41" i="10"/>
  <c r="R14" i="10"/>
  <c r="W76" i="10"/>
  <c r="W77" i="10" s="1"/>
  <c r="V64" i="19"/>
  <c r="V64" i="10" s="1"/>
  <c r="V68" i="19"/>
  <c r="V68" i="10" s="1"/>
  <c r="V66" i="19"/>
  <c r="V66" i="10" s="1"/>
  <c r="V65" i="19"/>
  <c r="V65" i="10" s="1"/>
  <c r="W66" i="19"/>
  <c r="W70" i="19"/>
  <c r="V62" i="19"/>
  <c r="V67" i="19"/>
  <c r="AK56" i="10"/>
  <c r="AK56" i="13" s="1"/>
  <c r="AL56" i="10"/>
  <c r="AL56" i="13" s="1"/>
  <c r="AO56" i="10"/>
  <c r="AO56" i="13" s="1"/>
  <c r="AN56" i="10"/>
  <c r="AN56" i="13" s="1"/>
  <c r="AM56" i="10"/>
  <c r="AM56" i="13" s="1"/>
  <c r="O47" i="12" l="1"/>
  <c r="G3" i="10"/>
  <c r="H10" i="10"/>
  <c r="H9" i="10"/>
  <c r="G61" i="10"/>
  <c r="I2" i="10"/>
  <c r="I51" i="10"/>
  <c r="I8" i="10"/>
  <c r="I11" i="10"/>
  <c r="I46" i="10"/>
  <c r="I16" i="10"/>
  <c r="I59" i="10"/>
  <c r="G10" i="10"/>
  <c r="H6" i="10"/>
  <c r="H60" i="10"/>
  <c r="G60" i="10"/>
  <c r="I30" i="10"/>
  <c r="I19" i="10"/>
  <c r="I38" i="10"/>
  <c r="I37" i="10"/>
  <c r="I4" i="10"/>
  <c r="I47" i="10"/>
  <c r="I97" i="13" s="1"/>
  <c r="I58" i="10"/>
  <c r="O11" i="10"/>
  <c r="O70" i="10"/>
  <c r="O5" i="10"/>
  <c r="O3" i="10"/>
  <c r="O7" i="10"/>
  <c r="O8" i="10"/>
  <c r="O10" i="10"/>
  <c r="H11" i="10"/>
  <c r="G4" i="10"/>
  <c r="H2" i="10"/>
  <c r="I53" i="10"/>
  <c r="I20" i="10"/>
  <c r="I61" i="10"/>
  <c r="I28" i="10"/>
  <c r="I27" i="10"/>
  <c r="I48" i="10"/>
  <c r="I39" i="10"/>
  <c r="H3" i="10"/>
  <c r="H57" i="10"/>
  <c r="G7" i="10"/>
  <c r="H5" i="10"/>
  <c r="G58" i="10"/>
  <c r="I43" i="10"/>
  <c r="I94" i="13" s="1"/>
  <c r="I35" i="10"/>
  <c r="I54" i="10"/>
  <c r="I18" i="10"/>
  <c r="I17" i="10"/>
  <c r="I40" i="10"/>
  <c r="I31" i="10"/>
  <c r="H8" i="10"/>
  <c r="G6" i="10"/>
  <c r="I33" i="10"/>
  <c r="I5" i="10"/>
  <c r="I22" i="10"/>
  <c r="I25" i="10"/>
  <c r="I45" i="10"/>
  <c r="I32" i="10"/>
  <c r="M68" i="10"/>
  <c r="M65" i="10"/>
  <c r="M59" i="10"/>
  <c r="M17" i="10"/>
  <c r="M21" i="10"/>
  <c r="M25" i="10"/>
  <c r="M29" i="10"/>
  <c r="M33" i="10"/>
  <c r="M88" i="13" s="1"/>
  <c r="M37" i="10"/>
  <c r="M41" i="10"/>
  <c r="M92" i="13" s="1"/>
  <c r="M45" i="10"/>
  <c r="M62" i="10"/>
  <c r="M70" i="10"/>
  <c r="M67" i="10"/>
  <c r="M61" i="10"/>
  <c r="M16" i="10"/>
  <c r="M20" i="10"/>
  <c r="M24" i="10"/>
  <c r="M28" i="10"/>
  <c r="M69" i="10"/>
  <c r="M15" i="10"/>
  <c r="M19" i="10"/>
  <c r="M23" i="10"/>
  <c r="M27" i="10"/>
  <c r="M31" i="10"/>
  <c r="M35" i="10"/>
  <c r="M39" i="10"/>
  <c r="M43" i="10"/>
  <c r="M22" i="10"/>
  <c r="M36" i="10"/>
  <c r="M44" i="10"/>
  <c r="M64" i="10"/>
  <c r="M49" i="10"/>
  <c r="M30" i="10"/>
  <c r="M3" i="10"/>
  <c r="M11" i="10"/>
  <c r="M66" i="10"/>
  <c r="M18" i="10"/>
  <c r="M34" i="10"/>
  <c r="M42" i="10"/>
  <c r="M93" i="13" s="1"/>
  <c r="M48" i="10"/>
  <c r="M98" i="13" s="1"/>
  <c r="M52" i="10"/>
  <c r="M101" i="13" s="1"/>
  <c r="M8" i="10"/>
  <c r="M63" i="10"/>
  <c r="M32" i="10"/>
  <c r="M51" i="10"/>
  <c r="M54" i="10"/>
  <c r="M38" i="10"/>
  <c r="M90" i="13" s="1"/>
  <c r="M57" i="10"/>
  <c r="M60" i="10"/>
  <c r="M26" i="10"/>
  <c r="M47" i="10"/>
  <c r="M53" i="10"/>
  <c r="M102" i="13" s="1"/>
  <c r="M4" i="10"/>
  <c r="M6" i="10"/>
  <c r="M14" i="10"/>
  <c r="M79" i="13" s="1"/>
  <c r="M58" i="10"/>
  <c r="M46" i="10"/>
  <c r="M2" i="10"/>
  <c r="M50" i="10"/>
  <c r="M40" i="10"/>
  <c r="M10" i="10"/>
  <c r="M5" i="10"/>
  <c r="M7" i="10"/>
  <c r="M9" i="10"/>
  <c r="K62" i="10"/>
  <c r="K70" i="10"/>
  <c r="K67" i="10"/>
  <c r="K61" i="10"/>
  <c r="K16" i="10"/>
  <c r="K20" i="10"/>
  <c r="K24" i="10"/>
  <c r="K28" i="10"/>
  <c r="K32" i="10"/>
  <c r="K36" i="10"/>
  <c r="K40" i="10"/>
  <c r="K44" i="10"/>
  <c r="K64" i="10"/>
  <c r="K58" i="10"/>
  <c r="K69" i="10"/>
  <c r="K15" i="10"/>
  <c r="K80" i="13" s="1"/>
  <c r="K19" i="10"/>
  <c r="K23" i="10"/>
  <c r="K27" i="10"/>
  <c r="K31" i="10"/>
  <c r="K63" i="10"/>
  <c r="K57" i="10"/>
  <c r="K14" i="10"/>
  <c r="K79" i="13" s="1"/>
  <c r="K18" i="10"/>
  <c r="K22" i="10"/>
  <c r="K26" i="10"/>
  <c r="K30" i="10"/>
  <c r="K34" i="10"/>
  <c r="K38" i="10"/>
  <c r="K42" i="10"/>
  <c r="K46" i="10"/>
  <c r="K96" i="13" s="1"/>
  <c r="K35" i="10"/>
  <c r="K43" i="10"/>
  <c r="K94" i="13" s="1"/>
  <c r="K48" i="10"/>
  <c r="K66" i="10"/>
  <c r="K21" i="10"/>
  <c r="K5" i="10"/>
  <c r="K33" i="10"/>
  <c r="K41" i="10"/>
  <c r="K92" i="13" s="1"/>
  <c r="K47" i="10"/>
  <c r="K97" i="13" s="1"/>
  <c r="K51" i="10"/>
  <c r="K100" i="13" s="1"/>
  <c r="K2" i="10"/>
  <c r="K10" i="10"/>
  <c r="K68" i="10"/>
  <c r="K60" i="10"/>
  <c r="K29" i="10"/>
  <c r="K39" i="10"/>
  <c r="K54" i="10"/>
  <c r="K103" i="13" s="1"/>
  <c r="K25" i="10"/>
  <c r="K84" i="13" s="1"/>
  <c r="K59" i="10"/>
  <c r="K45" i="10"/>
  <c r="K52" i="10"/>
  <c r="K101" i="13" s="1"/>
  <c r="K49" i="10"/>
  <c r="K37" i="10"/>
  <c r="K7" i="10"/>
  <c r="K9" i="10"/>
  <c r="K11" i="10"/>
  <c r="K65" i="10"/>
  <c r="K17" i="10"/>
  <c r="K53" i="10"/>
  <c r="K4" i="10"/>
  <c r="K6" i="10"/>
  <c r="K8" i="10"/>
  <c r="K50" i="10"/>
  <c r="K3" i="10"/>
  <c r="T65" i="10"/>
  <c r="T59" i="10"/>
  <c r="T17" i="10"/>
  <c r="T21" i="10"/>
  <c r="T25" i="10"/>
  <c r="T29" i="10"/>
  <c r="T33" i="10"/>
  <c r="T88" i="13" s="1"/>
  <c r="T37" i="10"/>
  <c r="T41" i="10"/>
  <c r="T45" i="10"/>
  <c r="T62" i="10"/>
  <c r="T70" i="10"/>
  <c r="T67" i="10"/>
  <c r="T61" i="10"/>
  <c r="T16" i="10"/>
  <c r="T20" i="10"/>
  <c r="T24" i="10"/>
  <c r="T28" i="10"/>
  <c r="T32" i="10"/>
  <c r="T36" i="10"/>
  <c r="T40" i="10"/>
  <c r="T44" i="10"/>
  <c r="T64" i="10"/>
  <c r="T58" i="10"/>
  <c r="T66" i="10"/>
  <c r="T60" i="10"/>
  <c r="T68" i="10"/>
  <c r="T14" i="10"/>
  <c r="T79" i="13" s="1"/>
  <c r="T49" i="10"/>
  <c r="T57" i="10"/>
  <c r="T31" i="10"/>
  <c r="T39" i="10"/>
  <c r="T19" i="10"/>
  <c r="T22" i="10"/>
  <c r="T38" i="10"/>
  <c r="T90" i="13" s="1"/>
  <c r="T48" i="10"/>
  <c r="T52" i="10"/>
  <c r="T8" i="10"/>
  <c r="T5" i="10"/>
  <c r="T69" i="10"/>
  <c r="T18" i="10"/>
  <c r="T15" i="10"/>
  <c r="T43" i="10"/>
  <c r="T94" i="13" s="1"/>
  <c r="T10" i="10"/>
  <c r="T63" i="10"/>
  <c r="T34" i="10"/>
  <c r="T7" i="10"/>
  <c r="T9" i="10"/>
  <c r="T11" i="10"/>
  <c r="T46" i="10"/>
  <c r="T23" i="10"/>
  <c r="T26" i="10"/>
  <c r="T50" i="10"/>
  <c r="T53" i="10"/>
  <c r="T102" i="13" s="1"/>
  <c r="T2" i="10"/>
  <c r="T4" i="10"/>
  <c r="T6" i="10"/>
  <c r="T42" i="10"/>
  <c r="T27" i="10"/>
  <c r="T30" i="10"/>
  <c r="T47" i="10"/>
  <c r="T3" i="10"/>
  <c r="T35" i="10"/>
  <c r="T51" i="10"/>
  <c r="T100" i="13" s="1"/>
  <c r="T54" i="10"/>
  <c r="W66" i="10"/>
  <c r="W60" i="10"/>
  <c r="W63" i="10"/>
  <c r="W57" i="10"/>
  <c r="W14" i="10"/>
  <c r="W79" i="13" s="1"/>
  <c r="W18" i="10"/>
  <c r="W22" i="10"/>
  <c r="W26" i="10"/>
  <c r="W30" i="10"/>
  <c r="W34" i="10"/>
  <c r="W38" i="10"/>
  <c r="W42" i="10"/>
  <c r="W68" i="10"/>
  <c r="W65" i="10"/>
  <c r="W59" i="10"/>
  <c r="W17" i="10"/>
  <c r="W21" i="10"/>
  <c r="W25" i="10"/>
  <c r="W29" i="10"/>
  <c r="W67" i="10"/>
  <c r="W61" i="10"/>
  <c r="W16" i="10"/>
  <c r="W20" i="10"/>
  <c r="W24" i="10"/>
  <c r="W28" i="10"/>
  <c r="W32" i="10"/>
  <c r="W36" i="10"/>
  <c r="W40" i="10"/>
  <c r="W44" i="10"/>
  <c r="W33" i="10"/>
  <c r="W41" i="10"/>
  <c r="W23" i="10"/>
  <c r="W46" i="10"/>
  <c r="W70" i="10"/>
  <c r="W58" i="10"/>
  <c r="W9" i="10"/>
  <c r="W62" i="10"/>
  <c r="W31" i="10"/>
  <c r="W87" i="13" s="1"/>
  <c r="W39" i="10"/>
  <c r="W49" i="10"/>
  <c r="W53" i="10"/>
  <c r="W6" i="10"/>
  <c r="W19" i="10"/>
  <c r="W45" i="10"/>
  <c r="W51" i="10"/>
  <c r="W100" i="13" s="1"/>
  <c r="W54" i="10"/>
  <c r="W103" i="13" s="1"/>
  <c r="W27" i="10"/>
  <c r="W2" i="10"/>
  <c r="AE2" i="10" s="1"/>
  <c r="W4" i="10"/>
  <c r="W35" i="10"/>
  <c r="W47" i="10"/>
  <c r="W52" i="10"/>
  <c r="W64" i="10"/>
  <c r="W15" i="10"/>
  <c r="W80" i="13" s="1"/>
  <c r="W43" i="10"/>
  <c r="W94" i="13" s="1"/>
  <c r="W11" i="10"/>
  <c r="W50" i="10"/>
  <c r="W37" i="10"/>
  <c r="W8" i="10"/>
  <c r="W10" i="10"/>
  <c r="W69" i="10"/>
  <c r="W48" i="10"/>
  <c r="W98" i="13" s="1"/>
  <c r="W3" i="10"/>
  <c r="W5" i="10"/>
  <c r="W7" i="10"/>
  <c r="S62" i="10"/>
  <c r="S70" i="10"/>
  <c r="S67" i="10"/>
  <c r="S61" i="10"/>
  <c r="S16" i="10"/>
  <c r="S81" i="13" s="1"/>
  <c r="S20" i="10"/>
  <c r="S24" i="10"/>
  <c r="S28" i="10"/>
  <c r="S32" i="10"/>
  <c r="S36" i="10"/>
  <c r="S40" i="10"/>
  <c r="S44" i="10"/>
  <c r="S64" i="10"/>
  <c r="S58" i="10"/>
  <c r="S69" i="10"/>
  <c r="S15" i="10"/>
  <c r="S19" i="10"/>
  <c r="S23" i="10"/>
  <c r="S27" i="10"/>
  <c r="S31" i="10"/>
  <c r="S63" i="10"/>
  <c r="S57" i="10"/>
  <c r="S14" i="10"/>
  <c r="S18" i="10"/>
  <c r="S22" i="10"/>
  <c r="S26" i="10"/>
  <c r="S30" i="10"/>
  <c r="S34" i="10"/>
  <c r="S38" i="10"/>
  <c r="S42" i="10"/>
  <c r="S93" i="13" s="1"/>
  <c r="S60" i="10"/>
  <c r="S17" i="10"/>
  <c r="S39" i="10"/>
  <c r="S65" i="10"/>
  <c r="S59" i="10"/>
  <c r="S48" i="10"/>
  <c r="S98" i="13" s="1"/>
  <c r="S25" i="10"/>
  <c r="S5" i="10"/>
  <c r="S37" i="10"/>
  <c r="S45" i="10"/>
  <c r="S47" i="10"/>
  <c r="S97" i="13" s="1"/>
  <c r="S51" i="10"/>
  <c r="S2" i="10"/>
  <c r="S10" i="10"/>
  <c r="S43" i="10"/>
  <c r="S52" i="10"/>
  <c r="S101" i="13" s="1"/>
  <c r="S66" i="10"/>
  <c r="S33" i="10"/>
  <c r="S7" i="10"/>
  <c r="S9" i="10"/>
  <c r="S11" i="10"/>
  <c r="S50" i="10"/>
  <c r="S53" i="10"/>
  <c r="S4" i="10"/>
  <c r="S6" i="10"/>
  <c r="S8" i="10"/>
  <c r="S68" i="10"/>
  <c r="S29" i="10"/>
  <c r="S41" i="10"/>
  <c r="S49" i="10"/>
  <c r="S3" i="10"/>
  <c r="S35" i="10"/>
  <c r="S54" i="10"/>
  <c r="S21" i="10"/>
  <c r="S46" i="10"/>
  <c r="S96" i="13" s="1"/>
  <c r="U68" i="10"/>
  <c r="U65" i="10"/>
  <c r="U59" i="10"/>
  <c r="U17" i="10"/>
  <c r="U21" i="10"/>
  <c r="U25" i="10"/>
  <c r="U84" i="13" s="1"/>
  <c r="U29" i="10"/>
  <c r="U33" i="10"/>
  <c r="U88" i="13" s="1"/>
  <c r="U37" i="10"/>
  <c r="U41" i="10"/>
  <c r="U45" i="10"/>
  <c r="U62" i="10"/>
  <c r="U70" i="10"/>
  <c r="U67" i="10"/>
  <c r="U61" i="10"/>
  <c r="U16" i="10"/>
  <c r="U20" i="10"/>
  <c r="U24" i="10"/>
  <c r="U28" i="10"/>
  <c r="U69" i="10"/>
  <c r="U15" i="10"/>
  <c r="U80" i="13" s="1"/>
  <c r="U19" i="10"/>
  <c r="U23" i="10"/>
  <c r="U27" i="10"/>
  <c r="U31" i="10"/>
  <c r="U35" i="10"/>
  <c r="U39" i="10"/>
  <c r="U43" i="10"/>
  <c r="U94" i="13" s="1"/>
  <c r="U63" i="10"/>
  <c r="U26" i="10"/>
  <c r="U32" i="10"/>
  <c r="U40" i="10"/>
  <c r="U58" i="10"/>
  <c r="U60" i="10"/>
  <c r="U14" i="10"/>
  <c r="U79" i="13" s="1"/>
  <c r="U49" i="10"/>
  <c r="U57" i="10"/>
  <c r="U3" i="10"/>
  <c r="U11" i="10"/>
  <c r="U22" i="10"/>
  <c r="U38" i="10"/>
  <c r="U48" i="10"/>
  <c r="U52" i="10"/>
  <c r="U101" i="13" s="1"/>
  <c r="U8" i="10"/>
  <c r="U64" i="10"/>
  <c r="U18" i="10"/>
  <c r="U36" i="10"/>
  <c r="U42" i="10"/>
  <c r="U93" i="13" s="1"/>
  <c r="U46" i="10"/>
  <c r="U10" i="10"/>
  <c r="U51" i="10"/>
  <c r="U100" i="13" s="1"/>
  <c r="U34" i="10"/>
  <c r="U5" i="10"/>
  <c r="U7" i="10"/>
  <c r="U9" i="10"/>
  <c r="U54" i="10"/>
  <c r="U103" i="13" s="1"/>
  <c r="U66" i="10"/>
  <c r="U44" i="10"/>
  <c r="U50" i="10"/>
  <c r="U53" i="10"/>
  <c r="U102" i="13" s="1"/>
  <c r="U2" i="10"/>
  <c r="U4" i="10"/>
  <c r="U6" i="10"/>
  <c r="U30" i="10"/>
  <c r="U47" i="10"/>
  <c r="F57" i="10"/>
  <c r="F59" i="10"/>
  <c r="F58" i="10"/>
  <c r="F6" i="10"/>
  <c r="F61" i="10"/>
  <c r="F3" i="10"/>
  <c r="F11" i="10"/>
  <c r="F60" i="10"/>
  <c r="F5" i="10"/>
  <c r="F7" i="10"/>
  <c r="F9" i="10"/>
  <c r="F2" i="10"/>
  <c r="F4" i="10"/>
  <c r="F8" i="10"/>
  <c r="F10" i="10"/>
  <c r="N63" i="10"/>
  <c r="N57" i="10"/>
  <c r="N14" i="10"/>
  <c r="N79" i="13" s="1"/>
  <c r="N18" i="10"/>
  <c r="N22" i="10"/>
  <c r="N26" i="10"/>
  <c r="N30" i="10"/>
  <c r="N34" i="10"/>
  <c r="N38" i="10"/>
  <c r="N42" i="10"/>
  <c r="N68" i="10"/>
  <c r="N65" i="10"/>
  <c r="N59" i="10"/>
  <c r="N17" i="10"/>
  <c r="N21" i="10"/>
  <c r="N25" i="10"/>
  <c r="N84" i="13" s="1"/>
  <c r="N29" i="10"/>
  <c r="N33" i="10"/>
  <c r="N37" i="10"/>
  <c r="N41" i="10"/>
  <c r="N45" i="10"/>
  <c r="N62" i="10"/>
  <c r="N70" i="10"/>
  <c r="N64" i="10"/>
  <c r="N58" i="10"/>
  <c r="N67" i="10"/>
  <c r="N16" i="10"/>
  <c r="N19" i="10"/>
  <c r="N46" i="10"/>
  <c r="N96" i="13" s="1"/>
  <c r="N50" i="10"/>
  <c r="N36" i="10"/>
  <c r="N44" i="10"/>
  <c r="N69" i="10"/>
  <c r="N24" i="10"/>
  <c r="N27" i="10"/>
  <c r="N35" i="10"/>
  <c r="N43" i="10"/>
  <c r="N94" i="13" s="1"/>
  <c r="N49" i="10"/>
  <c r="N53" i="10"/>
  <c r="N6" i="10"/>
  <c r="N15" i="10"/>
  <c r="N3" i="10"/>
  <c r="N11" i="10"/>
  <c r="N66" i="10"/>
  <c r="N48" i="10"/>
  <c r="N98" i="13" s="1"/>
  <c r="N7" i="10"/>
  <c r="N28" i="10"/>
  <c r="N31" i="10"/>
  <c r="N23" i="10"/>
  <c r="N32" i="10"/>
  <c r="N51" i="10"/>
  <c r="N100" i="13" s="1"/>
  <c r="N54" i="10"/>
  <c r="N103" i="13" s="1"/>
  <c r="N5" i="10"/>
  <c r="N9" i="10"/>
  <c r="N4" i="10"/>
  <c r="N60" i="10"/>
  <c r="N20" i="10"/>
  <c r="N39" i="10"/>
  <c r="N47" i="10"/>
  <c r="N97" i="13" s="1"/>
  <c r="N52" i="10"/>
  <c r="N2" i="10"/>
  <c r="N61" i="10"/>
  <c r="N40" i="10"/>
  <c r="N8" i="10"/>
  <c r="N10" i="10"/>
  <c r="D59" i="10"/>
  <c r="D61" i="10"/>
  <c r="D58" i="10"/>
  <c r="D60" i="10"/>
  <c r="D8" i="10"/>
  <c r="D57" i="10"/>
  <c r="D5" i="10"/>
  <c r="D3" i="10"/>
  <c r="D11" i="10"/>
  <c r="D2" i="10"/>
  <c r="D7" i="10"/>
  <c r="D9" i="10"/>
  <c r="D4" i="10"/>
  <c r="D6" i="10"/>
  <c r="D10" i="10"/>
  <c r="E59" i="10"/>
  <c r="E61" i="10"/>
  <c r="E3" i="10"/>
  <c r="E11" i="10"/>
  <c r="E58" i="10"/>
  <c r="E60" i="10"/>
  <c r="E8" i="10"/>
  <c r="E57" i="10"/>
  <c r="E2" i="10"/>
  <c r="E4" i="10"/>
  <c r="E6" i="10"/>
  <c r="E7" i="10"/>
  <c r="E10" i="10"/>
  <c r="E5" i="10"/>
  <c r="E9" i="10"/>
  <c r="C61" i="10"/>
  <c r="C58" i="10"/>
  <c r="C57" i="10"/>
  <c r="C60" i="10"/>
  <c r="C5" i="10"/>
  <c r="C59" i="10"/>
  <c r="C2" i="10"/>
  <c r="C10" i="10"/>
  <c r="C4" i="10"/>
  <c r="C6" i="10"/>
  <c r="C8" i="10"/>
  <c r="C3" i="10"/>
  <c r="C7" i="10"/>
  <c r="C9" i="10"/>
  <c r="C11" i="10"/>
  <c r="L65" i="10"/>
  <c r="L59" i="10"/>
  <c r="L17" i="10"/>
  <c r="L21" i="10"/>
  <c r="L25" i="10"/>
  <c r="L84" i="13" s="1"/>
  <c r="L29" i="10"/>
  <c r="L33" i="10"/>
  <c r="L88" i="13" s="1"/>
  <c r="L37" i="10"/>
  <c r="L41" i="10"/>
  <c r="L45" i="10"/>
  <c r="L62" i="10"/>
  <c r="L70" i="10"/>
  <c r="L67" i="10"/>
  <c r="L61" i="10"/>
  <c r="L16" i="10"/>
  <c r="L20" i="10"/>
  <c r="L24" i="10"/>
  <c r="L28" i="10"/>
  <c r="L32" i="10"/>
  <c r="L36" i="10"/>
  <c r="L40" i="10"/>
  <c r="L44" i="10"/>
  <c r="L64" i="10"/>
  <c r="L58" i="10"/>
  <c r="L66" i="10"/>
  <c r="L60" i="10"/>
  <c r="L49" i="10"/>
  <c r="L69" i="10"/>
  <c r="L27" i="10"/>
  <c r="L30" i="10"/>
  <c r="L35" i="10"/>
  <c r="L43" i="10"/>
  <c r="L94" i="13" s="1"/>
  <c r="L15" i="10"/>
  <c r="L80" i="13" s="1"/>
  <c r="L18" i="10"/>
  <c r="L34" i="10"/>
  <c r="L42" i="10"/>
  <c r="L48" i="10"/>
  <c r="L98" i="13" s="1"/>
  <c r="L52" i="10"/>
  <c r="L101" i="13" s="1"/>
  <c r="L8" i="10"/>
  <c r="L5" i="10"/>
  <c r="L63" i="10"/>
  <c r="L57" i="10"/>
  <c r="L23" i="10"/>
  <c r="L26" i="10"/>
  <c r="L47" i="10"/>
  <c r="L97" i="13" s="1"/>
  <c r="L31" i="10"/>
  <c r="L38" i="10"/>
  <c r="L90" i="13" s="1"/>
  <c r="L22" i="10"/>
  <c r="L68" i="10"/>
  <c r="L19" i="10"/>
  <c r="L39" i="10"/>
  <c r="L50" i="10"/>
  <c r="L3" i="10"/>
  <c r="L46" i="10"/>
  <c r="L14" i="10"/>
  <c r="L79" i="13" s="1"/>
  <c r="L10" i="10"/>
  <c r="L51" i="10"/>
  <c r="L54" i="10"/>
  <c r="L7" i="10"/>
  <c r="L9" i="10"/>
  <c r="L11" i="10"/>
  <c r="L53" i="10"/>
  <c r="L102" i="13" s="1"/>
  <c r="L2" i="10"/>
  <c r="L4" i="10"/>
  <c r="L6" i="10"/>
  <c r="J79" i="13"/>
  <c r="P79" i="13"/>
  <c r="Q79" i="13"/>
  <c r="R79" i="13"/>
  <c r="V79" i="13"/>
  <c r="M80" i="13"/>
  <c r="N80" i="13"/>
  <c r="Q80" i="13"/>
  <c r="S80" i="13"/>
  <c r="T80" i="13"/>
  <c r="V80" i="13"/>
  <c r="Q81" i="13"/>
  <c r="K81" i="13"/>
  <c r="J84" i="13"/>
  <c r="M84" i="13"/>
  <c r="O84" i="13"/>
  <c r="P84" i="13"/>
  <c r="Q84" i="13"/>
  <c r="T84" i="13"/>
  <c r="V84" i="13"/>
  <c r="S85" i="13"/>
  <c r="O87" i="13"/>
  <c r="J87" i="13"/>
  <c r="K88" i="13"/>
  <c r="N88" i="13"/>
  <c r="O88" i="13"/>
  <c r="P88" i="13"/>
  <c r="Q88" i="13"/>
  <c r="R88" i="13"/>
  <c r="V88" i="13"/>
  <c r="W88" i="13"/>
  <c r="J90" i="13"/>
  <c r="N90" i="13"/>
  <c r="P90" i="13"/>
  <c r="Q90" i="13"/>
  <c r="R90" i="13"/>
  <c r="S90" i="13"/>
  <c r="U90" i="13"/>
  <c r="V90" i="13"/>
  <c r="J91" i="13"/>
  <c r="R91" i="13"/>
  <c r="P91" i="13"/>
  <c r="L92" i="13"/>
  <c r="N92" i="13"/>
  <c r="O92" i="13"/>
  <c r="P92" i="13"/>
  <c r="Q92" i="13"/>
  <c r="R92" i="13"/>
  <c r="S92" i="13"/>
  <c r="T92" i="13"/>
  <c r="U92" i="13"/>
  <c r="V92" i="13"/>
  <c r="W92" i="13"/>
  <c r="J93" i="13"/>
  <c r="K93" i="13"/>
  <c r="L93" i="13"/>
  <c r="N93" i="13"/>
  <c r="O93" i="13"/>
  <c r="P93" i="13"/>
  <c r="Q93" i="13"/>
  <c r="T93" i="13"/>
  <c r="V93" i="13"/>
  <c r="M94" i="13"/>
  <c r="O94" i="13"/>
  <c r="P94" i="13"/>
  <c r="Q94" i="13"/>
  <c r="S94" i="13"/>
  <c r="V94" i="13"/>
  <c r="K95" i="13"/>
  <c r="J96" i="13"/>
  <c r="L96" i="13"/>
  <c r="M96" i="13"/>
  <c r="P96" i="13"/>
  <c r="Q96" i="13"/>
  <c r="T96" i="13"/>
  <c r="U96" i="13"/>
  <c r="V96" i="13"/>
  <c r="W96" i="13"/>
  <c r="M97" i="13"/>
  <c r="O97" i="13"/>
  <c r="Q97" i="13"/>
  <c r="R97" i="13"/>
  <c r="T97" i="13"/>
  <c r="U97" i="13"/>
  <c r="V97" i="13"/>
  <c r="J98" i="13"/>
  <c r="K98" i="13"/>
  <c r="O98" i="13"/>
  <c r="P98" i="13"/>
  <c r="Q98" i="13"/>
  <c r="T98" i="13"/>
  <c r="U98" i="13"/>
  <c r="V98" i="13"/>
  <c r="O99" i="13"/>
  <c r="R99" i="13"/>
  <c r="J99" i="13"/>
  <c r="W99" i="13"/>
  <c r="J100" i="13"/>
  <c r="L100" i="13"/>
  <c r="M100" i="13"/>
  <c r="P100" i="13"/>
  <c r="Q100" i="13"/>
  <c r="S100" i="13"/>
  <c r="V100" i="13"/>
  <c r="N101" i="13"/>
  <c r="O101" i="13"/>
  <c r="P101" i="13"/>
  <c r="Q101" i="13"/>
  <c r="R101" i="13"/>
  <c r="T101" i="13"/>
  <c r="V101" i="13"/>
  <c r="W101" i="13"/>
  <c r="K102" i="13"/>
  <c r="N102" i="13"/>
  <c r="O102" i="13"/>
  <c r="P102" i="13"/>
  <c r="Q102" i="13"/>
  <c r="R102" i="13"/>
  <c r="S102" i="13"/>
  <c r="V102" i="13"/>
  <c r="J103" i="13"/>
  <c r="L103" i="13"/>
  <c r="M103" i="13"/>
  <c r="O103" i="13"/>
  <c r="P103" i="13"/>
  <c r="Q103" i="13"/>
  <c r="R103" i="13"/>
  <c r="T103" i="13"/>
  <c r="V103" i="13"/>
  <c r="I80" i="13"/>
  <c r="I81" i="13"/>
  <c r="I88" i="13"/>
  <c r="I90" i="13"/>
  <c r="I92" i="13"/>
  <c r="I93" i="13"/>
  <c r="I96" i="13"/>
  <c r="I98" i="13"/>
  <c r="I100" i="13"/>
  <c r="I101" i="13"/>
  <c r="I102" i="13"/>
  <c r="P80" i="13"/>
  <c r="O80" i="13"/>
  <c r="I79" i="13"/>
  <c r="W93" i="13"/>
  <c r="J94" i="13"/>
  <c r="R94" i="13"/>
  <c r="W97" i="13"/>
  <c r="R98" i="13"/>
  <c r="R100" i="13"/>
  <c r="J102" i="13"/>
  <c r="V56" i="10"/>
  <c r="O79" i="13"/>
  <c r="S79" i="13"/>
  <c r="J80" i="13"/>
  <c r="R80" i="13"/>
  <c r="I84" i="13"/>
  <c r="R84" i="13"/>
  <c r="S84" i="13"/>
  <c r="W84" i="13"/>
  <c r="O86" i="13"/>
  <c r="R87" i="13"/>
  <c r="J88" i="13"/>
  <c r="S88" i="13"/>
  <c r="K90" i="13"/>
  <c r="O90" i="13"/>
  <c r="W90" i="13"/>
  <c r="J92" i="13"/>
  <c r="R93" i="13"/>
  <c r="J95" i="13"/>
  <c r="R95" i="13"/>
  <c r="O96" i="13"/>
  <c r="R96" i="13"/>
  <c r="J97" i="13"/>
  <c r="P97" i="13"/>
  <c r="O100" i="13"/>
  <c r="J101" i="13"/>
  <c r="W102" i="13"/>
  <c r="I103" i="13"/>
  <c r="S103" i="13"/>
  <c r="AE56" i="10" l="1"/>
  <c r="AE56" i="13" s="1"/>
  <c r="AE2" i="13"/>
  <c r="I85" i="13"/>
  <c r="W86" i="13"/>
  <c r="O95" i="13"/>
  <c r="K85" i="13"/>
  <c r="L95" i="13"/>
  <c r="U85" i="13"/>
  <c r="AJ2" i="10"/>
  <c r="S82" i="13"/>
  <c r="K82" i="13"/>
  <c r="M86" i="13"/>
  <c r="U86" i="13"/>
  <c r="W95" i="13"/>
  <c r="M85" i="13"/>
  <c r="AE5" i="10"/>
  <c r="AE5" i="13" s="1"/>
  <c r="Q99" i="13"/>
  <c r="P99" i="13"/>
  <c r="L81" i="13"/>
  <c r="I99" i="13"/>
  <c r="I91" i="13"/>
  <c r="N87" i="13"/>
  <c r="T95" i="13"/>
  <c r="U95" i="13"/>
  <c r="V95" i="13"/>
  <c r="N95" i="13"/>
  <c r="V91" i="13"/>
  <c r="N91" i="13"/>
  <c r="V89" i="13"/>
  <c r="N89" i="13"/>
  <c r="V87" i="13"/>
  <c r="V85" i="13"/>
  <c r="N85" i="13"/>
  <c r="V83" i="13"/>
  <c r="N83" i="13"/>
  <c r="V82" i="13"/>
  <c r="N82" i="13"/>
  <c r="M95" i="13"/>
  <c r="T81" i="13"/>
  <c r="S95" i="13"/>
  <c r="S91" i="13"/>
  <c r="K91" i="13"/>
  <c r="S89" i="13"/>
  <c r="K89" i="13"/>
  <c r="I82" i="13"/>
  <c r="I87" i="13"/>
  <c r="T99" i="13"/>
  <c r="L99" i="13"/>
  <c r="Q85" i="13"/>
  <c r="Q83" i="13"/>
  <c r="P95" i="13"/>
  <c r="P86" i="13"/>
  <c r="I89" i="13"/>
  <c r="I83" i="13"/>
  <c r="U99" i="13"/>
  <c r="M99" i="13"/>
  <c r="U89" i="13"/>
  <c r="Q87" i="13"/>
  <c r="U82" i="13"/>
  <c r="M82" i="13"/>
  <c r="M89" i="13"/>
  <c r="P83" i="13"/>
  <c r="S99" i="13"/>
  <c r="K99" i="13"/>
  <c r="Q91" i="13"/>
  <c r="Q89" i="13"/>
  <c r="V99" i="13"/>
  <c r="N99" i="13"/>
  <c r="Q95" i="13"/>
  <c r="I95" i="13"/>
  <c r="T91" i="13"/>
  <c r="L91" i="13"/>
  <c r="W89" i="13"/>
  <c r="O89" i="13"/>
  <c r="S87" i="13"/>
  <c r="K87" i="13"/>
  <c r="Q86" i="13"/>
  <c r="I86" i="13"/>
  <c r="W85" i="13"/>
  <c r="T89" i="13"/>
  <c r="L89" i="13"/>
  <c r="P87" i="13"/>
  <c r="V86" i="13"/>
  <c r="N86" i="13"/>
  <c r="T85" i="13"/>
  <c r="L85" i="13"/>
  <c r="W83" i="13"/>
  <c r="O83" i="13"/>
  <c r="T82" i="13"/>
  <c r="L82" i="13"/>
  <c r="R81" i="13"/>
  <c r="J81" i="13"/>
  <c r="W91" i="13"/>
  <c r="O91" i="13"/>
  <c r="R89" i="13"/>
  <c r="J89" i="13"/>
  <c r="T86" i="13"/>
  <c r="L86" i="13"/>
  <c r="R85" i="13"/>
  <c r="J85" i="13"/>
  <c r="U83" i="13"/>
  <c r="M83" i="13"/>
  <c r="R82" i="13"/>
  <c r="J82" i="13"/>
  <c r="P81" i="13"/>
  <c r="U87" i="13"/>
  <c r="M87" i="13"/>
  <c r="S86" i="13"/>
  <c r="K86" i="13"/>
  <c r="T83" i="13"/>
  <c r="L83" i="13"/>
  <c r="Q82" i="13"/>
  <c r="W81" i="13"/>
  <c r="O81" i="13"/>
  <c r="U91" i="13"/>
  <c r="M91" i="13"/>
  <c r="P89" i="13"/>
  <c r="T87" i="13"/>
  <c r="L87" i="13"/>
  <c r="R86" i="13"/>
  <c r="J86" i="13"/>
  <c r="P85" i="13"/>
  <c r="S83" i="13"/>
  <c r="K83" i="13"/>
  <c r="P82" i="13"/>
  <c r="V81" i="13"/>
  <c r="N81" i="13"/>
  <c r="O85" i="13"/>
  <c r="R83" i="13"/>
  <c r="J83" i="13"/>
  <c r="W82" i="13"/>
  <c r="O82" i="13"/>
  <c r="U81" i="13"/>
  <c r="M81" i="13"/>
  <c r="AY2" i="10" l="1"/>
  <c r="AY2" i="13" s="1"/>
  <c r="AJ2" i="13"/>
  <c r="AJ56" i="10"/>
  <c r="AJ56" i="13" s="1"/>
  <c r="AJ4" i="10"/>
  <c r="AJ4" i="13" s="1"/>
  <c r="BI2" i="10"/>
  <c r="AJ5" i="10"/>
  <c r="AJ5" i="13" s="1"/>
  <c r="B13" i="10"/>
  <c r="B78" i="13" s="1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W56" i="10"/>
  <c r="C13" i="10"/>
  <c r="C78" i="13" s="1"/>
  <c r="D13" i="10"/>
  <c r="D78" i="13" s="1"/>
  <c r="E13" i="10"/>
  <c r="E78" i="13" s="1"/>
  <c r="F13" i="10"/>
  <c r="F78" i="13" s="1"/>
  <c r="G13" i="10"/>
  <c r="G78" i="13" s="1"/>
  <c r="H13" i="10"/>
  <c r="H78" i="13" s="1"/>
  <c r="I13" i="10"/>
  <c r="I78" i="13" s="1"/>
  <c r="J13" i="10"/>
  <c r="J78" i="13" s="1"/>
  <c r="K13" i="10"/>
  <c r="K78" i="13" s="1"/>
  <c r="L13" i="10"/>
  <c r="L78" i="13" s="1"/>
  <c r="M13" i="10"/>
  <c r="M78" i="13" s="1"/>
  <c r="N13" i="10"/>
  <c r="N78" i="13" s="1"/>
  <c r="O13" i="10"/>
  <c r="O78" i="13" s="1"/>
  <c r="P13" i="10"/>
  <c r="P78" i="13" s="1"/>
  <c r="Q13" i="10"/>
  <c r="Q78" i="13" s="1"/>
  <c r="R13" i="10"/>
  <c r="S13" i="10"/>
  <c r="T13" i="10"/>
  <c r="U13" i="10"/>
  <c r="U78" i="13" s="1"/>
  <c r="V13" i="10"/>
  <c r="V78" i="13" s="1"/>
  <c r="W13" i="10"/>
  <c r="AY5" i="10" l="1"/>
  <c r="AY5" i="13" s="1"/>
  <c r="AY4" i="10"/>
  <c r="AY13" i="10" s="1"/>
  <c r="AY13" i="13" s="1"/>
  <c r="AY56" i="10"/>
  <c r="AY56" i="13" s="1"/>
  <c r="BI4" i="10"/>
  <c r="BI4" i="13" s="1"/>
  <c r="BI2" i="13"/>
  <c r="L28" i="12"/>
  <c r="BI56" i="10"/>
  <c r="BI56" i="13" s="1"/>
  <c r="Z3" i="10"/>
  <c r="Z3" i="13" s="1"/>
  <c r="R78" i="13"/>
  <c r="S78" i="13"/>
  <c r="W78" i="13"/>
  <c r="T78" i="13"/>
  <c r="M28" i="12" l="1"/>
  <c r="AY4" i="13"/>
  <c r="N28" i="12"/>
  <c r="Z4" i="10" l="1"/>
  <c r="Z4" i="13" s="1"/>
  <c r="Z5" i="10"/>
  <c r="Z5" i="13" s="1"/>
  <c r="Z13" i="10" l="1"/>
  <c r="Z56" i="10"/>
  <c r="Z56" i="13" l="1"/>
  <c r="Z57" i="10"/>
  <c r="Z57" i="13" s="1"/>
  <c r="Z18" i="10"/>
  <c r="Z18" i="13" s="1"/>
  <c r="Z26" i="10"/>
  <c r="Z34" i="10"/>
  <c r="Z42" i="10"/>
  <c r="Z50" i="10"/>
  <c r="Z50" i="13" s="1"/>
  <c r="Z19" i="10"/>
  <c r="Z19" i="13" s="1"/>
  <c r="Z27" i="10"/>
  <c r="Z27" i="13" s="1"/>
  <c r="Z35" i="10"/>
  <c r="Z43" i="10"/>
  <c r="Z51" i="10"/>
  <c r="Z51" i="13" s="1"/>
  <c r="Z20" i="10"/>
  <c r="Z20" i="13" s="1"/>
  <c r="Z28" i="10"/>
  <c r="Z28" i="13" s="1"/>
  <c r="Z36" i="10"/>
  <c r="Z44" i="10"/>
  <c r="Z52" i="10"/>
  <c r="Z24" i="10"/>
  <c r="Z24" i="13" s="1"/>
  <c r="Z48" i="10"/>
  <c r="Z21" i="10"/>
  <c r="Z21" i="13" s="1"/>
  <c r="Z29" i="10"/>
  <c r="Z29" i="13" s="1"/>
  <c r="Z37" i="10"/>
  <c r="Z37" i="13" s="1"/>
  <c r="Z45" i="10"/>
  <c r="Z53" i="10"/>
  <c r="Z38" i="10"/>
  <c r="Z46" i="10"/>
  <c r="Z54" i="10"/>
  <c r="Z16" i="10"/>
  <c r="Z16" i="13" s="1"/>
  <c r="Z14" i="10"/>
  <c r="Z22" i="10"/>
  <c r="Z22" i="13" s="1"/>
  <c r="Z30" i="10"/>
  <c r="Z40" i="10"/>
  <c r="Z15" i="10"/>
  <c r="Z23" i="10"/>
  <c r="Z23" i="13" s="1"/>
  <c r="Z31" i="10"/>
  <c r="Z31" i="13" s="1"/>
  <c r="Z39" i="10"/>
  <c r="Z47" i="10"/>
  <c r="Z32" i="10"/>
  <c r="Z32" i="13" s="1"/>
  <c r="Z49" i="10"/>
  <c r="Z49" i="13" s="1"/>
  <c r="Z33" i="10"/>
  <c r="Z41" i="10"/>
  <c r="Z17" i="10"/>
  <c r="Z17" i="13" s="1"/>
  <c r="Z25" i="10"/>
  <c r="Z13" i="13"/>
  <c r="Z78" i="13" s="1"/>
  <c r="Z61" i="10"/>
  <c r="Z70" i="10"/>
  <c r="Z69" i="10"/>
  <c r="Z60" i="10"/>
  <c r="Z58" i="10"/>
  <c r="Z62" i="10"/>
  <c r="Z68" i="10"/>
  <c r="Z66" i="10"/>
  <c r="Z63" i="10"/>
  <c r="Z59" i="10"/>
  <c r="Z64" i="10"/>
  <c r="Z67" i="10"/>
  <c r="Z65" i="10"/>
  <c r="J28" i="12"/>
  <c r="K28" i="12"/>
  <c r="J47" i="12"/>
  <c r="P65" i="12"/>
  <c r="X78" i="13"/>
  <c r="Z40" i="13" l="1"/>
  <c r="D110" i="12"/>
  <c r="Z30" i="13"/>
  <c r="D104" i="12"/>
  <c r="Z42" i="13"/>
  <c r="D112" i="12"/>
  <c r="Z47" i="13"/>
  <c r="D117" i="12"/>
  <c r="Z14" i="13"/>
  <c r="D97" i="12"/>
  <c r="Z34" i="13"/>
  <c r="D106" i="12"/>
  <c r="Z44" i="13"/>
  <c r="D114" i="12"/>
  <c r="Z45" i="13"/>
  <c r="D115" i="12"/>
  <c r="Z39" i="13"/>
  <c r="D109" i="12"/>
  <c r="Z26" i="13"/>
  <c r="D103" i="12"/>
  <c r="Z54" i="13"/>
  <c r="D101" i="12"/>
  <c r="Z48" i="13"/>
  <c r="D118" i="12"/>
  <c r="Z43" i="13"/>
  <c r="D113" i="12"/>
  <c r="Z33" i="13"/>
  <c r="D105" i="12"/>
  <c r="Z25" i="13"/>
  <c r="D102" i="12"/>
  <c r="Z46" i="13"/>
  <c r="D116" i="12"/>
  <c r="Z35" i="13"/>
  <c r="D119" i="12"/>
  <c r="Z53" i="13"/>
  <c r="D100" i="12"/>
  <c r="Z36" i="13"/>
  <c r="D107" i="12"/>
  <c r="Z41" i="13"/>
  <c r="D111" i="12"/>
  <c r="Z15" i="13"/>
  <c r="D98" i="12"/>
  <c r="Z38" i="13"/>
  <c r="D108" i="12"/>
  <c r="Z52" i="13"/>
  <c r="D99" i="12"/>
  <c r="P66" i="12"/>
  <c r="P50" i="12"/>
  <c r="P59" i="12"/>
  <c r="P63" i="12"/>
  <c r="P64" i="12"/>
  <c r="P76" i="12"/>
  <c r="P54" i="12"/>
  <c r="P71" i="12"/>
  <c r="P70" i="12"/>
  <c r="P61" i="12"/>
  <c r="P83" i="12"/>
  <c r="P51" i="12"/>
  <c r="P74" i="12"/>
  <c r="P58" i="12"/>
  <c r="P55" i="12"/>
  <c r="P67" i="12"/>
  <c r="P87" i="12"/>
  <c r="P75" i="12"/>
  <c r="P86" i="12"/>
  <c r="P85" i="12"/>
  <c r="P72" i="12"/>
  <c r="P48" i="12"/>
  <c r="P79" i="12"/>
  <c r="P88" i="12"/>
  <c r="P84" i="12"/>
  <c r="P68" i="12"/>
  <c r="P31" i="12"/>
  <c r="P77" i="12"/>
  <c r="P49" i="12"/>
  <c r="P81" i="12"/>
  <c r="P57" i="12"/>
  <c r="P29" i="12"/>
  <c r="Z58" i="13"/>
  <c r="P30" i="12"/>
  <c r="Z59" i="13"/>
  <c r="P42" i="12"/>
  <c r="Z70" i="13"/>
  <c r="P62" i="12"/>
  <c r="P82" i="12"/>
  <c r="P35" i="12"/>
  <c r="Z63" i="13"/>
  <c r="P33" i="12"/>
  <c r="Z61" i="13"/>
  <c r="P60" i="12"/>
  <c r="P53" i="12"/>
  <c r="P38" i="12"/>
  <c r="Z66" i="13"/>
  <c r="P69" i="12"/>
  <c r="P78" i="12"/>
  <c r="P52" i="12"/>
  <c r="P40" i="12"/>
  <c r="Z68" i="13"/>
  <c r="P34" i="12"/>
  <c r="Z62" i="13"/>
  <c r="P37" i="12"/>
  <c r="Z65" i="13"/>
  <c r="P39" i="12"/>
  <c r="Z67" i="13"/>
  <c r="P32" i="12"/>
  <c r="Z60" i="13"/>
  <c r="P80" i="12"/>
  <c r="P73" i="12"/>
  <c r="P56" i="12"/>
  <c r="P36" i="12"/>
  <c r="Z64" i="13"/>
  <c r="P41" i="12"/>
  <c r="Z69" i="13"/>
  <c r="Y78" i="13"/>
  <c r="D125" i="12" l="1"/>
  <c r="D126" i="12"/>
  <c r="D124" i="12"/>
  <c r="D123" i="12"/>
  <c r="P47" i="12"/>
  <c r="P28" i="12"/>
  <c r="AE57" i="10" s="1"/>
  <c r="AE57" i="13" s="1"/>
  <c r="AE66" i="10"/>
  <c r="AE67" i="10"/>
  <c r="AE67" i="13" s="1"/>
  <c r="AE69" i="10" l="1"/>
  <c r="AE69" i="13" s="1"/>
  <c r="AE65" i="10"/>
  <c r="AE60" i="10"/>
  <c r="AE60" i="13" s="1"/>
  <c r="AE64" i="10"/>
  <c r="AE64" i="13" s="1"/>
  <c r="AE63" i="10"/>
  <c r="AE63" i="13" s="1"/>
  <c r="AE70" i="10"/>
  <c r="AE70" i="13" s="1"/>
  <c r="AE62" i="10"/>
  <c r="AE62" i="13" s="1"/>
  <c r="AE6" i="10"/>
  <c r="AE6" i="13" s="1"/>
  <c r="AE59" i="10"/>
  <c r="AE59" i="13" s="1"/>
  <c r="Q39" i="12"/>
  <c r="AE61" i="10"/>
  <c r="AE61" i="13" s="1"/>
  <c r="AE58" i="10"/>
  <c r="AE58" i="13" s="1"/>
  <c r="Q31" i="12"/>
  <c r="AE68" i="10"/>
  <c r="AE68" i="13" s="1"/>
  <c r="Q36" i="12"/>
  <c r="Q38" i="12"/>
  <c r="AE66" i="13"/>
  <c r="Q37" i="12"/>
  <c r="AE65" i="13"/>
  <c r="AE9" i="10"/>
  <c r="AE9" i="13" s="1"/>
  <c r="Q32" i="12"/>
  <c r="Q41" i="12" l="1"/>
  <c r="Q34" i="12"/>
  <c r="Q42" i="12"/>
  <c r="Q35" i="12"/>
  <c r="Q33" i="12"/>
  <c r="AE8" i="10"/>
  <c r="AE8" i="13" s="1"/>
  <c r="Q30" i="12"/>
  <c r="Q29" i="12"/>
  <c r="AE10" i="10"/>
  <c r="AE10" i="13" s="1"/>
  <c r="Q40" i="12"/>
  <c r="AE7" i="10"/>
  <c r="AE7" i="13" s="1"/>
  <c r="AE11" i="10"/>
  <c r="AE11" i="13" s="1"/>
  <c r="Q28" i="12" l="1"/>
  <c r="AJ57" i="10" s="1"/>
  <c r="AJ57" i="13" s="1"/>
  <c r="AA78" i="13"/>
  <c r="AJ69" i="10" l="1"/>
  <c r="R41" i="12" s="1"/>
  <c r="AJ67" i="10"/>
  <c r="AJ59" i="10"/>
  <c r="AJ68" i="10"/>
  <c r="AJ68" i="13" s="1"/>
  <c r="AJ63" i="10"/>
  <c r="R35" i="12" s="1"/>
  <c r="AJ65" i="10"/>
  <c r="AJ60" i="10"/>
  <c r="R32" i="12" s="1"/>
  <c r="AJ70" i="10"/>
  <c r="AJ70" i="13" s="1"/>
  <c r="AJ64" i="10"/>
  <c r="R36" i="12" s="1"/>
  <c r="AJ62" i="10"/>
  <c r="AJ62" i="13" s="1"/>
  <c r="AJ66" i="10"/>
  <c r="R31" i="12"/>
  <c r="AJ61" i="10"/>
  <c r="AJ61" i="13" s="1"/>
  <c r="AJ58" i="10"/>
  <c r="R29" i="12" s="1"/>
  <c r="R34" i="12"/>
  <c r="R40" i="12"/>
  <c r="R39" i="12"/>
  <c r="AJ67" i="13"/>
  <c r="R30" i="12"/>
  <c r="AJ59" i="13"/>
  <c r="R37" i="12"/>
  <c r="AJ65" i="13"/>
  <c r="R38" i="12"/>
  <c r="AJ66" i="13"/>
  <c r="AB78" i="13"/>
  <c r="AJ60" i="13" l="1"/>
  <c r="R33" i="12"/>
  <c r="R28" i="12" s="1"/>
  <c r="AJ69" i="13"/>
  <c r="AJ63" i="13"/>
  <c r="AJ64" i="13"/>
  <c r="R42" i="12"/>
  <c r="AJ58" i="13"/>
  <c r="AC78" i="13"/>
  <c r="AY57" i="10" l="1"/>
  <c r="AY57" i="13" s="1"/>
  <c r="AY59" i="10"/>
  <c r="AY59" i="13" s="1"/>
  <c r="AY60" i="10"/>
  <c r="AY60" i="13" s="1"/>
  <c r="AY70" i="10"/>
  <c r="S42" i="12" s="1"/>
  <c r="AY61" i="10"/>
  <c r="AY61" i="13" s="1"/>
  <c r="AY67" i="10"/>
  <c r="S39" i="12" s="1"/>
  <c r="AY64" i="10"/>
  <c r="AY64" i="13" s="1"/>
  <c r="AY63" i="10"/>
  <c r="S35" i="12" s="1"/>
  <c r="AY65" i="10"/>
  <c r="AY65" i="13" s="1"/>
  <c r="AY62" i="10"/>
  <c r="AY62" i="13" s="1"/>
  <c r="AY6" i="10"/>
  <c r="AY6" i="13" s="1"/>
  <c r="AY69" i="10"/>
  <c r="AY69" i="13" s="1"/>
  <c r="AY66" i="10"/>
  <c r="AY66" i="13" s="1"/>
  <c r="S31" i="12"/>
  <c r="AY68" i="10"/>
  <c r="AY58" i="10"/>
  <c r="AY58" i="13" s="1"/>
  <c r="S37" i="12"/>
  <c r="S34" i="12"/>
  <c r="S33" i="12"/>
  <c r="AY9" i="10"/>
  <c r="AY9" i="13" s="1"/>
  <c r="S32" i="12"/>
  <c r="AY8" i="10"/>
  <c r="AY8" i="13" s="1"/>
  <c r="S30" i="12"/>
  <c r="AD78" i="13"/>
  <c r="S36" i="12" l="1"/>
  <c r="AY70" i="13"/>
  <c r="AY63" i="13"/>
  <c r="AY67" i="13"/>
  <c r="AY10" i="10"/>
  <c r="AY10" i="13" s="1"/>
  <c r="S41" i="12"/>
  <c r="S38" i="12"/>
  <c r="AY11" i="10"/>
  <c r="AY11" i="13" s="1"/>
  <c r="AY7" i="10"/>
  <c r="AY7" i="13" s="1"/>
  <c r="S29" i="12"/>
  <c r="AY68" i="13"/>
  <c r="S40" i="12"/>
  <c r="Y102" i="13"/>
  <c r="Y96" i="13"/>
  <c r="Y100" i="13"/>
  <c r="Y103" i="13"/>
  <c r="Y80" i="13"/>
  <c r="Y94" i="13"/>
  <c r="Y84" i="13"/>
  <c r="Y88" i="13"/>
  <c r="Y97" i="13"/>
  <c r="Y89" i="13"/>
  <c r="Y86" i="13"/>
  <c r="Y92" i="13"/>
  <c r="Y95" i="13"/>
  <c r="Y79" i="13"/>
  <c r="Y101" i="13"/>
  <c r="Y90" i="13"/>
  <c r="Y93" i="13"/>
  <c r="Y98" i="13"/>
  <c r="X88" i="13"/>
  <c r="X93" i="13"/>
  <c r="X95" i="13"/>
  <c r="X102" i="13"/>
  <c r="X79" i="13"/>
  <c r="X87" i="13"/>
  <c r="X96" i="13"/>
  <c r="X101" i="13"/>
  <c r="X94" i="13"/>
  <c r="X92" i="13"/>
  <c r="X84" i="13"/>
  <c r="X100" i="13"/>
  <c r="X98" i="13"/>
  <c r="X81" i="13"/>
  <c r="X99" i="13"/>
  <c r="X97" i="13"/>
  <c r="X90" i="13"/>
  <c r="X82" i="13"/>
  <c r="X103" i="13"/>
  <c r="X80" i="13"/>
  <c r="S28" i="12" l="1"/>
  <c r="BI58" i="10" s="1"/>
  <c r="BI58" i="13" s="1"/>
  <c r="BI66" i="10"/>
  <c r="BI66" i="13" s="1"/>
  <c r="BI59" i="10"/>
  <c r="BI59" i="13" s="1"/>
  <c r="BI67" i="10"/>
  <c r="BI67" i="13" s="1"/>
  <c r="BI60" i="10"/>
  <c r="BI60" i="13" s="1"/>
  <c r="BI68" i="10"/>
  <c r="BI68" i="13" s="1"/>
  <c r="BI70" i="10"/>
  <c r="BI70" i="13" s="1"/>
  <c r="BI61" i="10"/>
  <c r="BI61" i="13" s="1"/>
  <c r="BI62" i="10"/>
  <c r="BI62" i="13" s="1"/>
  <c r="BI64" i="10"/>
  <c r="BI64" i="13" s="1"/>
  <c r="BI63" i="10"/>
  <c r="BI63" i="13" s="1"/>
  <c r="BI65" i="10"/>
  <c r="BI65" i="13" s="1"/>
  <c r="BI57" i="10"/>
  <c r="BI57" i="13" s="1"/>
  <c r="AH80" i="13"/>
  <c r="AI97" i="13"/>
  <c r="AC96" i="13"/>
  <c r="AD90" i="13"/>
  <c r="AA90" i="13"/>
  <c r="AD97" i="13"/>
  <c r="AD81" i="13"/>
  <c r="AA88" i="13"/>
  <c r="AA101" i="13"/>
  <c r="AA96" i="13"/>
  <c r="AB98" i="13"/>
  <c r="AB80" i="13"/>
  <c r="AB100" i="13"/>
  <c r="AH96" i="13"/>
  <c r="AH79" i="13"/>
  <c r="AH92" i="13"/>
  <c r="AI79" i="13"/>
  <c r="AG97" i="13"/>
  <c r="AG102" i="13"/>
  <c r="AC85" i="13"/>
  <c r="AC79" i="13"/>
  <c r="Z102" i="13"/>
  <c r="Z79" i="13"/>
  <c r="AF94" i="13"/>
  <c r="AF79" i="13"/>
  <c r="AH101" i="13"/>
  <c r="AC103" i="13"/>
  <c r="AF100" i="13"/>
  <c r="AD102" i="13"/>
  <c r="AD84" i="13"/>
  <c r="AD82" i="13"/>
  <c r="AA98" i="13"/>
  <c r="AA102" i="13"/>
  <c r="AA94" i="13"/>
  <c r="AB102" i="13"/>
  <c r="AB82" i="13"/>
  <c r="AB84" i="13"/>
  <c r="AH102" i="13"/>
  <c r="AH81" i="13"/>
  <c r="AH93" i="13"/>
  <c r="AI95" i="13"/>
  <c r="AI96" i="13"/>
  <c r="AG98" i="13"/>
  <c r="AG79" i="13"/>
  <c r="AG80" i="13"/>
  <c r="AG94" i="13"/>
  <c r="AC93" i="13"/>
  <c r="AC102" i="13"/>
  <c r="AC95" i="13"/>
  <c r="Z97" i="13"/>
  <c r="Z83" i="13"/>
  <c r="Z88" i="13"/>
  <c r="Z103" i="13"/>
  <c r="AF96" i="13"/>
  <c r="AF97" i="13"/>
  <c r="AF89" i="13"/>
  <c r="AB92" i="13"/>
  <c r="AH88" i="13"/>
  <c r="AF99" i="13"/>
  <c r="AB103" i="13"/>
  <c r="AA93" i="13"/>
  <c r="AA97" i="13"/>
  <c r="AB90" i="13"/>
  <c r="AB79" i="13"/>
  <c r="AH98" i="13"/>
  <c r="AH103" i="13"/>
  <c r="AH84" i="13"/>
  <c r="AI99" i="13"/>
  <c r="AI84" i="13"/>
  <c r="AG100" i="13"/>
  <c r="AG93" i="13"/>
  <c r="AC82" i="13"/>
  <c r="AC81" i="13"/>
  <c r="Z99" i="13"/>
  <c r="Z95" i="13"/>
  <c r="AF101" i="13"/>
  <c r="AF93" i="13"/>
  <c r="AF102" i="13"/>
  <c r="AF88" i="13"/>
  <c r="AD96" i="13"/>
  <c r="AH100" i="13"/>
  <c r="AC94" i="13"/>
  <c r="Z80" i="13"/>
  <c r="AF90" i="13"/>
  <c r="AD88" i="13"/>
  <c r="AD100" i="13"/>
  <c r="AA92" i="13"/>
  <c r="AB93" i="13"/>
  <c r="AG88" i="13"/>
  <c r="Z98" i="13"/>
  <c r="Z93" i="13"/>
  <c r="Z92" i="13"/>
  <c r="AD101" i="13"/>
  <c r="AD92" i="13"/>
  <c r="AD95" i="13"/>
  <c r="AD80" i="13"/>
  <c r="AD79" i="13"/>
  <c r="AD93" i="13"/>
  <c r="AA87" i="13"/>
  <c r="AB96" i="13"/>
  <c r="AB88" i="13"/>
  <c r="AH97" i="13"/>
  <c r="AI93" i="13"/>
  <c r="AI92" i="13"/>
  <c r="AG103" i="13"/>
  <c r="AC97" i="13"/>
  <c r="AC98" i="13"/>
  <c r="AC86" i="13"/>
  <c r="Z91" i="13"/>
  <c r="Z86" i="13"/>
  <c r="Z90" i="13"/>
  <c r="AF84" i="13"/>
  <c r="AA100" i="13"/>
  <c r="AA95" i="13"/>
  <c r="AB86" i="13"/>
  <c r="AI101" i="13"/>
  <c r="AG85" i="13"/>
  <c r="AD86" i="13"/>
  <c r="AA79" i="13"/>
  <c r="AH94" i="13"/>
  <c r="AI98" i="13"/>
  <c r="AG96" i="13"/>
  <c r="AC88" i="13"/>
  <c r="Z96" i="13"/>
  <c r="AA86" i="13"/>
  <c r="AB94" i="13"/>
  <c r="AI88" i="13"/>
  <c r="AI81" i="13"/>
  <c r="AI102" i="13"/>
  <c r="AG84" i="13"/>
  <c r="AC90" i="13"/>
  <c r="AC99" i="13"/>
  <c r="Z94" i="13"/>
  <c r="Z101" i="13"/>
  <c r="AF92" i="13"/>
  <c r="AF80" i="13"/>
  <c r="AG101" i="13"/>
  <c r="AC84" i="13"/>
  <c r="AI94" i="13"/>
  <c r="AC80" i="13"/>
  <c r="AD94" i="13"/>
  <c r="AA80" i="13"/>
  <c r="AB81" i="13"/>
  <c r="AF78" i="13"/>
  <c r="AD103" i="13"/>
  <c r="AD98" i="13"/>
  <c r="AA84" i="13"/>
  <c r="AA103" i="13"/>
  <c r="AB101" i="13"/>
  <c r="AB97" i="13"/>
  <c r="AH90" i="13"/>
  <c r="AI80" i="13"/>
  <c r="AI103" i="13"/>
  <c r="AI90" i="13"/>
  <c r="AI100" i="13"/>
  <c r="AG95" i="13"/>
  <c r="AG90" i="13"/>
  <c r="AG92" i="13"/>
  <c r="AC100" i="13"/>
  <c r="AC101" i="13"/>
  <c r="AC92" i="13"/>
  <c r="Z84" i="13"/>
  <c r="Z100" i="13"/>
  <c r="AF98" i="13"/>
  <c r="AF103" i="13"/>
  <c r="X83" i="13"/>
  <c r="Y87" i="13"/>
  <c r="AB99" i="13"/>
  <c r="AF86" i="13"/>
  <c r="AG83" i="13"/>
  <c r="AC89" i="13"/>
  <c r="X91" i="13"/>
  <c r="AB85" i="13"/>
  <c r="AH89" i="13"/>
  <c r="AH82" i="13"/>
  <c r="AI82" i="13"/>
  <c r="AG81" i="13"/>
  <c r="AG99" i="13"/>
  <c r="AC83" i="13"/>
  <c r="Z87" i="13"/>
  <c r="AF83" i="13"/>
  <c r="AD87" i="13"/>
  <c r="Y81" i="13"/>
  <c r="AD89" i="13"/>
  <c r="AA91" i="13"/>
  <c r="AH99" i="13"/>
  <c r="Z82" i="13"/>
  <c r="Y85" i="13"/>
  <c r="AA89" i="13"/>
  <c r="AA82" i="13"/>
  <c r="AB83" i="13"/>
  <c r="AI86" i="13"/>
  <c r="AB89" i="13"/>
  <c r="AH91" i="13"/>
  <c r="AG82" i="13"/>
  <c r="AD91" i="13"/>
  <c r="Y82" i="13"/>
  <c r="Y99" i="13"/>
  <c r="Y91" i="13"/>
  <c r="AA83" i="13"/>
  <c r="AA99" i="13"/>
  <c r="AB91" i="13"/>
  <c r="AH95" i="13"/>
  <c r="AI87" i="13"/>
  <c r="AG86" i="13"/>
  <c r="AF85" i="13"/>
  <c r="AF91" i="13"/>
  <c r="X89" i="13"/>
  <c r="X86" i="13"/>
  <c r="AD99" i="13"/>
  <c r="Y83" i="13"/>
  <c r="AA85" i="13"/>
  <c r="AB95" i="13"/>
  <c r="AH86" i="13"/>
  <c r="AH83" i="13"/>
  <c r="AI83" i="13"/>
  <c r="AG87" i="13"/>
  <c r="AG91" i="13"/>
  <c r="Z85" i="13"/>
  <c r="AF95" i="13"/>
  <c r="AI91" i="13"/>
  <c r="AI85" i="13"/>
  <c r="Z81" i="13"/>
  <c r="AC91" i="13"/>
  <c r="X85" i="13"/>
  <c r="AD85" i="13"/>
  <c r="AD83" i="13"/>
  <c r="AA81" i="13"/>
  <c r="AB87" i="13"/>
  <c r="AH87" i="13"/>
  <c r="AH85" i="13"/>
  <c r="AI89" i="13"/>
  <c r="AG89" i="13"/>
  <c r="AC87" i="13"/>
  <c r="Z89" i="13"/>
  <c r="AF81" i="13"/>
  <c r="AF87" i="13"/>
  <c r="AF82" i="13"/>
  <c r="BI69" i="10" l="1"/>
  <c r="BI69" i="13" s="1"/>
  <c r="AG78" i="13"/>
  <c r="AH78" i="13" l="1"/>
  <c r="AI78" i="13" l="1"/>
  <c r="AK78" i="13" l="1"/>
  <c r="AL78" i="13" l="1"/>
  <c r="AM78" i="13" l="1"/>
  <c r="AN78" i="13" l="1"/>
  <c r="AO78" i="13" l="1"/>
  <c r="AP78" i="13" l="1"/>
  <c r="AQ78" i="13" l="1"/>
  <c r="AR78" i="13" l="1"/>
  <c r="BI5" i="10"/>
  <c r="BI5" i="13" s="1"/>
  <c r="AS78" i="13" l="1"/>
  <c r="AT78" i="13" l="1"/>
  <c r="AU78" i="13" l="1"/>
  <c r="AZ78" i="13"/>
  <c r="BC78" i="13" l="1"/>
  <c r="BB78" i="13"/>
  <c r="BA78" i="13"/>
  <c r="AV78" i="13"/>
  <c r="BD78" i="13" l="1"/>
  <c r="AW78" i="13"/>
  <c r="BE78" i="13" l="1"/>
  <c r="AX78" i="13"/>
  <c r="AZ102" i="13" l="1"/>
  <c r="AZ97" i="13"/>
  <c r="AZ101" i="13"/>
  <c r="AZ98" i="13"/>
  <c r="AZ96" i="13"/>
  <c r="AZ100" i="13"/>
  <c r="AZ99" i="13"/>
  <c r="AZ84" i="13"/>
  <c r="AZ80" i="13"/>
  <c r="AZ79" i="13"/>
  <c r="AZ94" i="13"/>
  <c r="AZ92" i="13"/>
  <c r="AZ93" i="13"/>
  <c r="BF78" i="13"/>
  <c r="AZ90" i="13"/>
  <c r="AZ86" i="13" l="1"/>
  <c r="AZ91" i="13"/>
  <c r="AZ81" i="13"/>
  <c r="AZ95" i="13"/>
  <c r="AZ82" i="13"/>
  <c r="BE90" i="13"/>
  <c r="BB99" i="13"/>
  <c r="AK103" i="13"/>
  <c r="BA93" i="13"/>
  <c r="BE93" i="13"/>
  <c r="BE79" i="13"/>
  <c r="BE100" i="13"/>
  <c r="BB101" i="13"/>
  <c r="BE91" i="13"/>
  <c r="BE102" i="13"/>
  <c r="BE101" i="13"/>
  <c r="BB97" i="13"/>
  <c r="BB94" i="13"/>
  <c r="BF99" i="13"/>
  <c r="BF100" i="13"/>
  <c r="BF79" i="13"/>
  <c r="AL92" i="13"/>
  <c r="AL84" i="13"/>
  <c r="AL100" i="13"/>
  <c r="AK101" i="13"/>
  <c r="AK81" i="13"/>
  <c r="AK88" i="13"/>
  <c r="AR102" i="13"/>
  <c r="AR96" i="13"/>
  <c r="AR80" i="13"/>
  <c r="BG93" i="13"/>
  <c r="AM98" i="13"/>
  <c r="AM88" i="13"/>
  <c r="AN97" i="13"/>
  <c r="AV98" i="13"/>
  <c r="AV92" i="13"/>
  <c r="AO96" i="13"/>
  <c r="AO97" i="13"/>
  <c r="AO88" i="13"/>
  <c r="AS90" i="13"/>
  <c r="AS103" i="13"/>
  <c r="AW87" i="13"/>
  <c r="AW88" i="13"/>
  <c r="AW98" i="13"/>
  <c r="AX100" i="13"/>
  <c r="AX88" i="13"/>
  <c r="AX80" i="13"/>
  <c r="AU84" i="13"/>
  <c r="BD92" i="13"/>
  <c r="BD103" i="13"/>
  <c r="AP97" i="13"/>
  <c r="BC85" i="13"/>
  <c r="BC96" i="13"/>
  <c r="BC90" i="13"/>
  <c r="BC93" i="13"/>
  <c r="BH81" i="13"/>
  <c r="BH79" i="13"/>
  <c r="BA101" i="13"/>
  <c r="BA91" i="13"/>
  <c r="BA97" i="13"/>
  <c r="BA103" i="13"/>
  <c r="AT98" i="13"/>
  <c r="AT84" i="13"/>
  <c r="AT88" i="13"/>
  <c r="AT80" i="13"/>
  <c r="AZ103" i="13"/>
  <c r="BH92" i="13"/>
  <c r="AT97" i="13"/>
  <c r="AT79" i="13"/>
  <c r="AT92" i="13"/>
  <c r="AQ103" i="13"/>
  <c r="AQ90" i="13"/>
  <c r="BE80" i="13"/>
  <c r="BB96" i="13"/>
  <c r="BB93" i="13"/>
  <c r="AL96" i="13"/>
  <c r="AK97" i="13"/>
  <c r="BG94" i="13"/>
  <c r="AM80" i="13"/>
  <c r="AN87" i="13"/>
  <c r="AN103" i="13"/>
  <c r="AO90" i="13"/>
  <c r="AW79" i="13"/>
  <c r="AX79" i="13"/>
  <c r="AX102" i="13"/>
  <c r="AP90" i="13"/>
  <c r="AP99" i="13"/>
  <c r="AP103" i="13"/>
  <c r="BH90" i="13"/>
  <c r="BH93" i="13"/>
  <c r="AT96" i="13"/>
  <c r="AQ88" i="13"/>
  <c r="AQ93" i="13"/>
  <c r="AQ98" i="13"/>
  <c r="AZ83" i="13"/>
  <c r="BE83" i="13"/>
  <c r="BE99" i="13"/>
  <c r="BE96" i="13"/>
  <c r="BB89" i="13"/>
  <c r="BB102" i="13"/>
  <c r="BB80" i="13"/>
  <c r="BF101" i="13"/>
  <c r="BF90" i="13"/>
  <c r="BF82" i="13"/>
  <c r="AK91" i="13"/>
  <c r="AK100" i="13"/>
  <c r="AR87" i="13"/>
  <c r="AR79" i="13"/>
  <c r="BG102" i="13"/>
  <c r="BG101" i="13"/>
  <c r="BG83" i="13"/>
  <c r="BG79" i="13"/>
  <c r="AM91" i="13"/>
  <c r="AM90" i="13"/>
  <c r="AM84" i="13"/>
  <c r="AM83" i="13"/>
  <c r="AN98" i="13"/>
  <c r="AN88" i="13"/>
  <c r="AN80" i="13"/>
  <c r="AV101" i="13"/>
  <c r="AV94" i="13"/>
  <c r="AV93" i="13"/>
  <c r="AO89" i="13"/>
  <c r="AO81" i="13"/>
  <c r="AO103" i="13"/>
  <c r="AS101" i="13"/>
  <c r="AS87" i="13"/>
  <c r="AS96" i="13"/>
  <c r="AS85" i="13"/>
  <c r="AW81" i="13"/>
  <c r="AX89" i="13"/>
  <c r="AX82" i="13"/>
  <c r="AU87" i="13"/>
  <c r="AU86" i="13"/>
  <c r="BD86" i="13"/>
  <c r="BD95" i="13"/>
  <c r="BD96" i="13"/>
  <c r="BD80" i="13"/>
  <c r="AP96" i="13"/>
  <c r="AP98" i="13"/>
  <c r="AP88" i="13"/>
  <c r="AP84" i="13"/>
  <c r="BC102" i="13"/>
  <c r="BC84" i="13"/>
  <c r="BH82" i="13"/>
  <c r="BH88" i="13"/>
  <c r="BA94" i="13"/>
  <c r="BA84" i="13"/>
  <c r="BA96" i="13"/>
  <c r="AT94" i="13"/>
  <c r="AT91" i="13"/>
  <c r="AT99" i="13"/>
  <c r="AQ89" i="13"/>
  <c r="AQ96" i="13"/>
  <c r="AQ100" i="13"/>
  <c r="AZ87" i="13"/>
  <c r="AZ85" i="13"/>
  <c r="BE103" i="13"/>
  <c r="AL99" i="13"/>
  <c r="AR94" i="13"/>
  <c r="BG96" i="13"/>
  <c r="AN100" i="13"/>
  <c r="AN90" i="13"/>
  <c r="AV79" i="13"/>
  <c r="AO86" i="13"/>
  <c r="AO102" i="13"/>
  <c r="AU97" i="13"/>
  <c r="AU93" i="13"/>
  <c r="AU80" i="13"/>
  <c r="BD100" i="13"/>
  <c r="BD84" i="13"/>
  <c r="AP101" i="13"/>
  <c r="BH84" i="13"/>
  <c r="BA100" i="13"/>
  <c r="AQ80" i="13"/>
  <c r="BB100" i="13"/>
  <c r="AN85" i="13"/>
  <c r="AV85" i="13"/>
  <c r="AO101" i="13"/>
  <c r="BB92" i="13"/>
  <c r="BB79" i="13"/>
  <c r="BB85" i="13"/>
  <c r="BB84" i="13"/>
  <c r="BF96" i="13"/>
  <c r="BF80" i="13"/>
  <c r="AL94" i="13"/>
  <c r="AL103" i="13"/>
  <c r="AK90" i="13"/>
  <c r="AK99" i="13"/>
  <c r="AR92" i="13"/>
  <c r="AR101" i="13"/>
  <c r="AR83" i="13"/>
  <c r="AR88" i="13"/>
  <c r="BG91" i="13"/>
  <c r="BG85" i="13"/>
  <c r="BG100" i="13"/>
  <c r="AM101" i="13"/>
  <c r="AM97" i="13"/>
  <c r="AM103" i="13"/>
  <c r="AN102" i="13"/>
  <c r="AN84" i="13"/>
  <c r="AN94" i="13"/>
  <c r="AV81" i="13"/>
  <c r="AV83" i="13"/>
  <c r="AV84" i="13"/>
  <c r="AV88" i="13"/>
  <c r="AV80" i="13"/>
  <c r="AO93" i="13"/>
  <c r="AO87" i="13"/>
  <c r="AO100" i="13"/>
  <c r="AS102" i="13"/>
  <c r="AS82" i="13"/>
  <c r="AW102" i="13"/>
  <c r="AW93" i="13"/>
  <c r="AW82" i="13"/>
  <c r="AX96" i="13"/>
  <c r="AU101" i="13"/>
  <c r="AU98" i="13"/>
  <c r="BD90" i="13"/>
  <c r="BD93" i="13"/>
  <c r="AP87" i="13"/>
  <c r="AP100" i="13"/>
  <c r="AP93" i="13"/>
  <c r="AP80" i="13"/>
  <c r="BC81" i="13"/>
  <c r="BC101" i="13"/>
  <c r="BH98" i="13"/>
  <c r="BH103" i="13"/>
  <c r="BH100" i="13"/>
  <c r="BA82" i="13"/>
  <c r="BA85" i="13"/>
  <c r="AT83" i="13"/>
  <c r="AQ82" i="13"/>
  <c r="AZ89" i="13"/>
  <c r="BF98" i="13"/>
  <c r="AM100" i="13"/>
  <c r="AS84" i="13"/>
  <c r="BC79" i="13"/>
  <c r="BA90" i="13"/>
  <c r="AK92" i="13"/>
  <c r="AK93" i="13"/>
  <c r="AR97" i="13"/>
  <c r="AV90" i="13"/>
  <c r="AV95" i="13"/>
  <c r="AV103" i="13"/>
  <c r="AO92" i="13"/>
  <c r="AS79" i="13"/>
  <c r="AX98" i="13"/>
  <c r="AU94" i="13"/>
  <c r="AU88" i="13"/>
  <c r="BD97" i="13"/>
  <c r="BD88" i="13"/>
  <c r="AP102" i="13"/>
  <c r="BC94" i="13"/>
  <c r="BC88" i="13"/>
  <c r="BC100" i="13"/>
  <c r="BH102" i="13"/>
  <c r="BE98" i="13"/>
  <c r="BE82" i="13"/>
  <c r="BF91" i="13"/>
  <c r="BF87" i="13"/>
  <c r="AL88" i="13"/>
  <c r="BE88" i="13"/>
  <c r="BB90" i="13"/>
  <c r="BB88" i="13"/>
  <c r="BF97" i="13"/>
  <c r="BF84" i="13"/>
  <c r="BF102" i="13"/>
  <c r="BF83" i="13"/>
  <c r="AL87" i="13"/>
  <c r="AL95" i="13"/>
  <c r="AL102" i="13"/>
  <c r="AL101" i="13"/>
  <c r="AL93" i="13"/>
  <c r="AK79" i="13"/>
  <c r="AR91" i="13"/>
  <c r="AR98" i="13"/>
  <c r="AR103" i="13"/>
  <c r="AR93" i="13"/>
  <c r="AR85" i="13"/>
  <c r="BG81" i="13"/>
  <c r="BG97" i="13"/>
  <c r="BG84" i="13"/>
  <c r="BG98" i="13"/>
  <c r="AM92" i="13"/>
  <c r="AM79" i="13"/>
  <c r="AM93" i="13"/>
  <c r="AN101" i="13"/>
  <c r="AN79" i="13"/>
  <c r="AV102" i="13"/>
  <c r="AO98" i="13"/>
  <c r="AO94" i="13"/>
  <c r="AO80" i="13"/>
  <c r="AS93" i="13"/>
  <c r="AS98" i="13"/>
  <c r="AS100" i="13"/>
  <c r="AW91" i="13"/>
  <c r="AW84" i="13"/>
  <c r="AW100" i="13"/>
  <c r="AW103" i="13"/>
  <c r="AX93" i="13"/>
  <c r="AU81" i="13"/>
  <c r="AU92" i="13"/>
  <c r="AU79" i="13"/>
  <c r="BD94" i="13"/>
  <c r="BD102" i="13"/>
  <c r="AP86" i="13"/>
  <c r="AP92" i="13"/>
  <c r="AP89" i="13"/>
  <c r="BC92" i="13"/>
  <c r="BC99" i="13"/>
  <c r="BC80" i="13"/>
  <c r="BH91" i="13"/>
  <c r="BH87" i="13"/>
  <c r="BH96" i="13"/>
  <c r="BH85" i="13"/>
  <c r="BA88" i="13"/>
  <c r="BA79" i="13"/>
  <c r="AT93" i="13"/>
  <c r="AQ101" i="13"/>
  <c r="AQ85" i="13"/>
  <c r="AQ91" i="13"/>
  <c r="AK96" i="13"/>
  <c r="AM86" i="13"/>
  <c r="AM94" i="13"/>
  <c r="AS94" i="13"/>
  <c r="AS95" i="13"/>
  <c r="AW96" i="13"/>
  <c r="AW94" i="13"/>
  <c r="AX97" i="13"/>
  <c r="BA98" i="13"/>
  <c r="AT102" i="13"/>
  <c r="BE97" i="13"/>
  <c r="BB103" i="13"/>
  <c r="AL90" i="13"/>
  <c r="AK94" i="13"/>
  <c r="BG78" i="13"/>
  <c r="BE92" i="13"/>
  <c r="BE94" i="13"/>
  <c r="BE84" i="13"/>
  <c r="BB95" i="13"/>
  <c r="BB91" i="13"/>
  <c r="BF95" i="13"/>
  <c r="BF93" i="13"/>
  <c r="AL86" i="13"/>
  <c r="AL98" i="13"/>
  <c r="AL80" i="13"/>
  <c r="AK86" i="13"/>
  <c r="AK84" i="13"/>
  <c r="AR86" i="13"/>
  <c r="AR84" i="13"/>
  <c r="BG90" i="13"/>
  <c r="BG86" i="13"/>
  <c r="BG103" i="13"/>
  <c r="BG88" i="13"/>
  <c r="AM102" i="13"/>
  <c r="AM87" i="13"/>
  <c r="AM95" i="13"/>
  <c r="AN96" i="13"/>
  <c r="AN93" i="13"/>
  <c r="AV86" i="13"/>
  <c r="AV100" i="13"/>
  <c r="AO95" i="13"/>
  <c r="AO85" i="13"/>
  <c r="AS92" i="13"/>
  <c r="AS80" i="13"/>
  <c r="AW101" i="13"/>
  <c r="AW90" i="13"/>
  <c r="AX85" i="13"/>
  <c r="AX101" i="13"/>
  <c r="AX92" i="13"/>
  <c r="AU96" i="13"/>
  <c r="AU85" i="13"/>
  <c r="AU103" i="13"/>
  <c r="BD98" i="13"/>
  <c r="BD101" i="13"/>
  <c r="AP94" i="13"/>
  <c r="BH95" i="13"/>
  <c r="BH80" i="13"/>
  <c r="BA92" i="13"/>
  <c r="BA99" i="13"/>
  <c r="AT103" i="13"/>
  <c r="AQ79" i="13"/>
  <c r="AQ99" i="13"/>
  <c r="AQ84" i="13"/>
  <c r="BF86" i="13"/>
  <c r="BF92" i="13"/>
  <c r="AR90" i="13"/>
  <c r="BG87" i="13"/>
  <c r="BG80" i="13"/>
  <c r="AM96" i="13"/>
  <c r="BD79" i="13"/>
  <c r="BC98" i="13"/>
  <c r="AT101" i="13"/>
  <c r="AQ92" i="13"/>
  <c r="BB98" i="13"/>
  <c r="BF81" i="13"/>
  <c r="BF94" i="13"/>
  <c r="BF103" i="13"/>
  <c r="BF88" i="13"/>
  <c r="AL79" i="13"/>
  <c r="AL97" i="13"/>
  <c r="AK98" i="13"/>
  <c r="AK102" i="13"/>
  <c r="AK80" i="13"/>
  <c r="AR100" i="13"/>
  <c r="BG92" i="13"/>
  <c r="AM81" i="13"/>
  <c r="AN92" i="13"/>
  <c r="AN91" i="13"/>
  <c r="AV96" i="13"/>
  <c r="AV97" i="13"/>
  <c r="AO82" i="13"/>
  <c r="AO84" i="13"/>
  <c r="AO79" i="13"/>
  <c r="AS97" i="13"/>
  <c r="AS88" i="13"/>
  <c r="AW92" i="13"/>
  <c r="AW97" i="13"/>
  <c r="AW80" i="13"/>
  <c r="AX94" i="13"/>
  <c r="AX103" i="13"/>
  <c r="AX90" i="13"/>
  <c r="AX84" i="13"/>
  <c r="AU90" i="13"/>
  <c r="AU100" i="13"/>
  <c r="AU102" i="13"/>
  <c r="AP79" i="13"/>
  <c r="BC97" i="13"/>
  <c r="BC103" i="13"/>
  <c r="BH99" i="13"/>
  <c r="BH97" i="13"/>
  <c r="BH101" i="13"/>
  <c r="BH94" i="13"/>
  <c r="BA86" i="13"/>
  <c r="BA102" i="13"/>
  <c r="BA80" i="13"/>
  <c r="AT90" i="13"/>
  <c r="AT100" i="13"/>
  <c r="AQ102" i="13"/>
  <c r="AQ94" i="13"/>
  <c r="AQ97" i="13"/>
  <c r="AZ88" i="13"/>
  <c r="BH83" i="13"/>
  <c r="AK82" i="13"/>
  <c r="BG82" i="13"/>
  <c r="AO83" i="13"/>
  <c r="AL85" i="13"/>
  <c r="AV89" i="13"/>
  <c r="AO99" i="13"/>
  <c r="AS89" i="13"/>
  <c r="AS91" i="13"/>
  <c r="AX95" i="13"/>
  <c r="AU83" i="13"/>
  <c r="BD87" i="13"/>
  <c r="AP81" i="13"/>
  <c r="BC91" i="13"/>
  <c r="BC83" i="13"/>
  <c r="BH86" i="13"/>
  <c r="BF89" i="13"/>
  <c r="BB86" i="13"/>
  <c r="AM82" i="13"/>
  <c r="AR99" i="13"/>
  <c r="BE89" i="13"/>
  <c r="AK95" i="13"/>
  <c r="AR89" i="13"/>
  <c r="BG89" i="13"/>
  <c r="AN89" i="13"/>
  <c r="AV99" i="13"/>
  <c r="AV87" i="13"/>
  <c r="AO91" i="13"/>
  <c r="AS83" i="13"/>
  <c r="AW85" i="13"/>
  <c r="AX91" i="13"/>
  <c r="AU82" i="13"/>
  <c r="BD99" i="13"/>
  <c r="BD81" i="13"/>
  <c r="AP95" i="13"/>
  <c r="BC87" i="13"/>
  <c r="BC86" i="13"/>
  <c r="AT82" i="13"/>
  <c r="AQ83" i="13"/>
  <c r="BC89" i="13"/>
  <c r="BH89" i="13"/>
  <c r="AR82" i="13"/>
  <c r="AN99" i="13"/>
  <c r="BE85" i="13"/>
  <c r="BB87" i="13"/>
  <c r="BB82" i="13"/>
  <c r="BF85" i="13"/>
  <c r="AL82" i="13"/>
  <c r="AR81" i="13"/>
  <c r="BG99" i="13"/>
  <c r="AM89" i="13"/>
  <c r="AN86" i="13"/>
  <c r="AN95" i="13"/>
  <c r="AW99" i="13"/>
  <c r="AW83" i="13"/>
  <c r="AX86" i="13"/>
  <c r="AX83" i="13"/>
  <c r="AX87" i="13"/>
  <c r="AU89" i="13"/>
  <c r="AU95" i="13"/>
  <c r="BD85" i="13"/>
  <c r="BD83" i="13"/>
  <c r="AP85" i="13"/>
  <c r="AP82" i="13"/>
  <c r="AT81" i="13"/>
  <c r="AT85" i="13"/>
  <c r="AQ87" i="13"/>
  <c r="AQ95" i="13"/>
  <c r="AQ81" i="13"/>
  <c r="BE81" i="13"/>
  <c r="AK83" i="13"/>
  <c r="AN83" i="13"/>
  <c r="AX81" i="13"/>
  <c r="BA81" i="13"/>
  <c r="AQ86" i="13"/>
  <c r="AL89" i="13"/>
  <c r="AK85" i="13"/>
  <c r="BE87" i="13"/>
  <c r="BB81" i="13"/>
  <c r="AL91" i="13"/>
  <c r="AL83" i="13"/>
  <c r="AK89" i="13"/>
  <c r="AN81" i="13"/>
  <c r="AV82" i="13"/>
  <c r="AW86" i="13"/>
  <c r="AW95" i="13"/>
  <c r="AX99" i="13"/>
  <c r="AU99" i="13"/>
  <c r="BD91" i="13"/>
  <c r="AP91" i="13"/>
  <c r="AW89" i="13"/>
  <c r="BA87" i="13"/>
  <c r="BB83" i="13"/>
  <c r="AK87" i="13"/>
  <c r="AS81" i="13"/>
  <c r="BD82" i="13"/>
  <c r="BC95" i="13"/>
  <c r="BA95" i="13"/>
  <c r="AT89" i="13"/>
  <c r="AN82" i="13"/>
  <c r="BE86" i="13"/>
  <c r="BE95" i="13"/>
  <c r="AL81" i="13"/>
  <c r="AR95" i="13"/>
  <c r="BG95" i="13"/>
  <c r="AM85" i="13"/>
  <c r="AM99" i="13"/>
  <c r="AV91" i="13"/>
  <c r="AS99" i="13"/>
  <c r="AS86" i="13"/>
  <c r="AU91" i="13"/>
  <c r="BD89" i="13"/>
  <c r="AP83" i="13"/>
  <c r="BC82" i="13"/>
  <c r="BA83" i="13"/>
  <c r="BA89" i="13"/>
  <c r="AT87" i="13"/>
  <c r="AT86" i="13"/>
  <c r="AT95" i="13"/>
  <c r="BH78" i="13" l="1"/>
  <c r="AJ8" i="10" l="1"/>
  <c r="AJ8" i="13" s="1"/>
  <c r="Z6" i="10"/>
  <c r="Z6" i="13" s="1"/>
  <c r="AJ9" i="10"/>
  <c r="AJ9" i="13" s="1"/>
  <c r="AJ10" i="10"/>
  <c r="AJ10" i="13" s="1"/>
  <c r="Z11" i="10"/>
  <c r="Z11" i="13" s="1"/>
  <c r="Z8" i="10"/>
  <c r="Z8" i="13" s="1"/>
  <c r="Z9" i="10"/>
  <c r="Z9" i="13" s="1"/>
  <c r="Z7" i="10"/>
  <c r="Z7" i="13" s="1"/>
  <c r="AJ11" i="10"/>
  <c r="AJ11" i="13" s="1"/>
  <c r="AJ7" i="10"/>
  <c r="AJ7" i="13" s="1"/>
  <c r="AJ6" i="10"/>
  <c r="AJ6" i="13" s="1"/>
  <c r="Z10" i="10"/>
  <c r="Z10" i="13" s="1"/>
  <c r="B16" i="12" l="1"/>
  <c r="AE3" i="10" s="1"/>
  <c r="AE3" i="13" s="1"/>
  <c r="AE4" i="10"/>
  <c r="AE4" i="13" s="1"/>
  <c r="AE13" i="10" l="1"/>
  <c r="AE13" i="13" l="1"/>
  <c r="AE14" i="10"/>
  <c r="Q48" i="12" s="1"/>
  <c r="AE32" i="10"/>
  <c r="AE32" i="13" s="1"/>
  <c r="AE41" i="10"/>
  <c r="AE50" i="10"/>
  <c r="AE50" i="13" s="1"/>
  <c r="AE20" i="10"/>
  <c r="AE20" i="13" s="1"/>
  <c r="AE54" i="10"/>
  <c r="AE48" i="10"/>
  <c r="AE27" i="10"/>
  <c r="AE27" i="13" s="1"/>
  <c r="AE46" i="10"/>
  <c r="Q76" i="12" s="1"/>
  <c r="AE15" i="10"/>
  <c r="AE40" i="10"/>
  <c r="AE49" i="10"/>
  <c r="AE49" i="13" s="1"/>
  <c r="AE19" i="10"/>
  <c r="AE19" i="13" s="1"/>
  <c r="AE28" i="10"/>
  <c r="AE28" i="13" s="1"/>
  <c r="AE23" i="10"/>
  <c r="AE23" i="13" s="1"/>
  <c r="AE22" i="10"/>
  <c r="AE22" i="13" s="1"/>
  <c r="AE36" i="10"/>
  <c r="Q58" i="12" s="1"/>
  <c r="AE39" i="10"/>
  <c r="AE30" i="10"/>
  <c r="AE18" i="10"/>
  <c r="AE18" i="13" s="1"/>
  <c r="AE43" i="10"/>
  <c r="AE52" i="10"/>
  <c r="AE53" i="10"/>
  <c r="AE35" i="10"/>
  <c r="AE47" i="10"/>
  <c r="AE17" i="10"/>
  <c r="AE17" i="13" s="1"/>
  <c r="AE26" i="10"/>
  <c r="AE51" i="10"/>
  <c r="AE51" i="13" s="1"/>
  <c r="AE21" i="10"/>
  <c r="AE21" i="13" s="1"/>
  <c r="AE16" i="10"/>
  <c r="AE16" i="13" s="1"/>
  <c r="AE25" i="10"/>
  <c r="AE34" i="10"/>
  <c r="Q57" i="12" s="1"/>
  <c r="AE29" i="10"/>
  <c r="AE29" i="13" s="1"/>
  <c r="AE37" i="10"/>
  <c r="AE37" i="13" s="1"/>
  <c r="AE31" i="10"/>
  <c r="AE31" i="13" s="1"/>
  <c r="AE24" i="10"/>
  <c r="AE24" i="13" s="1"/>
  <c r="AE33" i="10"/>
  <c r="AE42" i="10"/>
  <c r="AE45" i="10"/>
  <c r="AE38" i="10"/>
  <c r="AE44" i="10"/>
  <c r="Q49" i="12"/>
  <c r="Q70" i="12"/>
  <c r="K47" i="12"/>
  <c r="AE78" i="13"/>
  <c r="Q66" i="12" l="1"/>
  <c r="Q63" i="12"/>
  <c r="AE52" i="13"/>
  <c r="E99" i="12"/>
  <c r="AE54" i="13"/>
  <c r="E101" i="12"/>
  <c r="AE33" i="13"/>
  <c r="AE88" i="13" s="1"/>
  <c r="E105" i="12"/>
  <c r="AE43" i="13"/>
  <c r="AE94" i="13" s="1"/>
  <c r="E113" i="12"/>
  <c r="AE48" i="13"/>
  <c r="E118" i="12"/>
  <c r="AE26" i="13"/>
  <c r="E103" i="12"/>
  <c r="AE40" i="13"/>
  <c r="E110" i="12"/>
  <c r="AE39" i="13"/>
  <c r="E109" i="12"/>
  <c r="AE15" i="13"/>
  <c r="E98" i="12"/>
  <c r="AE25" i="13"/>
  <c r="AE84" i="13" s="1"/>
  <c r="E102" i="12"/>
  <c r="AE42" i="13"/>
  <c r="AE93" i="13" s="1"/>
  <c r="E112" i="12"/>
  <c r="AE30" i="13"/>
  <c r="E104" i="12"/>
  <c r="Q61" i="12"/>
  <c r="AE44" i="13"/>
  <c r="E114" i="12"/>
  <c r="AE47" i="13"/>
  <c r="AE97" i="13" s="1"/>
  <c r="E117" i="12"/>
  <c r="AE36" i="13"/>
  <c r="E107" i="12"/>
  <c r="AE46" i="13"/>
  <c r="AE96" i="13" s="1"/>
  <c r="E116" i="12"/>
  <c r="AE14" i="13"/>
  <c r="AE79" i="13" s="1"/>
  <c r="E97" i="12"/>
  <c r="AE45" i="13"/>
  <c r="E115" i="12"/>
  <c r="AE53" i="13"/>
  <c r="AE102" i="13" s="1"/>
  <c r="E100" i="12"/>
  <c r="AE41" i="13"/>
  <c r="E111" i="12"/>
  <c r="AE38" i="13"/>
  <c r="AE90" i="13" s="1"/>
  <c r="E108" i="12"/>
  <c r="AE34" i="13"/>
  <c r="E106" i="12"/>
  <c r="AE35" i="13"/>
  <c r="E119" i="12"/>
  <c r="Q71" i="12"/>
  <c r="Q84" i="12"/>
  <c r="Q81" i="12"/>
  <c r="Q79" i="12"/>
  <c r="Q59" i="12"/>
  <c r="Q60" i="12"/>
  <c r="Q55" i="12"/>
  <c r="Q69" i="12"/>
  <c r="Q62" i="12"/>
  <c r="Q73" i="12"/>
  <c r="Q86" i="12"/>
  <c r="Q87" i="12"/>
  <c r="Q85" i="12"/>
  <c r="Q54" i="12"/>
  <c r="Q88" i="12"/>
  <c r="Q74" i="12"/>
  <c r="Q56" i="12"/>
  <c r="Q52" i="12"/>
  <c r="Q83" i="12"/>
  <c r="Q82" i="12"/>
  <c r="Q77" i="12"/>
  <c r="Q65" i="12"/>
  <c r="Q68" i="12"/>
  <c r="Q75" i="12"/>
  <c r="Q50" i="12"/>
  <c r="Q51" i="12"/>
  <c r="Q64" i="12"/>
  <c r="Q72" i="12"/>
  <c r="Q80" i="12"/>
  <c r="Q53" i="12"/>
  <c r="Q78" i="12"/>
  <c r="Q67" i="12"/>
  <c r="AE92" i="13"/>
  <c r="AE81" i="13"/>
  <c r="AE101" i="13"/>
  <c r="AE80" i="13"/>
  <c r="AE103" i="13"/>
  <c r="AE85" i="13"/>
  <c r="AE98" i="13"/>
  <c r="AE100" i="13"/>
  <c r="AE99" i="13"/>
  <c r="B17" i="12"/>
  <c r="AJ3" i="10" s="1"/>
  <c r="AJ3" i="13" s="1"/>
  <c r="E126" i="12" l="1"/>
  <c r="E124" i="12"/>
  <c r="E123" i="12"/>
  <c r="E125" i="12"/>
  <c r="Q47" i="12"/>
  <c r="AJ18" i="10" s="1"/>
  <c r="AJ18" i="13" s="1"/>
  <c r="AE86" i="13"/>
  <c r="AE82" i="13"/>
  <c r="AE91" i="13"/>
  <c r="AE95" i="13"/>
  <c r="AE89" i="13"/>
  <c r="AE87" i="13"/>
  <c r="AE83" i="13"/>
  <c r="AJ13" i="10"/>
  <c r="AJ13" i="13" s="1"/>
  <c r="AJ20" i="10" l="1"/>
  <c r="AJ20" i="13" s="1"/>
  <c r="AJ26" i="10"/>
  <c r="AJ53" i="10"/>
  <c r="AJ51" i="10"/>
  <c r="AJ51" i="13" s="1"/>
  <c r="AJ32" i="10"/>
  <c r="AJ32" i="13" s="1"/>
  <c r="AJ45" i="10"/>
  <c r="AJ16" i="10"/>
  <c r="AJ16" i="13" s="1"/>
  <c r="AJ37" i="10"/>
  <c r="AJ37" i="13" s="1"/>
  <c r="AJ44" i="10"/>
  <c r="AJ22" i="10"/>
  <c r="AJ22" i="13" s="1"/>
  <c r="AJ28" i="10"/>
  <c r="AJ28" i="13" s="1"/>
  <c r="AJ34" i="10"/>
  <c r="AJ40" i="10"/>
  <c r="AJ43" i="10"/>
  <c r="AJ41" i="10"/>
  <c r="AJ47" i="10"/>
  <c r="AJ29" i="10"/>
  <c r="AJ29" i="13" s="1"/>
  <c r="AJ27" i="10"/>
  <c r="AJ27" i="13" s="1"/>
  <c r="AJ33" i="10"/>
  <c r="AJ39" i="10"/>
  <c r="AJ54" i="10"/>
  <c r="AJ52" i="10"/>
  <c r="AJ19" i="10"/>
  <c r="AJ19" i="13" s="1"/>
  <c r="AJ25" i="10"/>
  <c r="AJ31" i="10"/>
  <c r="AJ31" i="13" s="1"/>
  <c r="AJ50" i="10"/>
  <c r="AJ50" i="13" s="1"/>
  <c r="AJ17" i="10"/>
  <c r="AJ17" i="13" s="1"/>
  <c r="AJ23" i="10"/>
  <c r="AJ23" i="13" s="1"/>
  <c r="AJ38" i="10"/>
  <c r="AJ30" i="10"/>
  <c r="AJ36" i="10"/>
  <c r="AJ42" i="10"/>
  <c r="AJ48" i="10"/>
  <c r="AJ15" i="10"/>
  <c r="AJ46" i="10"/>
  <c r="AJ21" i="10"/>
  <c r="AJ21" i="13" s="1"/>
  <c r="AJ35" i="10"/>
  <c r="AJ49" i="10"/>
  <c r="AJ49" i="13" s="1"/>
  <c r="AJ24" i="10"/>
  <c r="AJ24" i="13" s="1"/>
  <c r="AJ14" i="10"/>
  <c r="R82" i="12"/>
  <c r="M47" i="12"/>
  <c r="L47" i="12"/>
  <c r="R54" i="12"/>
  <c r="R50" i="12"/>
  <c r="R88" i="12"/>
  <c r="R86" i="12"/>
  <c r="R51" i="12"/>
  <c r="AJ78" i="13"/>
  <c r="R84" i="12" l="1"/>
  <c r="AJ42" i="13"/>
  <c r="F112" i="12"/>
  <c r="AJ36" i="13"/>
  <c r="F107" i="12"/>
  <c r="AJ30" i="13"/>
  <c r="AJ87" i="13" s="1"/>
  <c r="F104" i="12"/>
  <c r="AJ52" i="13"/>
  <c r="AJ101" i="13" s="1"/>
  <c r="F99" i="12"/>
  <c r="AJ43" i="13"/>
  <c r="F113" i="12"/>
  <c r="AJ45" i="13"/>
  <c r="F115" i="12"/>
  <c r="AJ44" i="13"/>
  <c r="F114" i="12"/>
  <c r="AJ14" i="13"/>
  <c r="AJ79" i="13" s="1"/>
  <c r="F97" i="12"/>
  <c r="AJ47" i="13"/>
  <c r="F117" i="12"/>
  <c r="AJ35" i="13"/>
  <c r="F119" i="12"/>
  <c r="AJ38" i="13"/>
  <c r="AJ90" i="13" s="1"/>
  <c r="F108" i="12"/>
  <c r="AJ54" i="13"/>
  <c r="AJ103" i="13" s="1"/>
  <c r="F101" i="12"/>
  <c r="AJ40" i="13"/>
  <c r="F110" i="12"/>
  <c r="AJ48" i="13"/>
  <c r="F118" i="12"/>
  <c r="AJ41" i="13"/>
  <c r="AJ92" i="13" s="1"/>
  <c r="F111" i="12"/>
  <c r="AJ39" i="13"/>
  <c r="F109" i="12"/>
  <c r="AJ46" i="13"/>
  <c r="F116" i="12"/>
  <c r="AJ33" i="13"/>
  <c r="F105" i="12"/>
  <c r="AJ53" i="13"/>
  <c r="AJ102" i="13" s="1"/>
  <c r="F100" i="12"/>
  <c r="AJ25" i="13"/>
  <c r="AJ84" i="13" s="1"/>
  <c r="F102" i="12"/>
  <c r="AJ34" i="13"/>
  <c r="F106" i="12"/>
  <c r="AJ15" i="13"/>
  <c r="AJ80" i="13" s="1"/>
  <c r="F98" i="12"/>
  <c r="AJ26" i="13"/>
  <c r="F103" i="12"/>
  <c r="R59" i="12"/>
  <c r="R79" i="12"/>
  <c r="R70" i="12"/>
  <c r="R52" i="12"/>
  <c r="R73" i="12"/>
  <c r="R61" i="12"/>
  <c r="R75" i="12"/>
  <c r="R72" i="12"/>
  <c r="R53" i="12"/>
  <c r="R85" i="12"/>
  <c r="R63" i="12"/>
  <c r="R66" i="12"/>
  <c r="R74" i="12"/>
  <c r="R80" i="12"/>
  <c r="R58" i="12"/>
  <c r="R83" i="12"/>
  <c r="R87" i="12"/>
  <c r="R71" i="12"/>
  <c r="R48" i="12"/>
  <c r="R55" i="12"/>
  <c r="R56" i="12"/>
  <c r="R57" i="12"/>
  <c r="R60" i="12"/>
  <c r="R62" i="12"/>
  <c r="R64" i="12"/>
  <c r="R81" i="12"/>
  <c r="R67" i="12"/>
  <c r="R76" i="12"/>
  <c r="R77" i="12"/>
  <c r="R69" i="12"/>
  <c r="R68" i="12"/>
  <c r="R65" i="12"/>
  <c r="R78" i="12"/>
  <c r="R49" i="12"/>
  <c r="AJ100" i="13"/>
  <c r="AJ99" i="13"/>
  <c r="AJ93" i="13"/>
  <c r="AJ97" i="13"/>
  <c r="AJ94" i="13"/>
  <c r="AJ96" i="13"/>
  <c r="AJ88" i="13"/>
  <c r="AJ98" i="13"/>
  <c r="C18" i="12"/>
  <c r="B18" i="12" s="1"/>
  <c r="AY3" i="10" s="1"/>
  <c r="AY3" i="13" s="1"/>
  <c r="F125" i="12" l="1"/>
  <c r="F124" i="12"/>
  <c r="F123" i="12"/>
  <c r="F126" i="12"/>
  <c r="R47" i="12"/>
  <c r="AY14" i="10" s="1"/>
  <c r="AY47" i="10"/>
  <c r="G117" i="12" s="1"/>
  <c r="AY16" i="10"/>
  <c r="AY32" i="10"/>
  <c r="AY32" i="13" s="1"/>
  <c r="AJ91" i="13"/>
  <c r="AJ95" i="13"/>
  <c r="AJ81" i="13"/>
  <c r="AJ85" i="13"/>
  <c r="AJ82" i="13"/>
  <c r="AJ83" i="13"/>
  <c r="AJ89" i="13"/>
  <c r="AJ86" i="13"/>
  <c r="AY78" i="13"/>
  <c r="AY54" i="10" l="1"/>
  <c r="G101" i="12" s="1"/>
  <c r="AY21" i="10"/>
  <c r="AY44" i="10"/>
  <c r="AY36" i="10"/>
  <c r="G107" i="12" s="1"/>
  <c r="AY29" i="10"/>
  <c r="AY43" i="10"/>
  <c r="G113" i="12" s="1"/>
  <c r="AY35" i="10"/>
  <c r="G119" i="12" s="1"/>
  <c r="AY50" i="10"/>
  <c r="S87" i="12" s="1"/>
  <c r="AY17" i="10"/>
  <c r="AY17" i="13" s="1"/>
  <c r="AY34" i="10"/>
  <c r="G106" i="12" s="1"/>
  <c r="AY26" i="10"/>
  <c r="AY26" i="13" s="1"/>
  <c r="AY14" i="13"/>
  <c r="G97" i="12"/>
  <c r="G103" i="12"/>
  <c r="AY44" i="13"/>
  <c r="G114" i="12"/>
  <c r="AY33" i="10"/>
  <c r="G105" i="12" s="1"/>
  <c r="AY52" i="10"/>
  <c r="G99" i="12" s="1"/>
  <c r="AY51" i="10"/>
  <c r="AY42" i="10"/>
  <c r="G112" i="12" s="1"/>
  <c r="AY25" i="10"/>
  <c r="G102" i="12" s="1"/>
  <c r="AY24" i="10"/>
  <c r="S65" i="12" s="1"/>
  <c r="AY28" i="10"/>
  <c r="AY28" i="13" s="1"/>
  <c r="AY27" i="10"/>
  <c r="AY27" i="13" s="1"/>
  <c r="AY18" i="10"/>
  <c r="AY18" i="13" s="1"/>
  <c r="AY30" i="10"/>
  <c r="S55" i="12" s="1"/>
  <c r="AY39" i="10"/>
  <c r="AY20" i="10"/>
  <c r="AY20" i="13" s="1"/>
  <c r="AY19" i="10"/>
  <c r="AY53" i="10"/>
  <c r="S51" i="12" s="1"/>
  <c r="AY37" i="10"/>
  <c r="AY37" i="13" s="1"/>
  <c r="AY31" i="10"/>
  <c r="AY31" i="13" s="1"/>
  <c r="AY46" i="10"/>
  <c r="AY49" i="10"/>
  <c r="AY48" i="10"/>
  <c r="G118" i="12" s="1"/>
  <c r="G126" i="12" s="1"/>
  <c r="AY23" i="10"/>
  <c r="AY38" i="10"/>
  <c r="S48" i="12"/>
  <c r="AY22" i="10"/>
  <c r="AY22" i="13" s="1"/>
  <c r="AY45" i="10"/>
  <c r="AY41" i="10"/>
  <c r="AY40" i="10"/>
  <c r="AY15" i="10"/>
  <c r="S49" i="12" s="1"/>
  <c r="S54" i="12"/>
  <c r="S59" i="12"/>
  <c r="S60" i="12"/>
  <c r="S74" i="12"/>
  <c r="S62" i="12"/>
  <c r="AY21" i="13"/>
  <c r="S68" i="12"/>
  <c r="AY29" i="13"/>
  <c r="AY52" i="13"/>
  <c r="AY101" i="13" s="1"/>
  <c r="S88" i="12"/>
  <c r="AY51" i="13"/>
  <c r="AY100" i="13" s="1"/>
  <c r="S72" i="12"/>
  <c r="S53" i="12"/>
  <c r="AY25" i="13"/>
  <c r="AY84" i="13" s="1"/>
  <c r="AY34" i="13"/>
  <c r="S80" i="12"/>
  <c r="AY16" i="13"/>
  <c r="S58" i="12"/>
  <c r="AY36" i="13"/>
  <c r="S79" i="12"/>
  <c r="AY35" i="13"/>
  <c r="S52" i="12"/>
  <c r="AY54" i="13"/>
  <c r="AY103" i="13" s="1"/>
  <c r="S77" i="12"/>
  <c r="AY47" i="13"/>
  <c r="AY97" i="13" s="1"/>
  <c r="S83" i="12"/>
  <c r="AY19" i="13"/>
  <c r="S70" i="12"/>
  <c r="AY79" i="13"/>
  <c r="S73" i="12" l="1"/>
  <c r="S57" i="12"/>
  <c r="S50" i="12"/>
  <c r="AY43" i="13"/>
  <c r="AY94" i="13" s="1"/>
  <c r="AY50" i="13"/>
  <c r="S81" i="12"/>
  <c r="AY42" i="13"/>
  <c r="AY93" i="13" s="1"/>
  <c r="S67" i="12"/>
  <c r="AY24" i="13"/>
  <c r="S84" i="12"/>
  <c r="AY45" i="13"/>
  <c r="AY95" i="13" s="1"/>
  <c r="G115" i="12"/>
  <c r="S85" i="12"/>
  <c r="AY53" i="13"/>
  <c r="AY102" i="13" s="1"/>
  <c r="G100" i="12"/>
  <c r="S56" i="12"/>
  <c r="AY38" i="13"/>
  <c r="AY90" i="13" s="1"/>
  <c r="G108" i="12"/>
  <c r="S63" i="12"/>
  <c r="AY46" i="13"/>
  <c r="AY96" i="13" s="1"/>
  <c r="G116" i="12"/>
  <c r="AY15" i="13"/>
  <c r="AY80" i="13" s="1"/>
  <c r="G98" i="12"/>
  <c r="AY39" i="13"/>
  <c r="G109" i="12"/>
  <c r="AY41" i="13"/>
  <c r="AY92" i="13" s="1"/>
  <c r="G111" i="12"/>
  <c r="AY33" i="13"/>
  <c r="AY88" i="13" s="1"/>
  <c r="AY40" i="13"/>
  <c r="G110" i="12"/>
  <c r="AY30" i="13"/>
  <c r="AY87" i="13" s="1"/>
  <c r="G104" i="12"/>
  <c r="S76" i="12"/>
  <c r="S82" i="12"/>
  <c r="S75" i="12"/>
  <c r="S66" i="12"/>
  <c r="S69" i="12"/>
  <c r="S71" i="12"/>
  <c r="AY23" i="13"/>
  <c r="AY83" i="13" s="1"/>
  <c r="S64" i="12"/>
  <c r="S61" i="12"/>
  <c r="AY48" i="13"/>
  <c r="AY98" i="13" s="1"/>
  <c r="S78" i="12"/>
  <c r="AY49" i="13"/>
  <c r="AY99" i="13" s="1"/>
  <c r="S86" i="12"/>
  <c r="AY81" i="13"/>
  <c r="AY85" i="13"/>
  <c r="AY86" i="13"/>
  <c r="AY89" i="13"/>
  <c r="AY82" i="13"/>
  <c r="B19" i="12"/>
  <c r="BI3" i="10" s="1"/>
  <c r="BI3" i="13" s="1"/>
  <c r="AY91" i="13" l="1"/>
  <c r="G123" i="12"/>
  <c r="G124" i="12"/>
  <c r="G125" i="12"/>
  <c r="S47" i="12"/>
  <c r="BI13" i="10"/>
  <c r="BI13" i="13" l="1"/>
  <c r="BI78" i="13" s="1"/>
  <c r="BI15" i="10"/>
  <c r="BI26" i="10"/>
  <c r="BI51" i="10"/>
  <c r="BI51" i="13" s="1"/>
  <c r="BI52" i="10"/>
  <c r="BI32" i="10"/>
  <c r="BI32" i="13" s="1"/>
  <c r="BI24" i="10"/>
  <c r="BI24" i="13" s="1"/>
  <c r="BI42" i="10"/>
  <c r="BI49" i="10"/>
  <c r="BI49" i="13" s="1"/>
  <c r="BI50" i="10"/>
  <c r="BI50" i="13" s="1"/>
  <c r="BI22" i="10"/>
  <c r="BI22" i="13" s="1"/>
  <c r="BI23" i="10"/>
  <c r="BI23" i="13" s="1"/>
  <c r="BI34" i="10"/>
  <c r="BI40" i="10"/>
  <c r="BI48" i="10"/>
  <c r="BI17" i="10"/>
  <c r="BI17" i="13" s="1"/>
  <c r="BI41" i="10"/>
  <c r="BI20" i="10"/>
  <c r="BI20" i="13" s="1"/>
  <c r="BI27" i="10"/>
  <c r="BI27" i="13" s="1"/>
  <c r="BI37" i="10"/>
  <c r="BI37" i="13" s="1"/>
  <c r="BI31" i="10"/>
  <c r="BI31" i="13" s="1"/>
  <c r="BI25" i="10"/>
  <c r="BI33" i="10"/>
  <c r="BI28" i="10"/>
  <c r="BI28" i="13" s="1"/>
  <c r="BI39" i="10"/>
  <c r="BI21" i="10"/>
  <c r="BI21" i="13" s="1"/>
  <c r="BI19" i="10"/>
  <c r="BI19" i="13" s="1"/>
  <c r="BI29" i="10"/>
  <c r="BI29" i="13" s="1"/>
  <c r="BI36" i="10"/>
  <c r="BI47" i="10"/>
  <c r="BI30" i="10"/>
  <c r="BI38" i="10"/>
  <c r="BI35" i="10"/>
  <c r="BI45" i="10"/>
  <c r="BI46" i="10"/>
  <c r="BI14" i="10"/>
  <c r="BI16" i="10"/>
  <c r="BI16" i="13" s="1"/>
  <c r="BI18" i="10"/>
  <c r="BI18" i="13" s="1"/>
  <c r="BI43" i="10"/>
  <c r="BI44" i="10"/>
  <c r="BI53" i="10"/>
  <c r="BI54" i="10"/>
  <c r="N47" i="12"/>
  <c r="BI100" i="13"/>
  <c r="BI36" i="13" l="1"/>
  <c r="H107" i="12"/>
  <c r="BI34" i="13"/>
  <c r="H106" i="12"/>
  <c r="BI52" i="13"/>
  <c r="BI101" i="13" s="1"/>
  <c r="H99" i="12"/>
  <c r="BI42" i="13"/>
  <c r="BI93" i="13" s="1"/>
  <c r="H112" i="12"/>
  <c r="BI30" i="13"/>
  <c r="BI87" i="13" s="1"/>
  <c r="H104" i="12"/>
  <c r="BI47" i="13"/>
  <c r="BI97" i="13" s="1"/>
  <c r="H117" i="12"/>
  <c r="BI46" i="13"/>
  <c r="BI96" i="13" s="1"/>
  <c r="H116" i="12"/>
  <c r="BI26" i="13"/>
  <c r="H103" i="12"/>
  <c r="BI44" i="13"/>
  <c r="H114" i="12"/>
  <c r="BI43" i="13"/>
  <c r="BI94" i="13" s="1"/>
  <c r="H113" i="12"/>
  <c r="BI33" i="13"/>
  <c r="BI88" i="13" s="1"/>
  <c r="H105" i="12"/>
  <c r="BI25" i="13"/>
  <c r="BI84" i="13" s="1"/>
  <c r="H102" i="12"/>
  <c r="BI45" i="13"/>
  <c r="H115" i="12"/>
  <c r="BI15" i="13"/>
  <c r="BI80" i="13" s="1"/>
  <c r="H98" i="12"/>
  <c r="BI38" i="13"/>
  <c r="BI90" i="13" s="1"/>
  <c r="H108" i="12"/>
  <c r="BI48" i="13"/>
  <c r="BI98" i="13" s="1"/>
  <c r="H118" i="12"/>
  <c r="BI40" i="13"/>
  <c r="H110" i="12"/>
  <c r="BI14" i="13"/>
  <c r="BI79" i="13" s="1"/>
  <c r="H97" i="12"/>
  <c r="BI54" i="13"/>
  <c r="BI103" i="13" s="1"/>
  <c r="H101" i="12"/>
  <c r="BI53" i="13"/>
  <c r="BI102" i="13" s="1"/>
  <c r="H100" i="12"/>
  <c r="BI35" i="13"/>
  <c r="H119" i="12"/>
  <c r="BI39" i="13"/>
  <c r="H109" i="12"/>
  <c r="BI41" i="13"/>
  <c r="BI92" i="13" s="1"/>
  <c r="H111" i="12"/>
  <c r="BI85" i="13"/>
  <c r="BI95" i="13"/>
  <c r="BI99" i="13"/>
  <c r="BI86" i="13"/>
  <c r="BI81" i="13"/>
  <c r="BI82" i="13"/>
  <c r="BI83" i="13"/>
  <c r="BI7" i="10"/>
  <c r="BI7" i="13" s="1"/>
  <c r="BI11" i="10"/>
  <c r="BI11" i="13" s="1"/>
  <c r="BI6" i="10"/>
  <c r="BI6" i="13" s="1"/>
  <c r="BI9" i="10"/>
  <c r="BI9" i="13" s="1"/>
  <c r="BI8" i="10"/>
  <c r="BI8" i="13" s="1"/>
  <c r="BI10" i="10"/>
  <c r="BI10" i="13" s="1"/>
  <c r="BI91" i="13" l="1"/>
  <c r="BI89" i="13"/>
  <c r="H124" i="12"/>
  <c r="H125" i="12"/>
  <c r="H123" i="12"/>
  <c r="H126" i="12"/>
</calcChain>
</file>

<file path=xl/sharedStrings.xml><?xml version="1.0" encoding="utf-8"?>
<sst xmlns="http://schemas.openxmlformats.org/spreadsheetml/2006/main" count="605" uniqueCount="292">
  <si>
    <t>地区生产总值</t>
    <phoneticPr fontId="4" type="noConversion"/>
  </si>
  <si>
    <t>农业</t>
    <phoneticPr fontId="4" type="noConversion"/>
  </si>
  <si>
    <t>工业</t>
    <phoneticPr fontId="4" type="noConversion"/>
  </si>
  <si>
    <t>建筑业</t>
    <phoneticPr fontId="4" type="noConversion"/>
  </si>
  <si>
    <t>交运仓邮</t>
    <phoneticPr fontId="4" type="noConversion"/>
  </si>
  <si>
    <t>批发零售</t>
    <phoneticPr fontId="4" type="noConversion"/>
  </si>
  <si>
    <t>餐饮住宿</t>
    <phoneticPr fontId="4" type="noConversion"/>
  </si>
  <si>
    <t>金融业</t>
    <phoneticPr fontId="4" type="noConversion"/>
  </si>
  <si>
    <t>房地产</t>
    <phoneticPr fontId="4" type="noConversion"/>
  </si>
  <si>
    <t>其他三产</t>
    <phoneticPr fontId="4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</si>
  <si>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</si>
  <si>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</si>
  <si>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</si>
  <si>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</si>
  <si>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</si>
  <si>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</si>
  <si>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</si>
  <si>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</si>
  <si>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</si>
  <si>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</si>
  <si>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</si>
  <si>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</si>
  <si>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</si>
  <si>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</si>
  <si>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</si>
  <si>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</si>
  <si>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</si>
  <si>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</si>
  <si>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</si>
  <si>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</si>
  <si>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</si>
  <si>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</si>
  <si>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</si>
  <si>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</si>
  <si>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</si>
  <si>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第三产业</t>
    <phoneticPr fontId="4" type="noConversion"/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</si>
  <si>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</si>
  <si>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</si>
  <si>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</si>
  <si>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</si>
  <si>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</si>
  <si>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</si>
  <si>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</si>
  <si>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</si>
  <si>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</si>
  <si>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农、林、牧、渔业</t>
  </si>
  <si>
    <t>汽车制造业</t>
  </si>
  <si>
    <t>废弃资源综合利用业</t>
  </si>
  <si>
    <t>全国</t>
    <phoneticPr fontId="2" type="noConversion"/>
  </si>
  <si>
    <t>增加值
(亿元)</t>
  </si>
  <si>
    <t>增加值构成
(%)</t>
  </si>
  <si>
    <t>总计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</si>
  <si>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</si>
  <si>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</si>
  <si>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</si>
  <si>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</si>
  <si>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</si>
  <si>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</si>
  <si>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</si>
  <si>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</si>
  <si>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</si>
  <si>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</si>
  <si>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</si>
  <si>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</si>
  <si>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</si>
  <si>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农业</t>
  </si>
  <si>
    <t>林业</t>
  </si>
  <si>
    <t>畜牧业</t>
  </si>
  <si>
    <t>渔业</t>
  </si>
  <si>
    <t>农、林、牧、渔专业及辅助性活动</t>
  </si>
  <si>
    <t>采矿业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</si>
  <si>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</si>
  <si>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</si>
  <si>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</si>
  <si>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</si>
  <si>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</si>
  <si>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</si>
  <si>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</si>
  <si>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制造业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</si>
  <si>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</si>
  <si>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</si>
  <si>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</si>
  <si>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</si>
  <si>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</si>
  <si>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</si>
  <si>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</si>
  <si>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</si>
  <si>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</si>
  <si>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</si>
  <si>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</si>
  <si>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</si>
  <si>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</si>
  <si>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</si>
  <si>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</si>
  <si>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</si>
  <si>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</si>
  <si>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</si>
  <si>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</si>
  <si>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</si>
  <si>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</si>
  <si>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</si>
  <si>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</si>
  <si>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</si>
  <si>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</si>
  <si>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</si>
  <si>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</si>
  <si>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</si>
  <si>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金属制品、机械和设备修理业</t>
  </si>
  <si>
    <t>电力、热力生产和供应业</t>
  </si>
  <si>
    <t>燃气生产和供应业</t>
  </si>
  <si>
    <t>水的生产和供应业</t>
  </si>
  <si>
    <t>房屋建筑业</t>
  </si>
  <si>
    <t>土木工程建筑业</t>
  </si>
  <si>
    <t>建筑安装业</t>
  </si>
  <si>
    <t>建筑装饰、装修和其他建筑业</t>
  </si>
  <si>
    <t>批发业</t>
  </si>
  <si>
    <t>零售业</t>
  </si>
  <si>
    <t>铁路运输业</t>
  </si>
  <si>
    <t>道路运输业</t>
  </si>
  <si>
    <t>水上运输业</t>
  </si>
  <si>
    <t>航空运输业</t>
  </si>
  <si>
    <t>管道运输业</t>
  </si>
  <si>
    <t>多式联运和运输代理业</t>
  </si>
  <si>
    <t>装卸搬运和仓储业</t>
  </si>
  <si>
    <t>邮政业</t>
  </si>
  <si>
    <t>住宿业</t>
  </si>
  <si>
    <t>餐饮业</t>
  </si>
  <si>
    <t>电信、广播电视和卫星传输服务</t>
  </si>
  <si>
    <t>互联网和相关服务</t>
  </si>
  <si>
    <t>软件和信息技术服务业</t>
  </si>
  <si>
    <t>货币金融服务</t>
  </si>
  <si>
    <t>资本市场服务</t>
  </si>
  <si>
    <t>保险业</t>
  </si>
  <si>
    <t>其他金融业</t>
  </si>
  <si>
    <t>房地产开发经营</t>
  </si>
  <si>
    <t>物业管理</t>
  </si>
  <si>
    <t>房地产中介服务</t>
  </si>
  <si>
    <t>房地产租赁经营</t>
  </si>
  <si>
    <t>其他房地产业</t>
  </si>
  <si>
    <t>居民自有住房</t>
  </si>
  <si>
    <t>租赁业</t>
  </si>
  <si>
    <t>商务服务业</t>
  </si>
  <si>
    <t>研究和试验发展</t>
  </si>
  <si>
    <t>专业技术服务业</t>
  </si>
  <si>
    <t>科技推广和应用服务业</t>
  </si>
  <si>
    <t>水利管理业</t>
  </si>
  <si>
    <t>生态保护和环境治理业</t>
  </si>
  <si>
    <t>公共设施管理业</t>
  </si>
  <si>
    <t>土地管理业</t>
  </si>
  <si>
    <t>居民服务业</t>
  </si>
  <si>
    <t>机动车、电子产品和日用产品修理业</t>
  </si>
  <si>
    <t>其他服务业</t>
  </si>
  <si>
    <t>卫生</t>
  </si>
  <si>
    <t>社会工作</t>
  </si>
  <si>
    <t>新闻和出版业</t>
  </si>
  <si>
    <t>广播、电视、电影和录音制作业</t>
  </si>
  <si>
    <t>文化艺术业</t>
  </si>
  <si>
    <t>体育</t>
  </si>
  <si>
    <t>娱乐业</t>
  </si>
  <si>
    <t>GDP增速</t>
    <phoneticPr fontId="2" type="noConversion"/>
  </si>
  <si>
    <t>参考依据</t>
    <phoneticPr fontId="2" type="noConversion"/>
  </si>
  <si>
    <t>十四五</t>
    <phoneticPr fontId="2" type="noConversion"/>
  </si>
  <si>
    <t>2035-2050</t>
    <phoneticPr fontId="2" type="noConversion"/>
  </si>
  <si>
    <t>能源基金会《中国经济社会发展的中长期目标、战略与路径》2035-2050%年均增速3.5%左右</t>
    <phoneticPr fontId="2" type="noConversion"/>
  </si>
  <si>
    <t>产业结构</t>
    <phoneticPr fontId="2" type="noConversion"/>
  </si>
  <si>
    <t>第一产业</t>
    <phoneticPr fontId="2" type="noConversion"/>
  </si>
  <si>
    <t>第二产业</t>
    <phoneticPr fontId="2" type="noConversion"/>
  </si>
  <si>
    <t>第三产业</t>
    <phoneticPr fontId="2" type="noConversion"/>
  </si>
  <si>
    <t>工业</t>
    <phoneticPr fontId="2" type="noConversion"/>
  </si>
  <si>
    <t>建筑业</t>
    <phoneticPr fontId="2" type="noConversion"/>
  </si>
  <si>
    <t>数据来源：三经普、四经普</t>
    <phoneticPr fontId="2" type="noConversion"/>
  </si>
  <si>
    <t>1-8 2010-2020年年度分行业增加值(分19个门类)</t>
  </si>
  <si>
    <t>单位:亿元</t>
  </si>
  <si>
    <t>行 业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</si>
  <si>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</si>
  <si>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</si>
  <si>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</si>
  <si>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</si>
  <si>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</si>
  <si>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</si>
  <si>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</si>
  <si>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</si>
  <si>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</si>
  <si>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</si>
  <si>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</si>
  <si>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国内生产总值</t>
  </si>
  <si>
    <t>数据来源：中国国内生产总值历史资料汇编</t>
    <phoneticPr fontId="2" type="noConversion"/>
  </si>
  <si>
    <t>2023政府工作报告</t>
  </si>
  <si>
    <t>建筑十四五规划：建筑增加值占比稳定在6%左右</t>
  </si>
  <si>
    <t>2018年美国建筑业增加值比重为4.1%，欧盟为4.89%。2017年日本5.7%。</t>
  </si>
  <si>
    <t>能源基金会《中国经济社会发展的中长期目标、战略与路径》</t>
    <phoneticPr fontId="2" type="noConversion"/>
  </si>
  <si>
    <t>二十大报告：2035年人均GDP达到中等发达国家水平。GDP总量/人均GDP翻一番多</t>
    <phoneticPr fontId="2" type="noConversion"/>
  </si>
  <si>
    <t>交运仓邮</t>
  </si>
  <si>
    <t>批发零售</t>
  </si>
  <si>
    <t>餐饮住宿</t>
  </si>
  <si>
    <t>房地产</t>
  </si>
  <si>
    <t>工业</t>
  </si>
  <si>
    <t>其他三产</t>
  </si>
  <si>
    <t>地区生产总值</t>
  </si>
  <si>
    <t>十五五</t>
    <phoneticPr fontId="2" type="noConversion"/>
  </si>
  <si>
    <t>十六五</t>
    <phoneticPr fontId="2" type="noConversion"/>
  </si>
  <si>
    <t>不变价GDP年均增速</t>
    <phoneticPr fontId="2" type="noConversion"/>
  </si>
  <si>
    <t>GDP指数（上年=1）</t>
    <phoneticPr fontId="2" type="noConversion"/>
  </si>
  <si>
    <t>GDP指数（2020年=1）</t>
    <phoneticPr fontId="2" type="noConversion"/>
  </si>
  <si>
    <t>GDP（2020年不变价人民币）</t>
    <phoneticPr fontId="2" type="noConversion"/>
  </si>
  <si>
    <t>折算系数（不变价/当年价)</t>
    <phoneticPr fontId="2" type="noConversion"/>
  </si>
  <si>
    <t>交运仓邮</t>
    <phoneticPr fontId="2" type="noConversion"/>
  </si>
  <si>
    <t>信息传输、软件和信息技术服务</t>
    <phoneticPr fontId="2" type="noConversion"/>
  </si>
  <si>
    <t>2035-2060</t>
    <phoneticPr fontId="2" type="noConversion"/>
  </si>
  <si>
    <t>化学原料和化学制品制造业</t>
    <phoneticPr fontId="2" type="noConversion"/>
  </si>
  <si>
    <t>酒、饮料和精制茶制造业</t>
    <phoneticPr fontId="2" type="noConversion"/>
  </si>
  <si>
    <t>烟草制品业</t>
    <phoneticPr fontId="2" type="noConversion"/>
  </si>
  <si>
    <t>皮革、毛皮、羽毛及其制品和制鞋业</t>
    <phoneticPr fontId="2" type="noConversion"/>
  </si>
  <si>
    <t>木材加工和木、竹、藤、棕、草制品业</t>
    <phoneticPr fontId="2" type="noConversion"/>
  </si>
  <si>
    <t>家具制造业</t>
    <phoneticPr fontId="2" type="noConversion"/>
  </si>
  <si>
    <t>印刷和记录媒介复制业</t>
    <phoneticPr fontId="2" type="noConversion"/>
  </si>
  <si>
    <t>文教、工美、体育和娱乐用品制造业</t>
    <phoneticPr fontId="2" type="noConversion"/>
  </si>
  <si>
    <t>计算机、通信和其他电子设备制造业</t>
    <phoneticPr fontId="2" type="noConversion"/>
  </si>
  <si>
    <t>科学研究和技术服务</t>
    <phoneticPr fontId="2" type="noConversion"/>
  </si>
  <si>
    <t>第三产业年均增速</t>
    <phoneticPr fontId="2" type="noConversion"/>
  </si>
  <si>
    <t>2025增加值</t>
    <phoneticPr fontId="2" type="noConversion"/>
  </si>
  <si>
    <t>2030 增加值</t>
    <phoneticPr fontId="2" type="noConversion"/>
  </si>
  <si>
    <t>2035增加值</t>
    <phoneticPr fontId="2" type="noConversion"/>
  </si>
  <si>
    <t>2050增加值</t>
    <phoneticPr fontId="2" type="noConversion"/>
  </si>
  <si>
    <t>2060增加值</t>
    <phoneticPr fontId="2" type="noConversion"/>
  </si>
  <si>
    <t>能源产业</t>
    <phoneticPr fontId="4" type="noConversion"/>
  </si>
  <si>
    <t>煤炭开采和洗选业</t>
    <phoneticPr fontId="4" type="noConversion"/>
  </si>
  <si>
    <t>石油和天然气开采业</t>
    <phoneticPr fontId="4" type="noConversion"/>
  </si>
  <si>
    <t>燃气生产和供应业</t>
    <phoneticPr fontId="4" type="noConversion"/>
  </si>
  <si>
    <t>水的生产和供应业</t>
    <phoneticPr fontId="4" type="noConversion"/>
  </si>
  <si>
    <t>传统高载能产业</t>
    <phoneticPr fontId="4" type="noConversion"/>
  </si>
  <si>
    <t>纺织业</t>
    <phoneticPr fontId="4" type="noConversion"/>
  </si>
  <si>
    <t>纺织服装、服饰业</t>
    <phoneticPr fontId="4" type="noConversion"/>
  </si>
  <si>
    <t>造纸和纸制品业</t>
    <phoneticPr fontId="4" type="noConversion"/>
  </si>
  <si>
    <t>石油、煤炭及其他燃料加工业</t>
    <phoneticPr fontId="4" type="noConversion"/>
  </si>
  <si>
    <t>化学原料和化学制品制造业</t>
    <phoneticPr fontId="4" type="noConversion"/>
  </si>
  <si>
    <t>化学纤维制造业</t>
    <phoneticPr fontId="4" type="noConversion"/>
  </si>
  <si>
    <t>非金属矿物制品业</t>
    <phoneticPr fontId="4" type="noConversion"/>
  </si>
  <si>
    <t>黑色金属冶炼和压延加工业</t>
    <phoneticPr fontId="4" type="noConversion"/>
  </si>
  <si>
    <t>有色金属冶炼和压延加工业</t>
    <phoneticPr fontId="4" type="noConversion"/>
  </si>
  <si>
    <t>轻工业</t>
    <phoneticPr fontId="4" type="noConversion"/>
  </si>
  <si>
    <t>农副食品加工业</t>
    <phoneticPr fontId="4" type="noConversion"/>
  </si>
  <si>
    <t>食品制造业</t>
    <phoneticPr fontId="4" type="noConversion"/>
  </si>
  <si>
    <t>酒、饮料和精制茶制造业</t>
    <phoneticPr fontId="4" type="noConversion"/>
  </si>
  <si>
    <t>烟草制品业</t>
    <phoneticPr fontId="4" type="noConversion"/>
  </si>
  <si>
    <t>皮革、毛皮、羽毛及其制品和制鞋业</t>
    <phoneticPr fontId="4" type="noConversion"/>
  </si>
  <si>
    <t>木材加工和木、竹、藤、棕、草制品业</t>
    <phoneticPr fontId="4" type="noConversion"/>
  </si>
  <si>
    <t>家具制造业</t>
    <phoneticPr fontId="4" type="noConversion"/>
  </si>
  <si>
    <t>印刷和记录媒介复制业</t>
    <phoneticPr fontId="4" type="noConversion"/>
  </si>
  <si>
    <t>文教、工美、体育和娱乐用品制造业</t>
    <phoneticPr fontId="4" type="noConversion"/>
  </si>
  <si>
    <t>装备制造</t>
    <phoneticPr fontId="4" type="noConversion"/>
  </si>
  <si>
    <t>金属制品业</t>
    <phoneticPr fontId="4" type="noConversion"/>
  </si>
  <si>
    <t>通用设备制造业</t>
    <phoneticPr fontId="4" type="noConversion"/>
  </si>
  <si>
    <t>专用设备制造业</t>
    <phoneticPr fontId="4" type="noConversion"/>
  </si>
  <si>
    <t>汽车制造业</t>
    <phoneticPr fontId="4" type="noConversion"/>
  </si>
  <si>
    <t>铁路、船舶、航空航天和其他运输设备制造业</t>
    <phoneticPr fontId="4" type="noConversion"/>
  </si>
  <si>
    <t>电气机械和器材制造业</t>
    <phoneticPr fontId="4" type="noConversion"/>
  </si>
  <si>
    <t>高技术产业</t>
    <phoneticPr fontId="4" type="noConversion"/>
  </si>
  <si>
    <t>计算机、通信和其他电子设备制造业</t>
    <phoneticPr fontId="4" type="noConversion"/>
  </si>
  <si>
    <t>医药制造业</t>
    <phoneticPr fontId="4" type="noConversion"/>
  </si>
  <si>
    <t>其他行业</t>
    <phoneticPr fontId="4" type="noConversion"/>
  </si>
  <si>
    <t>开采专业及辅助性活动</t>
    <phoneticPr fontId="4" type="noConversion"/>
  </si>
  <si>
    <t>其他采矿业</t>
    <phoneticPr fontId="4" type="noConversion"/>
  </si>
  <si>
    <t>橡胶和塑料制品业</t>
    <phoneticPr fontId="4" type="noConversion"/>
  </si>
  <si>
    <t>其他制造业</t>
    <phoneticPr fontId="4" type="noConversion"/>
  </si>
  <si>
    <t>废弃资源综合利用业</t>
    <phoneticPr fontId="4" type="noConversion"/>
  </si>
  <si>
    <t>金属制品、机械和设备修理业</t>
    <phoneticPr fontId="4" type="noConversion"/>
  </si>
  <si>
    <t>电力、热力生产和供应业</t>
    <phoneticPr fontId="4" type="noConversion"/>
  </si>
  <si>
    <t>黑色金属矿采选业</t>
    <phoneticPr fontId="4" type="noConversion"/>
  </si>
  <si>
    <t>有色金属矿采选业</t>
    <phoneticPr fontId="4" type="noConversion"/>
  </si>
  <si>
    <t>非金属矿采选业</t>
    <phoneticPr fontId="4" type="noConversion"/>
  </si>
  <si>
    <t>工业年均增速</t>
    <phoneticPr fontId="2" type="noConversion"/>
  </si>
  <si>
    <t>传统服务业</t>
    <phoneticPr fontId="2" type="noConversion"/>
  </si>
  <si>
    <t>现代服务业</t>
    <phoneticPr fontId="2" type="noConversion"/>
  </si>
  <si>
    <t>2016-2019年均增速</t>
    <phoneticPr fontId="2" type="noConversion"/>
  </si>
  <si>
    <t>2019-2022年均增速</t>
    <phoneticPr fontId="2" type="noConversion"/>
  </si>
  <si>
    <t>十四五增速系数</t>
    <phoneticPr fontId="2" type="noConversion"/>
  </si>
  <si>
    <t>十五五增速系数</t>
    <phoneticPr fontId="2" type="noConversion"/>
  </si>
  <si>
    <t>十六五增速系数</t>
    <phoneticPr fontId="2" type="noConversion"/>
  </si>
  <si>
    <t>2035-2050增速系数</t>
    <phoneticPr fontId="2" type="noConversion"/>
  </si>
  <si>
    <t>2050-2060增速系数</t>
    <phoneticPr fontId="2" type="noConversion"/>
  </si>
  <si>
    <t>十四五年均增速</t>
    <phoneticPr fontId="2" type="noConversion"/>
  </si>
  <si>
    <t>十五五年均增速</t>
    <phoneticPr fontId="2" type="noConversion"/>
  </si>
  <si>
    <t>十六五年均增速</t>
    <phoneticPr fontId="2" type="noConversion"/>
  </si>
  <si>
    <t>2035-2050年均增速</t>
    <phoneticPr fontId="2" type="noConversion"/>
  </si>
  <si>
    <t>2050-2060年均增速</t>
    <phoneticPr fontId="2" type="noConversion"/>
  </si>
  <si>
    <t>汇率 (2012 USD/2020 RMB)</t>
    <phoneticPr fontId="2" type="noConversion"/>
  </si>
  <si>
    <t>工业结构统计</t>
    <phoneticPr fontId="2" type="noConversion"/>
  </si>
  <si>
    <t>传统高载能产业</t>
    <phoneticPr fontId="2" type="noConversion"/>
  </si>
  <si>
    <t>能源产业</t>
    <phoneticPr fontId="2" type="noConversion"/>
  </si>
  <si>
    <t>装备制造</t>
    <phoneticPr fontId="2" type="noConversion"/>
  </si>
  <si>
    <t>高技术产业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</si>
</sst>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00_ "/>
    <numFmt numFmtId="178" formatCode="0.0%"/>
    <numFmt numFmtId="179" formatCode="0.0000_);[Red]\(0.0000\)"/>
    <numFmt numFmtId="180" formatCode="0.000"/>
    <numFmt numFmtId="181" formatCode="0.00_);[Red]\(0.00\)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  <font>
      <sz val="11"/>
      <color rgb="FF00206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6" fillId="0" borderId="0"/>
    <xf numFmtId="9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18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4" xfId="0" applyNumberFormat="1" applyFont="1" applyBorder="1">
      <alignment vertical="center"/>
    </xf>
    <xf numFmtId="176" fontId="3" fillId="0" borderId="5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76" fontId="5" fillId="0" borderId="7" xfId="0" applyNumberFormat="1" applyFont="1" applyBorder="1">
      <alignment vertical="center"/>
    </xf>
    <xf numFmtId="176" fontId="5" fillId="0" borderId="0" xfId="0" applyNumberFormat="1" applyFont="1">
      <alignment vertical="center"/>
    </xf>
    <xf numFmtId="176" fontId="5" fillId="0" borderId="8" xfId="0" applyNumberFormat="1" applyFont="1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176" fontId="5" fillId="0" borderId="9" xfId="0" applyNumberFormat="1" applyFont="1" applyBorder="1">
      <alignment vertical="center"/>
    </xf>
    <xf numFmtId="176" fontId="5" fillId="0" borderId="10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76" fontId="0" fillId="0" borderId="7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8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1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4" xfId="0" applyBorder="1">
      <alignment vertical="center"/>
    </xf>
    <xf numFmtId="0" fontId="1" fillId="0" borderId="7" xfId="1" applyBorder="1"/>
    <xf numFmtId="0" fontId="1" fillId="0" borderId="9" xfId="1" applyBorder="1"/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76" fontId="3" fillId="0" borderId="3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7" fillId="0" borderId="12" xfId="5" applyFont="1" applyBorder="1" applyAlignment="1">
      <alignment horizontal="center" vertical="center" wrapText="1"/>
    </xf>
    <xf numFmtId="0" fontId="7" fillId="0" borderId="4" xfId="5" applyFont="1" applyBorder="1" applyAlignment="1">
      <alignment horizontal="center" vertical="center" wrapText="1"/>
    </xf>
    <xf numFmtId="0" fontId="11" fillId="0" borderId="3" xfId="5" applyFont="1" applyBorder="1" applyAlignment="1">
      <alignment horizontal="left" vertical="center" wrapText="1"/>
    </xf>
    <xf numFmtId="0" fontId="11" fillId="0" borderId="8" xfId="5" applyFont="1" applyBorder="1" applyAlignment="1">
      <alignment horizontal="left" vertical="center" wrapText="1"/>
    </xf>
    <xf numFmtId="0" fontId="7" fillId="0" borderId="8" xfId="5" applyFont="1" applyBorder="1" applyAlignment="1">
      <alignment horizontal="left" vertical="center" wrapText="1"/>
    </xf>
    <xf numFmtId="0" fontId="7" fillId="0" borderId="11" xfId="5" applyFont="1" applyBorder="1" applyAlignment="1">
      <alignment horizontal="left" vertical="center" wrapText="1"/>
    </xf>
    <xf numFmtId="0" fontId="7" fillId="0" borderId="0" xfId="5" applyFont="1" applyAlignment="1">
      <alignment horizontal="right" vertical="center" wrapText="1"/>
    </xf>
    <xf numFmtId="0" fontId="7" fillId="0" borderId="9" xfId="5" applyFont="1" applyBorder="1" applyAlignment="1">
      <alignment horizontal="right" vertical="center" wrapText="1"/>
    </xf>
    <xf numFmtId="0" fontId="7" fillId="0" borderId="3" xfId="5" applyFont="1" applyBorder="1" applyAlignment="1">
      <alignment horizontal="left" vertical="center" wrapText="1"/>
    </xf>
    <xf numFmtId="0" fontId="11" fillId="0" borderId="11" xfId="5" applyFont="1" applyBorder="1" applyAlignment="1">
      <alignment horizontal="left" vertical="center" wrapText="1"/>
    </xf>
    <xf numFmtId="0" fontId="7" fillId="0" borderId="10" xfId="5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0" fontId="0" fillId="0" borderId="10" xfId="0" applyNumberFormat="1" applyBorder="1">
      <alignment vertical="center"/>
    </xf>
    <xf numFmtId="10" fontId="0" fillId="0" borderId="11" xfId="0" applyNumberFormat="1" applyBorder="1">
      <alignment vertical="center"/>
    </xf>
    <xf numFmtId="10" fontId="0" fillId="0" borderId="9" xfId="0" applyNumberFormat="1" applyBorder="1">
      <alignment vertical="center"/>
    </xf>
    <xf numFmtId="0" fontId="0" fillId="0" borderId="12" xfId="0" applyBorder="1">
      <alignment vertical="center"/>
    </xf>
    <xf numFmtId="176" fontId="13" fillId="0" borderId="5" xfId="0" applyNumberFormat="1" applyFont="1" applyBorder="1">
      <alignment vertical="center"/>
    </xf>
    <xf numFmtId="176" fontId="13" fillId="4" borderId="6" xfId="0" applyNumberFormat="1" applyFont="1" applyFill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4" fillId="0" borderId="0" xfId="0" applyNumberFormat="1" applyFont="1">
      <alignment vertical="center"/>
    </xf>
    <xf numFmtId="176" fontId="13" fillId="4" borderId="8" xfId="0" applyNumberFormat="1" applyFont="1" applyFill="1" applyBorder="1">
      <alignment vertical="center"/>
    </xf>
    <xf numFmtId="176" fontId="14" fillId="0" borderId="7" xfId="0" applyNumberFormat="1" applyFont="1" applyBorder="1">
      <alignment vertical="center"/>
    </xf>
    <xf numFmtId="176" fontId="14" fillId="0" borderId="8" xfId="0" applyNumberFormat="1" applyFont="1" applyBorder="1">
      <alignment vertical="center"/>
    </xf>
    <xf numFmtId="176" fontId="14" fillId="4" borderId="8" xfId="0" applyNumberFormat="1" applyFont="1" applyFill="1" applyBorder="1">
      <alignment vertical="center"/>
    </xf>
    <xf numFmtId="176" fontId="14" fillId="0" borderId="10" xfId="0" applyNumberFormat="1" applyFont="1" applyBorder="1">
      <alignment vertical="center"/>
    </xf>
    <xf numFmtId="176" fontId="14" fillId="4" borderId="11" xfId="0" applyNumberFormat="1" applyFont="1" applyFill="1" applyBorder="1">
      <alignment vertical="center"/>
    </xf>
    <xf numFmtId="176" fontId="14" fillId="0" borderId="9" xfId="0" applyNumberFormat="1" applyFont="1" applyBorder="1">
      <alignment vertical="center"/>
    </xf>
    <xf numFmtId="176" fontId="14" fillId="0" borderId="11" xfId="0" applyNumberFormat="1" applyFont="1" applyBorder="1">
      <alignment vertical="center"/>
    </xf>
    <xf numFmtId="0" fontId="7" fillId="0" borderId="0" xfId="5" applyFont="1" applyAlignment="1"/>
    <xf numFmtId="0" fontId="7" fillId="0" borderId="0" xfId="5" applyFont="1">
      <alignment vertical="center"/>
    </xf>
    <xf numFmtId="0" fontId="7" fillId="0" borderId="10" xfId="5" applyFont="1" applyBorder="1" applyAlignment="1"/>
    <xf numFmtId="0" fontId="7" fillId="0" borderId="10" xfId="5" applyFont="1" applyBorder="1">
      <alignment vertical="center"/>
    </xf>
    <xf numFmtId="0" fontId="7" fillId="0" borderId="6" xfId="5" applyFont="1" applyBorder="1" applyAlignment="1">
      <alignment horizontal="center" vertical="center" wrapText="1"/>
    </xf>
    <xf numFmtId="176" fontId="15" fillId="0" borderId="2" xfId="0" applyNumberFormat="1" applyFont="1" applyBorder="1">
      <alignment vertical="center"/>
    </xf>
    <xf numFmtId="176" fontId="15" fillId="4" borderId="3" xfId="0" applyNumberFormat="1" applyFont="1" applyFill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3" xfId="0" applyNumberFormat="1" applyFont="1" applyBorder="1">
      <alignment vertical="center"/>
    </xf>
    <xf numFmtId="176" fontId="15" fillId="0" borderId="5" xfId="0" applyNumberFormat="1" applyFont="1" applyBorder="1">
      <alignment vertical="center"/>
    </xf>
    <xf numFmtId="176" fontId="15" fillId="4" borderId="6" xfId="0" applyNumberFormat="1" applyFont="1" applyFill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6" fillId="0" borderId="7" xfId="0" applyNumberFormat="1" applyFont="1" applyBorder="1">
      <alignment vertical="center"/>
    </xf>
    <xf numFmtId="176" fontId="16" fillId="0" borderId="0" xfId="0" applyNumberFormat="1" applyFont="1">
      <alignment vertical="center"/>
    </xf>
    <xf numFmtId="176" fontId="16" fillId="0" borderId="9" xfId="0" applyNumberFormat="1" applyFont="1" applyBorder="1">
      <alignment vertical="center"/>
    </xf>
    <xf numFmtId="176" fontId="16" fillId="0" borderId="10" xfId="0" applyNumberFormat="1" applyFont="1" applyBorder="1">
      <alignment vertical="center"/>
    </xf>
    <xf numFmtId="0" fontId="18" fillId="0" borderId="14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176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76" fontId="16" fillId="0" borderId="2" xfId="0" applyNumberFormat="1" applyFont="1" applyBorder="1">
      <alignment vertical="center"/>
    </xf>
    <xf numFmtId="176" fontId="16" fillId="0" borderId="3" xfId="0" applyNumberFormat="1" applyFont="1" applyBorder="1">
      <alignment vertical="center"/>
    </xf>
    <xf numFmtId="176" fontId="16" fillId="0" borderId="1" xfId="0" applyNumberFormat="1" applyFont="1" applyBorder="1">
      <alignment vertical="center"/>
    </xf>
    <xf numFmtId="176" fontId="16" fillId="0" borderId="8" xfId="0" applyNumberFormat="1" applyFont="1" applyBorder="1">
      <alignment vertical="center"/>
    </xf>
    <xf numFmtId="176" fontId="16" fillId="0" borderId="11" xfId="0" applyNumberFormat="1" applyFont="1" applyBorder="1">
      <alignment vertical="center"/>
    </xf>
    <xf numFmtId="176" fontId="0" fillId="0" borderId="0" xfId="3" applyNumberFormat="1" applyFont="1" applyBorder="1">
      <alignment vertical="center"/>
    </xf>
    <xf numFmtId="176" fontId="15" fillId="3" borderId="3" xfId="0" applyNumberFormat="1" applyFont="1" applyFill="1" applyBorder="1">
      <alignment vertical="center"/>
    </xf>
    <xf numFmtId="176" fontId="16" fillId="3" borderId="2" xfId="0" applyNumberFormat="1" applyFont="1" applyFill="1" applyBorder="1">
      <alignment vertical="center"/>
    </xf>
    <xf numFmtId="176" fontId="16" fillId="3" borderId="0" xfId="0" applyNumberFormat="1" applyFont="1" applyFill="1">
      <alignment vertical="center"/>
    </xf>
    <xf numFmtId="176" fontId="16" fillId="3" borderId="10" xfId="0" applyNumberFormat="1" applyFont="1" applyFill="1" applyBorder="1">
      <alignment vertical="center"/>
    </xf>
    <xf numFmtId="176" fontId="16" fillId="3" borderId="3" xfId="0" applyNumberFormat="1" applyFont="1" applyFill="1" applyBorder="1">
      <alignment vertical="center"/>
    </xf>
    <xf numFmtId="176" fontId="16" fillId="3" borderId="8" xfId="0" applyNumberFormat="1" applyFont="1" applyFill="1" applyBorder="1">
      <alignment vertical="center"/>
    </xf>
    <xf numFmtId="176" fontId="16" fillId="3" borderId="11" xfId="0" applyNumberFormat="1" applyFont="1" applyFill="1" applyBorder="1">
      <alignment vertical="center"/>
    </xf>
    <xf numFmtId="176" fontId="14" fillId="0" borderId="0" xfId="3" applyNumberFormat="1" applyFont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176" fontId="17" fillId="0" borderId="4" xfId="0" applyNumberFormat="1" applyFont="1" applyBorder="1">
      <alignment vertical="center"/>
    </xf>
    <xf numFmtId="176" fontId="17" fillId="0" borderId="5" xfId="0" applyNumberFormat="1" applyFont="1" applyBorder="1">
      <alignment vertical="center"/>
    </xf>
    <xf numFmtId="176" fontId="17" fillId="0" borderId="6" xfId="0" applyNumberFormat="1" applyFont="1" applyBorder="1">
      <alignment vertical="center"/>
    </xf>
    <xf numFmtId="0" fontId="1" fillId="0" borderId="0" xfId="1"/>
    <xf numFmtId="179" fontId="0" fillId="0" borderId="0" xfId="0" applyNumberFormat="1">
      <alignment vertical="center"/>
    </xf>
    <xf numFmtId="0" fontId="17" fillId="5" borderId="0" xfId="0" applyFont="1" applyFill="1" applyAlignment="1">
      <alignment horizontal="left" vertical="center"/>
    </xf>
    <xf numFmtId="0" fontId="0" fillId="0" borderId="0" xfId="0" applyAlignment="1"/>
    <xf numFmtId="0" fontId="19" fillId="0" borderId="12" xfId="0" applyFont="1" applyBorder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  <xf numFmtId="0" fontId="17" fillId="5" borderId="10" xfId="0" applyFont="1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10" fontId="0" fillId="0" borderId="12" xfId="0" applyNumberForma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176" fontId="15" fillId="6" borderId="6" xfId="0" applyNumberFormat="1" applyFont="1" applyFill="1" applyBorder="1">
      <alignment vertical="center"/>
    </xf>
    <xf numFmtId="176" fontId="16" fillId="6" borderId="3" xfId="0" applyNumberFormat="1" applyFont="1" applyFill="1" applyBorder="1">
      <alignment vertical="center"/>
    </xf>
    <xf numFmtId="176" fontId="16" fillId="6" borderId="8" xfId="0" applyNumberFormat="1" applyFont="1" applyFill="1" applyBorder="1">
      <alignment vertical="center"/>
    </xf>
    <xf numFmtId="176" fontId="16" fillId="6" borderId="11" xfId="0" applyNumberFormat="1" applyFont="1" applyFill="1" applyBorder="1">
      <alignment vertical="center"/>
    </xf>
    <xf numFmtId="176" fontId="13" fillId="6" borderId="6" xfId="0" applyNumberFormat="1" applyFont="1" applyFill="1" applyBorder="1">
      <alignment vertical="center"/>
    </xf>
    <xf numFmtId="176" fontId="13" fillId="6" borderId="8" xfId="0" applyNumberFormat="1" applyFont="1" applyFill="1" applyBorder="1">
      <alignment vertical="center"/>
    </xf>
    <xf numFmtId="176" fontId="14" fillId="6" borderId="8" xfId="0" applyNumberFormat="1" applyFont="1" applyFill="1" applyBorder="1">
      <alignment vertical="center"/>
    </xf>
    <xf numFmtId="176" fontId="14" fillId="6" borderId="11" xfId="0" applyNumberFormat="1" applyFont="1" applyFill="1" applyBorder="1">
      <alignment vertical="center"/>
    </xf>
    <xf numFmtId="176" fontId="15" fillId="6" borderId="3" xfId="0" applyNumberFormat="1" applyFont="1" applyFill="1" applyBorder="1">
      <alignment vertical="center"/>
    </xf>
    <xf numFmtId="176" fontId="16" fillId="6" borderId="2" xfId="0" applyNumberFormat="1" applyFont="1" applyFill="1" applyBorder="1">
      <alignment vertical="center"/>
    </xf>
    <xf numFmtId="176" fontId="16" fillId="6" borderId="0" xfId="0" applyNumberFormat="1" applyFont="1" applyFill="1">
      <alignment vertical="center"/>
    </xf>
    <xf numFmtId="176" fontId="16" fillId="6" borderId="10" xfId="0" applyNumberFormat="1" applyFont="1" applyFill="1" applyBorder="1">
      <alignment vertical="center"/>
    </xf>
    <xf numFmtId="0" fontId="1" fillId="0" borderId="0" xfId="1" applyAlignment="1">
      <alignment horizontal="center"/>
    </xf>
    <xf numFmtId="180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6" fontId="0" fillId="0" borderId="7" xfId="3" applyNumberFormat="1" applyFont="1" applyBorder="1">
      <alignment vertical="center"/>
    </xf>
    <xf numFmtId="176" fontId="0" fillId="0" borderId="8" xfId="3" applyNumberFormat="1" applyFont="1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right" vertical="center"/>
    </xf>
    <xf numFmtId="0" fontId="17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10" fontId="0" fillId="0" borderId="0" xfId="3" applyNumberFormat="1" applyFont="1">
      <alignment vertical="center"/>
    </xf>
    <xf numFmtId="0" fontId="0" fillId="5" borderId="0" xfId="0" applyFill="1">
      <alignment vertical="center"/>
    </xf>
    <xf numFmtId="0" fontId="21" fillId="0" borderId="12" xfId="0" applyFont="1" applyBorder="1" applyAlignment="1"/>
    <xf numFmtId="0" fontId="22" fillId="0" borderId="12" xfId="0" applyFont="1" applyBorder="1" applyAlignment="1"/>
    <xf numFmtId="0" fontId="21" fillId="0" borderId="4" xfId="0" applyFont="1" applyBorder="1" applyAlignment="1">
      <alignment horizontal="left"/>
    </xf>
    <xf numFmtId="0" fontId="21" fillId="0" borderId="4" xfId="0" applyFont="1" applyBorder="1" applyAlignment="1"/>
    <xf numFmtId="178" fontId="0" fillId="0" borderId="12" xfId="3" applyNumberFormat="1" applyFont="1" applyBorder="1">
      <alignment vertical="center"/>
    </xf>
    <xf numFmtId="10" fontId="20" fillId="0" borderId="12" xfId="3" applyNumberFormat="1" applyFont="1" applyBorder="1" applyAlignment="1"/>
    <xf numFmtId="178" fontId="21" fillId="0" borderId="4" xfId="3" applyNumberFormat="1" applyFont="1" applyBorder="1" applyAlignment="1"/>
    <xf numFmtId="0" fontId="0" fillId="3" borderId="12" xfId="0" applyFill="1" applyBorder="1" applyAlignment="1">
      <alignment horizontal="right" vertical="center"/>
    </xf>
    <xf numFmtId="178" fontId="0" fillId="0" borderId="12" xfId="3" applyNumberFormat="1" applyFont="1" applyBorder="1" applyAlignment="1">
      <alignment horizontal="right" vertical="center"/>
    </xf>
    <xf numFmtId="1" fontId="0" fillId="0" borderId="12" xfId="0" applyNumberFormat="1" applyBorder="1" applyAlignment="1">
      <alignment horizontal="right" vertical="center"/>
    </xf>
    <xf numFmtId="1" fontId="0" fillId="0" borderId="12" xfId="0" applyNumberFormat="1" applyBorder="1">
      <alignment vertical="center"/>
    </xf>
    <xf numFmtId="178" fontId="0" fillId="0" borderId="12" xfId="3" applyNumberFormat="1" applyFont="1" applyFill="1" applyBorder="1" applyAlignment="1">
      <alignment horizontal="right" vertical="center"/>
    </xf>
    <xf numFmtId="181" fontId="0" fillId="0" borderId="12" xfId="3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0" fontId="23" fillId="0" borderId="12" xfId="0" applyFont="1" applyBorder="1" applyAlignment="1">
      <alignment horizontal="left" vertical="center"/>
    </xf>
    <xf numFmtId="0" fontId="24" fillId="0" borderId="12" xfId="0" applyFont="1" applyBorder="1" applyAlignment="1">
      <alignment horizontal="right" vertical="center"/>
    </xf>
    <xf numFmtId="181" fontId="20" fillId="0" borderId="12" xfId="3" applyNumberFormat="1" applyFont="1" applyBorder="1" applyAlignment="1"/>
    <xf numFmtId="181" fontId="20" fillId="0" borderId="12" xfId="3" applyNumberFormat="1" applyFont="1" applyBorder="1">
      <alignment vertical="center"/>
    </xf>
    <xf numFmtId="177" fontId="0" fillId="0" borderId="0" xfId="0" applyNumberFormat="1" applyAlignment="1">
      <alignment horizontal="center" vertical="center"/>
    </xf>
    <xf numFmtId="176" fontId="0" fillId="0" borderId="7" xfId="0" applyNumberFormat="1" applyBorder="1" applyAlignment="1">
      <alignment horizontal="right" vertical="center"/>
    </xf>
    <xf numFmtId="0" fontId="17" fillId="5" borderId="0" xfId="0" applyFont="1" applyFill="1">
      <alignment vertical="center"/>
    </xf>
    <xf numFmtId="0" fontId="17" fillId="5" borderId="4" xfId="0" applyFont="1" applyFill="1" applyBorder="1" applyAlignment="1">
      <alignment horizontal="left" vertical="center"/>
    </xf>
    <xf numFmtId="0" fontId="17" fillId="5" borderId="5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17" fillId="7" borderId="4" xfId="0" applyFont="1" applyFill="1" applyBorder="1" applyAlignment="1">
      <alignment horizontal="left" vertical="center"/>
    </xf>
    <xf numFmtId="0" fontId="17" fillId="7" borderId="6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7" fillId="0" borderId="0" xfId="5" applyFont="1" applyAlignment="1">
      <alignment horizontal="center" vertical="center" wrapText="1"/>
    </xf>
    <xf numFmtId="0" fontId="7" fillId="0" borderId="10" xfId="5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0" borderId="12" xfId="5" applyFont="1" applyBorder="1" applyAlignment="1">
      <alignment horizontal="center" vertical="center" wrapText="1"/>
    </xf>
  </cellXfs>
  <cellStyles count="7">
    <cellStyle name="百分比" xfId="3" builtinId="5"/>
    <cellStyle name="常规" xfId="0" builtinId="0"/>
    <cellStyle name="常规 2" xfId="2" xr:uid="{23E04D12-E93B-449F-8A33-712EB12C0B3E}"/>
    <cellStyle name="常规 3" xfId="4" xr:uid="{A74C0CB4-AB9B-4C57-99C9-5CE363D25C13}"/>
    <cellStyle name="常规 4" xfId="1" xr:uid="{A4299B3C-6071-4C58-BB0F-546F62D18D54}"/>
    <cellStyle name="常规 5" xfId="5" xr:uid="{9731F0F5-FD33-4F6C-A053-556C331FB34B}"/>
    <cellStyle name="超链接 2" xfId="6" xr:uid="{3F561D1F-FF89-4FF3-847A-168C192FF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'增加值 (2001-2060, 2020RMB)'!$A$5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81805.07806619101</c:v>
                </c:pt>
                <c:pt idx="23">
                  <c:v>85868.267638835605</c:v>
                </c:pt>
                <c:pt idx="24">
                  <c:v>90105.170847837435</c:v>
                </c:pt>
                <c:pt idx="25">
                  <c:v>94446.622139245927</c:v>
                </c:pt>
                <c:pt idx="26">
                  <c:v>98809.334712507422</c:v>
                </c:pt>
                <c:pt idx="27">
                  <c:v>103095.44480981769</c:v>
                </c:pt>
                <c:pt idx="28">
                  <c:v>107192.9102051002</c:v>
                </c:pt>
                <c:pt idx="29">
                  <c:v>110976.96856332792</c:v>
                </c:pt>
                <c:pt idx="30">
                  <c:v>114348.8997923799</c:v>
                </c:pt>
                <c:pt idx="31">
                  <c:v>117355.5372420304</c:v>
                </c:pt>
                <c:pt idx="32">
                  <c:v>120094.9564929084</c:v>
                </c:pt>
                <c:pt idx="33">
                  <c:v>122679.6886443409</c:v>
                </c:pt>
                <c:pt idx="34">
                  <c:v>125234.61897801366</c:v>
                </c:pt>
                <c:pt idx="35">
                  <c:v>127870.4955621094</c:v>
                </c:pt>
                <c:pt idx="36">
                  <c:v>130603.22575892349</c:v>
                </c:pt>
                <c:pt idx="37">
                  <c:v>133423.3092307219</c:v>
                </c:pt>
                <c:pt idx="38">
                  <c:v>136320.25959427829</c:v>
                </c:pt>
                <c:pt idx="39">
                  <c:v>139282.52649452869</c:v>
                </c:pt>
                <c:pt idx="40">
                  <c:v>142297.42649679389</c:v>
                </c:pt>
                <c:pt idx="41">
                  <c:v>145351.0846198595</c:v>
                </c:pt>
                <c:pt idx="42">
                  <c:v>148428.38850740349</c:v>
                </c:pt>
                <c:pt idx="43">
                  <c:v>151512.9573807586</c:v>
                </c:pt>
                <c:pt idx="44">
                  <c:v>154587.1280235431</c:v>
                </c:pt>
                <c:pt idx="45">
                  <c:v>157631.9601093728</c:v>
                </c:pt>
                <c:pt idx="46">
                  <c:v>160627.26318826541</c:v>
                </c:pt>
                <c:pt idx="47">
                  <c:v>163551.64758591331</c:v>
                </c:pt>
                <c:pt idx="48">
                  <c:v>166382.60133346191</c:v>
                </c:pt>
                <c:pt idx="49">
                  <c:v>169096.5950250694</c:v>
                </c:pt>
                <c:pt idx="50">
                  <c:v>171669.21618894351</c:v>
                </c:pt>
                <c:pt idx="51">
                  <c:v>174075.33434897449</c:v>
                </c:pt>
                <c:pt idx="52">
                  <c:v>176289.29744516511</c:v>
                </c:pt>
                <c:pt idx="53">
                  <c:v>178285.15967132911</c:v>
                </c:pt>
                <c:pt idx="54">
                  <c:v>180036.94008118959</c:v>
                </c:pt>
                <c:pt idx="55">
                  <c:v>181518.91051625239</c:v>
                </c:pt>
                <c:pt idx="56">
                  <c:v>182705.91053260639</c:v>
                </c:pt>
                <c:pt idx="57">
                  <c:v>183573.68606587249</c:v>
                </c:pt>
                <c:pt idx="58">
                  <c:v>184099.2475959314</c:v>
                </c:pt>
                <c:pt idx="59">
                  <c:v>184261.24258284896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2-48DF-ADE5-1680B1A1B7F5}"/>
            </c:ext>
          </c:extLst>
        </c:ser>
        <c:ser>
          <c:idx val="3"/>
          <c:order val="1"/>
          <c:tx>
            <c:strRef>
              <c:f>'增加值 (2001-2060, 2020RMB)'!$A$6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48488.395867085768</c:v>
                </c:pt>
                <c:pt idx="23">
                  <c:v>50475.608187655132</c:v>
                </c:pt>
                <c:pt idx="24">
                  <c:v>52394.72297559138</c:v>
                </c:pt>
                <c:pt idx="25">
                  <c:v>54228.345027771058</c:v>
                </c:pt>
                <c:pt idx="26">
                  <c:v>55958.818576533893</c:v>
                </c:pt>
                <c:pt idx="27">
                  <c:v>57568.468704691972</c:v>
                </c:pt>
                <c:pt idx="28">
                  <c:v>59039.863207858609</c:v>
                </c:pt>
                <c:pt idx="29">
                  <c:v>60356.090633259213</c:v>
                </c:pt>
                <c:pt idx="30">
                  <c:v>61509.555168305262</c:v>
                </c:pt>
                <c:pt idx="31">
                  <c:v>62528.8824494855</c:v>
                </c:pt>
                <c:pt idx="32">
                  <c:v>63455.06239218454</c:v>
                </c:pt>
                <c:pt idx="33">
                  <c:v>64332.487465975777</c:v>
                </c:pt>
                <c:pt idx="34">
                  <c:v>65208.439071092638</c:v>
                </c:pt>
                <c:pt idx="35">
                  <c:v>66121.855853919566</c:v>
                </c:pt>
                <c:pt idx="36">
                  <c:v>67069.056549451372</c:v>
                </c:pt>
                <c:pt idx="37">
                  <c:v>68034.766985159265</c:v>
                </c:pt>
                <c:pt idx="38">
                  <c:v>69002.80684169165</c:v>
                </c:pt>
                <c:pt idx="39">
                  <c:v>69956.064932717825</c:v>
                </c:pt>
                <c:pt idx="40">
                  <c:v>70876.515206681084</c:v>
                </c:pt>
                <c:pt idx="41">
                  <c:v>71745.277333349601</c:v>
                </c:pt>
                <c:pt idx="42">
                  <c:v>72542.72546542123</c:v>
                </c:pt>
                <c:pt idx="43">
                  <c:v>73248.648160439698</c:v>
                </c:pt>
                <c:pt idx="44">
                  <c:v>73842.461481970662</c:v>
                </c:pt>
                <c:pt idx="45">
                  <c:v>74303.47595349366</c:v>
                </c:pt>
                <c:pt idx="46">
                  <c:v>74611.216312101809</c:v>
                </c:pt>
                <c:pt idx="47">
                  <c:v>74745.790921537715</c:v>
                </c:pt>
                <c:pt idx="48">
                  <c:v>74688.305301258893</c:v>
                </c:pt>
                <c:pt idx="49">
                  <c:v>74421.311585954041</c:v>
                </c:pt>
                <c:pt idx="50">
                  <c:v>73929.282956390365</c:v>
                </c:pt>
                <c:pt idx="51">
                  <c:v>73199.099318076507</c:v>
                </c:pt>
                <c:pt idx="52">
                  <c:v>72220.527918918873</c:v>
                </c:pt>
                <c:pt idx="53">
                  <c:v>70986.680384241583</c:v>
                </c:pt>
                <c:pt idx="54">
                  <c:v>69494.426014380209</c:v>
                </c:pt>
                <c:pt idx="55">
                  <c:v>67744.740344266567</c:v>
                </c:pt>
                <c:pt idx="56">
                  <c:v>65742.968097878693</c:v>
                </c:pt>
                <c:pt idx="57">
                  <c:v>63498.980940534377</c:v>
                </c:pt>
                <c:pt idx="58">
                  <c:v>61027.212942117141</c:v>
                </c:pt>
                <c:pt idx="59">
                  <c:v>58346.560445000279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2-48DF-ADE5-1680B1A1B7F5}"/>
            </c:ext>
          </c:extLst>
        </c:ser>
        <c:ser>
          <c:idx val="4"/>
          <c:order val="2"/>
          <c:tx>
            <c:strRef>
              <c:f>'增加值 (2001-2060, 2020RMB)'!$A$7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112033.83841205599</c:v>
                </c:pt>
                <c:pt idx="23">
                  <c:v>116875.4734098927</c:v>
                </c:pt>
                <c:pt idx="24">
                  <c:v>121569.86917203684</c:v>
                </c:pt>
                <c:pt idx="25">
                  <c:v>126074.8639587099</c:v>
                </c:pt>
                <c:pt idx="26">
                  <c:v>130347.4841530798</c:v>
                </c:pt>
                <c:pt idx="27">
                  <c:v>134344.5268146072</c:v>
                </c:pt>
                <c:pt idx="28">
                  <c:v>138023.19492312489</c:v>
                </c:pt>
                <c:pt idx="29">
                  <c:v>141341.77505798792</c:v>
                </c:pt>
                <c:pt idx="30">
                  <c:v>144280.4101931288</c:v>
                </c:pt>
                <c:pt idx="31">
                  <c:v>146904.85862489871</c:v>
                </c:pt>
                <c:pt idx="32">
                  <c:v>149310.69543947541</c:v>
                </c:pt>
                <c:pt idx="33">
                  <c:v>151602.25035860209</c:v>
                </c:pt>
                <c:pt idx="34">
                  <c:v>153891.40052524977</c:v>
                </c:pt>
                <c:pt idx="35">
                  <c:v>156270.85554332391</c:v>
                </c:pt>
                <c:pt idx="36">
                  <c:v>158732.3123797169</c:v>
                </c:pt>
                <c:pt idx="37">
                  <c:v>161239.7622768181</c:v>
                </c:pt>
                <c:pt idx="38">
                  <c:v>163754.8403061195</c:v>
                </c:pt>
                <c:pt idx="39">
                  <c:v>166236.7618053534</c:v>
                </c:pt>
                <c:pt idx="40">
                  <c:v>168642.35593205161</c:v>
                </c:pt>
                <c:pt idx="41">
                  <c:v>170926.20640937111</c:v>
                </c:pt>
                <c:pt idx="42">
                  <c:v>173040.90891292191</c:v>
                </c:pt>
                <c:pt idx="43">
                  <c:v>174937.45311273049</c:v>
                </c:pt>
                <c:pt idx="44">
                  <c:v>176565.73506482181</c:v>
                </c:pt>
                <c:pt idx="45">
                  <c:v>177875.202391158</c:v>
                </c:pt>
                <c:pt idx="46">
                  <c:v>178815.63048314161</c:v>
                </c:pt>
                <c:pt idx="47">
                  <c:v>179338.02285328621</c:v>
                </c:pt>
                <c:pt idx="48">
                  <c:v>179395.62284719769</c:v>
                </c:pt>
                <c:pt idx="49">
                  <c:v>178945.01739331632</c:v>
                </c:pt>
                <c:pt idx="50">
                  <c:v>177947.30657100771</c:v>
                </c:pt>
                <c:pt idx="51">
                  <c:v>176369.30585987229</c:v>
                </c:pt>
                <c:pt idx="52">
                  <c:v>174184.74141097441</c:v>
                </c:pt>
                <c:pt idx="53">
                  <c:v>171375.3930310396</c:v>
                </c:pt>
                <c:pt idx="54">
                  <c:v>167932.1353080204</c:v>
                </c:pt>
                <c:pt idx="55">
                  <c:v>163855.82495021031</c:v>
                </c:pt>
                <c:pt idx="56">
                  <c:v>159157.98244559011</c:v>
                </c:pt>
                <c:pt idx="57">
                  <c:v>153861.21897621141</c:v>
                </c:pt>
                <c:pt idx="58">
                  <c:v>147999.3654166031</c:v>
                </c:pt>
                <c:pt idx="59">
                  <c:v>141617.26930056512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42-48DF-ADE5-1680B1A1B7F5}"/>
            </c:ext>
          </c:extLst>
        </c:ser>
        <c:ser>
          <c:idx val="5"/>
          <c:order val="3"/>
          <c:tx>
            <c:strRef>
              <c:f>'增加值 (2001-2060, 2020RMB)'!$A$8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17528.172811370201</c:v>
                </c:pt>
                <c:pt idx="23">
                  <c:v>18346.360758450119</c:v>
                </c:pt>
                <c:pt idx="24">
                  <c:v>19144.295990420516</c:v>
                </c:pt>
                <c:pt idx="25">
                  <c:v>19914.90428677345</c:v>
                </c:pt>
                <c:pt idx="26">
                  <c:v>20650.9275154924</c:v>
                </c:pt>
                <c:pt idx="27">
                  <c:v>21345.020707842621</c:v>
                </c:pt>
                <c:pt idx="28">
                  <c:v>21989.8588431754</c:v>
                </c:pt>
                <c:pt idx="29">
                  <c:v>22578.251649442162</c:v>
                </c:pt>
                <c:pt idx="30">
                  <c:v>23106.505893294609</c:v>
                </c:pt>
                <c:pt idx="31">
                  <c:v>23584.79806982385</c:v>
                </c:pt>
                <c:pt idx="32">
                  <c:v>24028.281398759991</c:v>
                </c:pt>
                <c:pt idx="33">
                  <c:v>24453.704799924781</c:v>
                </c:pt>
                <c:pt idx="34">
                  <c:v>24879.220875290674</c:v>
                </c:pt>
                <c:pt idx="35">
                  <c:v>25320.01655536818</c:v>
                </c:pt>
                <c:pt idx="36">
                  <c:v>25774.843120200279</c:v>
                </c:pt>
                <c:pt idx="37">
                  <c:v>26237.88634549957</c:v>
                </c:pt>
                <c:pt idx="38">
                  <c:v>26702.89621662621</c:v>
                </c:pt>
                <c:pt idx="39">
                  <c:v>27163.174865440211</c:v>
                </c:pt>
                <c:pt idx="40">
                  <c:v>27611.58047671667</c:v>
                </c:pt>
                <c:pt idx="41">
                  <c:v>28040.54903957959</c:v>
                </c:pt>
                <c:pt idx="42">
                  <c:v>28442.135725009339</c:v>
                </c:pt>
                <c:pt idx="43">
                  <c:v>28808.077439474539</c:v>
                </c:pt>
                <c:pt idx="44">
                  <c:v>29129.877722114659</c:v>
                </c:pt>
                <c:pt idx="45">
                  <c:v>29398.914608042742</c:v>
                </c:pt>
                <c:pt idx="46">
                  <c:v>29606.571369255598</c:v>
                </c:pt>
                <c:pt idx="47">
                  <c:v>29744.389172301839</c:v>
                </c:pt>
                <c:pt idx="48">
                  <c:v>29804.239674331031</c:v>
                </c:pt>
                <c:pt idx="49">
                  <c:v>29778.514445480832</c:v>
                </c:pt>
                <c:pt idx="50">
                  <c:v>29660.326898931118</c:v>
                </c:pt>
                <c:pt idx="51">
                  <c:v>29443.72118803121</c:v>
                </c:pt>
                <c:pt idx="52">
                  <c:v>29123.881363894088</c:v>
                </c:pt>
                <c:pt idx="53">
                  <c:v>28697.333059245611</c:v>
                </c:pt>
                <c:pt idx="54">
                  <c:v>28162.129164957889</c:v>
                </c:pt>
                <c:pt idx="55">
                  <c:v>27518.0104863247</c:v>
                </c:pt>
                <c:pt idx="56">
                  <c:v>26766.53229344881</c:v>
                </c:pt>
                <c:pt idx="57">
                  <c:v>25911.148087676171</c:v>
                </c:pt>
                <c:pt idx="58">
                  <c:v>24957.242845712339</c:v>
                </c:pt>
                <c:pt idx="59">
                  <c:v>23912.109496612862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42-48DF-ADE5-1680B1A1B7F5}"/>
            </c:ext>
          </c:extLst>
        </c:ser>
        <c:ser>
          <c:idx val="6"/>
          <c:order val="4"/>
          <c:tx>
            <c:strRef>
              <c:f>'增加值 (2001-2060, 2020RMB)'!$A$9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95394.858794102664</c:v>
                </c:pt>
                <c:pt idx="23">
                  <c:v>100548.2743168114</c:v>
                </c:pt>
                <c:pt idx="24">
                  <c:v>105932.20039135663</c:v>
                </c:pt>
                <c:pt idx="25">
                  <c:v>111475.6929844199</c:v>
                </c:pt>
                <c:pt idx="26">
                  <c:v>117091.7450733156</c:v>
                </c:pt>
                <c:pt idx="27">
                  <c:v>122676.5013383295</c:v>
                </c:pt>
                <c:pt idx="28">
                  <c:v>128109.2784743755</c:v>
                </c:pt>
                <c:pt idx="29">
                  <c:v>133253.61024118628</c:v>
                </c:pt>
                <c:pt idx="30">
                  <c:v>137992.68774006801</c:v>
                </c:pt>
                <c:pt idx="31">
                  <c:v>142340.6512200367</c:v>
                </c:pt>
                <c:pt idx="32">
                  <c:v>146358.88872698889</c:v>
                </c:pt>
                <c:pt idx="33">
                  <c:v>150123.27603322419</c:v>
                </c:pt>
                <c:pt idx="34">
                  <c:v>153722.42705041473</c:v>
                </c:pt>
                <c:pt idx="35">
                  <c:v>157234.48965119969</c:v>
                </c:pt>
                <c:pt idx="36">
                  <c:v>160656.8948082042</c:v>
                </c:pt>
                <c:pt idx="37">
                  <c:v>163964.9792716158</c:v>
                </c:pt>
                <c:pt idx="38">
                  <c:v>167133.00082888399</c:v>
                </c:pt>
                <c:pt idx="39">
                  <c:v>170134.3130768277</c:v>
                </c:pt>
                <c:pt idx="40">
                  <c:v>172941.57412882449</c:v>
                </c:pt>
                <c:pt idx="41">
                  <c:v>175526.98940617981</c:v>
                </c:pt>
                <c:pt idx="42">
                  <c:v>177862.58789528391</c:v>
                </c:pt>
                <c:pt idx="43">
                  <c:v>179920.53038881641</c:v>
                </c:pt>
                <c:pt idx="44">
                  <c:v>181673.44728329251</c:v>
                </c:pt>
                <c:pt idx="45">
                  <c:v>183094.80249506721</c:v>
                </c:pt>
                <c:pt idx="46">
                  <c:v>184159.2790064755</c:v>
                </c:pt>
                <c:pt idx="47">
                  <c:v>184843.18049226259</c:v>
                </c:pt>
                <c:pt idx="48">
                  <c:v>185124.84243807499</c:v>
                </c:pt>
                <c:pt idx="49">
                  <c:v>184985.04518608071</c:v>
                </c:pt>
                <c:pt idx="50">
                  <c:v>184407.42046956779</c:v>
                </c:pt>
                <c:pt idx="51">
                  <c:v>183378.84227252749</c:v>
                </c:pt>
                <c:pt idx="52">
                  <c:v>181889.79231590679</c:v>
                </c:pt>
                <c:pt idx="53">
                  <c:v>179934.6901720833</c:v>
                </c:pt>
                <c:pt idx="54">
                  <c:v>177512.17798202531</c:v>
                </c:pt>
                <c:pt idx="55">
                  <c:v>174625.35002840971</c:v>
                </c:pt>
                <c:pt idx="56">
                  <c:v>171281.91802718121</c:v>
                </c:pt>
                <c:pt idx="57">
                  <c:v>167494.303953494</c:v>
                </c:pt>
                <c:pt idx="58">
                  <c:v>163279.65351692561</c:v>
                </c:pt>
                <c:pt idx="59">
                  <c:v>158659.76503227933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42-48DF-ADE5-1680B1A1B7F5}"/>
            </c:ext>
          </c:extLst>
        </c:ser>
        <c:ser>
          <c:idx val="7"/>
          <c:order val="5"/>
          <c:tx>
            <c:strRef>
              <c:f>'增加值 (2001-2060, 2020RMB)'!$A$10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73092.815036197891</c:v>
                </c:pt>
                <c:pt idx="23">
                  <c:v>77128.309574413186</c:v>
                </c:pt>
                <c:pt idx="24">
                  <c:v>81098.17811667861</c:v>
                </c:pt>
                <c:pt idx="25">
                  <c:v>84960.946244032093</c:v>
                </c:pt>
                <c:pt idx="26">
                  <c:v>88672.987275190448</c:v>
                </c:pt>
                <c:pt idx="27">
                  <c:v>92189.167317818807</c:v>
                </c:pt>
                <c:pt idx="28">
                  <c:v>95463.597607615695</c:v>
                </c:pt>
                <c:pt idx="29">
                  <c:v>98450.483100471567</c:v>
                </c:pt>
                <c:pt idx="30">
                  <c:v>101125.555489711</c:v>
                </c:pt>
                <c:pt idx="31">
                  <c:v>103552.3912651089</c:v>
                </c:pt>
                <c:pt idx="32">
                  <c:v>105827.04828284431</c:v>
                </c:pt>
                <c:pt idx="33">
                  <c:v>108056.7168749166</c:v>
                </c:pt>
                <c:pt idx="34">
                  <c:v>110358.7017801468</c:v>
                </c:pt>
                <c:pt idx="35">
                  <c:v>112834.74073614441</c:v>
                </c:pt>
                <c:pt idx="36">
                  <c:v>115489.9735763557</c:v>
                </c:pt>
                <c:pt idx="37">
                  <c:v>118302.8458042634</c:v>
                </c:pt>
                <c:pt idx="38">
                  <c:v>121249.46578397541</c:v>
                </c:pt>
                <c:pt idx="39">
                  <c:v>124303.2480503288</c:v>
                </c:pt>
                <c:pt idx="40">
                  <c:v>127434.60881296769</c:v>
                </c:pt>
                <c:pt idx="41">
                  <c:v>130610.72566557259</c:v>
                </c:pt>
                <c:pt idx="42">
                  <c:v>133795.3754639104</c:v>
                </c:pt>
                <c:pt idx="43">
                  <c:v>136948.86581312661</c:v>
                </c:pt>
                <c:pt idx="44">
                  <c:v>140028.07645217021</c:v>
                </c:pt>
                <c:pt idx="45">
                  <c:v>142986.62687115441</c:v>
                </c:pt>
                <c:pt idx="46">
                  <c:v>145775.1855694261</c:v>
                </c:pt>
                <c:pt idx="47">
                  <c:v>148341.9342898177</c:v>
                </c:pt>
                <c:pt idx="48">
                  <c:v>150633.1972048484</c:v>
                </c:pt>
                <c:pt idx="49">
                  <c:v>152594.24028595633</c:v>
                </c:pt>
                <c:pt idx="50">
                  <c:v>154170.2399268935</c:v>
                </c:pt>
                <c:pt idx="51">
                  <c:v>155307.41237685189</c:v>
                </c:pt>
                <c:pt idx="52">
                  <c:v>155954.28683750899</c:v>
                </c:pt>
                <c:pt idx="53">
                  <c:v>156063.09548740191</c:v>
                </c:pt>
                <c:pt idx="54">
                  <c:v>155591.24364853781</c:v>
                </c:pt>
                <c:pt idx="55">
                  <c:v>154502.81336934911</c:v>
                </c:pt>
                <c:pt idx="56">
                  <c:v>152770.04454935031</c:v>
                </c:pt>
                <c:pt idx="57">
                  <c:v>150374.7301473009</c:v>
                </c:pt>
                <c:pt idx="58">
                  <c:v>147309.4568117717</c:v>
                </c:pt>
                <c:pt idx="59">
                  <c:v>143578.62024664911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42-48DF-ADE5-1680B1A1B7F5}"/>
            </c:ext>
          </c:extLst>
        </c:ser>
        <c:ser>
          <c:idx val="8"/>
          <c:order val="6"/>
          <c:tx>
            <c:strRef>
              <c:f>'增加值 (2001-2060, 2020RMB)'!$A$11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286061.12729809672</c:v>
                </c:pt>
                <c:pt idx="23">
                  <c:v>312803.81186166411</c:v>
                </c:pt>
                <c:pt idx="24">
                  <c:v>342027.17617849534</c:v>
                </c:pt>
                <c:pt idx="25">
                  <c:v>373724.51380102732</c:v>
                </c:pt>
                <c:pt idx="26">
                  <c:v>407819.65638147708</c:v>
                </c:pt>
                <c:pt idx="27">
                  <c:v>444149.72200391977</c:v>
                </c:pt>
                <c:pt idx="28">
                  <c:v>482447.47001944011</c:v>
                </c:pt>
                <c:pt idx="29">
                  <c:v>522324.45065283589</c:v>
                </c:pt>
                <c:pt idx="30">
                  <c:v>563367.90546009713</c:v>
                </c:pt>
                <c:pt idx="31">
                  <c:v>605532.26484817185</c:v>
                </c:pt>
                <c:pt idx="32">
                  <c:v>648922.23886767682</c:v>
                </c:pt>
                <c:pt idx="33">
                  <c:v>693703.9696041001</c:v>
                </c:pt>
                <c:pt idx="34">
                  <c:v>740111.5131786745</c:v>
                </c:pt>
                <c:pt idx="35">
                  <c:v>788381.07403337758</c:v>
                </c:pt>
                <c:pt idx="36">
                  <c:v>838504.67009468935</c:v>
                </c:pt>
                <c:pt idx="37">
                  <c:v>890390.82673368626</c:v>
                </c:pt>
                <c:pt idx="38">
                  <c:v>943928.44647800596</c:v>
                </c:pt>
                <c:pt idx="39">
                  <c:v>998986.41800608533</c:v>
                </c:pt>
                <c:pt idx="40">
                  <c:v>1055413.4566476471</c:v>
                </c:pt>
                <c:pt idx="41">
                  <c:v>1113038.1998339209</c:v>
                </c:pt>
                <c:pt idx="42">
                  <c:v>1171669.578571571</c:v>
                </c:pt>
                <c:pt idx="43">
                  <c:v>1231097.482938637</c:v>
                </c:pt>
                <c:pt idx="44">
                  <c:v>1291093.7358027219</c:v>
                </c:pt>
                <c:pt idx="45">
                  <c:v>1351413.384442158</c:v>
                </c:pt>
                <c:pt idx="46">
                  <c:v>1411796.3145322599</c:v>
                </c:pt>
                <c:pt idx="47">
                  <c:v>1471969.1850865551</c:v>
                </c:pt>
                <c:pt idx="48">
                  <c:v>1531647.6764887881</c:v>
                </c:pt>
                <c:pt idx="49">
                  <c:v>1590539.0368156587</c:v>
                </c:pt>
                <c:pt idx="50">
                  <c:v>1648344.9043608611</c:v>
                </c:pt>
                <c:pt idx="51">
                  <c:v>1704764.376786218</c:v>
                </c:pt>
                <c:pt idx="52">
                  <c:v>1759497.2898302351</c:v>
                </c:pt>
                <c:pt idx="53">
                  <c:v>1812247.6612083849</c:v>
                </c:pt>
                <c:pt idx="54">
                  <c:v>1862727.248472899</c:v>
                </c:pt>
                <c:pt idx="55">
                  <c:v>1910659.163407665</c:v>
                </c:pt>
                <c:pt idx="56">
                  <c:v>1955781.480266829</c:v>
                </c:pt>
                <c:pt idx="57">
                  <c:v>1997850.771073458</c:v>
                </c:pt>
                <c:pt idx="58">
                  <c:v>2036645.4985129051</c:v>
                </c:pt>
                <c:pt idx="59">
                  <c:v>2071969.1958970635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42-48DF-ADE5-1680B1A1B7F5}"/>
            </c:ext>
          </c:extLst>
        </c:ser>
        <c:ser>
          <c:idx val="0"/>
          <c:order val="7"/>
          <c:tx>
            <c:strRef>
              <c:f>'增加值 (2001-2060, 2020RMB)'!$A$3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89648.787939950213</c:v>
                </c:pt>
                <c:pt idx="23">
                  <c:v>93524.524711204911</c:v>
                </c:pt>
                <c:pt idx="24">
                  <c:v>98055.627099117148</c:v>
                </c:pt>
                <c:pt idx="25">
                  <c:v>103068.7584415515</c:v>
                </c:pt>
                <c:pt idx="26">
                  <c:v>108350.4367928125</c:v>
                </c:pt>
                <c:pt idx="27">
                  <c:v>113638.3644002928</c:v>
                </c:pt>
                <c:pt idx="28">
                  <c:v>118618.26173391929</c:v>
                </c:pt>
                <c:pt idx="29">
                  <c:v>122928.33440860949</c:v>
                </c:pt>
                <c:pt idx="30">
                  <c:v>126272.3231413602</c:v>
                </c:pt>
                <c:pt idx="31">
                  <c:v>128754.6969132435</c:v>
                </c:pt>
                <c:pt idx="32">
                  <c:v>130617.0939076764</c:v>
                </c:pt>
                <c:pt idx="33">
                  <c:v>132130.25337315639</c:v>
                </c:pt>
                <c:pt idx="34">
                  <c:v>133583.59357654781</c:v>
                </c:pt>
                <c:pt idx="35">
                  <c:v>135225.4281646047</c:v>
                </c:pt>
                <c:pt idx="36">
                  <c:v>137092.52109286419</c:v>
                </c:pt>
                <c:pt idx="37">
                  <c:v>139167.4206993042</c:v>
                </c:pt>
                <c:pt idx="38">
                  <c:v>141432.12704558051</c:v>
                </c:pt>
                <c:pt idx="39">
                  <c:v>143867.769215362</c:v>
                </c:pt>
                <c:pt idx="40">
                  <c:v>146454.30777275181</c:v>
                </c:pt>
                <c:pt idx="41">
                  <c:v>149170.2638264187</c:v>
                </c:pt>
                <c:pt idx="42">
                  <c:v>151992.4774769574</c:v>
                </c:pt>
                <c:pt idx="43">
                  <c:v>154895.89964819601</c:v>
                </c:pt>
                <c:pt idx="44">
                  <c:v>157853.42240098631</c:v>
                </c:pt>
                <c:pt idx="45">
                  <c:v>160835.7537728133</c:v>
                </c:pt>
                <c:pt idx="46">
                  <c:v>163811.34394076921</c:v>
                </c:pt>
                <c:pt idx="47">
                  <c:v>166746.37002306979</c:v>
                </c:pt>
                <c:pt idx="48">
                  <c:v>169604.78706289249</c:v>
                </c:pt>
                <c:pt idx="49">
                  <c:v>172348.45262170516</c:v>
                </c:pt>
                <c:pt idx="50">
                  <c:v>174937.3318907131</c:v>
                </c:pt>
                <c:pt idx="51">
                  <c:v>177329.78925569219</c:v>
                </c:pt>
                <c:pt idx="52">
                  <c:v>179482.97077783279</c:v>
                </c:pt>
                <c:pt idx="53">
                  <c:v>181353.2800509932</c:v>
                </c:pt>
                <c:pt idx="54">
                  <c:v>182896.94735343431</c:v>
                </c:pt>
                <c:pt idx="55">
                  <c:v>184070.68894514529</c:v>
                </c:pt>
                <c:pt idx="56">
                  <c:v>184832.44981712999</c:v>
                </c:pt>
                <c:pt idx="57">
                  <c:v>185142.2192596836</c:v>
                </c:pt>
                <c:pt idx="58">
                  <c:v>184962.90440540071</c:v>
                </c:pt>
                <c:pt idx="59">
                  <c:v>184261.24258284911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2-48DF-ADE5-1680B1A1B7F5}"/>
            </c:ext>
          </c:extLst>
        </c:ser>
        <c:ser>
          <c:idx val="1"/>
          <c:order val="8"/>
          <c:tx>
            <c:strRef>
              <c:f>'增加值 (2001-2060, 2020RMB)'!$A$4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387683.62141912221</c:v>
                </c:pt>
                <c:pt idx="23">
                  <c:v>400765.69786332268</c:v>
                </c:pt>
                <c:pt idx="24">
                  <c:v>414748.80110842816</c:v>
                </c:pt>
                <c:pt idx="25">
                  <c:v>429555.044638397</c:v>
                </c:pt>
                <c:pt idx="26">
                  <c:v>445099.62406152551</c:v>
                </c:pt>
                <c:pt idx="27">
                  <c:v>461286.47130633972</c:v>
                </c:pt>
                <c:pt idx="28">
                  <c:v>478004.94304384961</c:v>
                </c:pt>
                <c:pt idx="29">
                  <c:v>495128.01359023218</c:v>
                </c:pt>
                <c:pt idx="30">
                  <c:v>512507.14724321029</c:v>
                </c:pt>
                <c:pt idx="31">
                  <c:v>529952.09358599829</c:v>
                </c:pt>
                <c:pt idx="32">
                  <c:v>547236.71865556692</c:v>
                </c:pt>
                <c:pt idx="33">
                  <c:v>564101.58162630035</c:v>
                </c:pt>
                <c:pt idx="34">
                  <c:v>580253.73459812999</c:v>
                </c:pt>
                <c:pt idx="35">
                  <c:v>595417.61545557354</c:v>
                </c:pt>
                <c:pt idx="36">
                  <c:v>609500.37969936093</c:v>
                </c:pt>
                <c:pt idx="37">
                  <c:v>622470.34195375256</c:v>
                </c:pt>
                <c:pt idx="38">
                  <c:v>634311.30914371565</c:v>
                </c:pt>
                <c:pt idx="39">
                  <c:v>645022.3449939125</c:v>
                </c:pt>
                <c:pt idx="40">
                  <c:v>654617.26503814175</c:v>
                </c:pt>
                <c:pt idx="41">
                  <c:v>663123.90320902073</c:v>
                </c:pt>
                <c:pt idx="42">
                  <c:v>670583.19512830477</c:v>
                </c:pt>
                <c:pt idx="43">
                  <c:v>677048.12515229627</c:v>
                </c:pt>
                <c:pt idx="44">
                  <c:v>682582.58427893824</c:v>
                </c:pt>
                <c:pt idx="45">
                  <c:v>687260.18449536455</c:v>
                </c:pt>
                <c:pt idx="46">
                  <c:v>691163.07237807475</c:v>
                </c:pt>
                <c:pt idx="47">
                  <c:v>694380.78110780613</c:v>
                </c:pt>
                <c:pt idx="48">
                  <c:v>697009.15587695478</c:v>
                </c:pt>
                <c:pt idx="49">
                  <c:v>699149.38327672926</c:v>
                </c:pt>
                <c:pt idx="50">
                  <c:v>700907.15095080296</c:v>
                </c:pt>
                <c:pt idx="51">
                  <c:v>702391.95985233539</c:v>
                </c:pt>
                <c:pt idx="52">
                  <c:v>703716.60806568584</c:v>
                </c:pt>
                <c:pt idx="53">
                  <c:v>704996.86254387896</c:v>
                </c:pt>
                <c:pt idx="54">
                  <c:v>706351.33343314275</c:v>
                </c:pt>
                <c:pt idx="55">
                  <c:v>707901.56505583401</c:v>
                </c:pt>
                <c:pt idx="56">
                  <c:v>709772.35824943543</c:v>
                </c:pt>
                <c:pt idx="57">
                  <c:v>712092.34077068197</c:v>
                </c:pt>
                <c:pt idx="58">
                  <c:v>714994.80606067472</c:v>
                </c:pt>
                <c:pt idx="59">
                  <c:v>718618.84607311094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2-48DF-ADE5-1680B1A1B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803087"/>
        <c:axId val="1519799247"/>
      </c:areaChart>
      <c:catAx>
        <c:axId val="151980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9799247"/>
        <c:crosses val="autoZero"/>
        <c:auto val="1"/>
        <c:lblAlgn val="ctr"/>
        <c:lblOffset val="100"/>
        <c:noMultiLvlLbl val="0"/>
      </c:catAx>
      <c:valAx>
        <c:axId val="15197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980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320367747967152E-2"/>
          <c:y val="0.12157578586608031"/>
          <c:w val="0.8671018605246088"/>
          <c:h val="0.48076602749149344"/>
        </c:manualLayout>
      </c:layout>
      <c:areaChart>
        <c:grouping val="stacked"/>
        <c:varyColors val="0"/>
        <c:ser>
          <c:idx val="0"/>
          <c:order val="0"/>
          <c:tx>
            <c:strRef>
              <c:f>'增加值 (2001-2060, 2020RMB)'!$A$14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18094.152110728981</c:v>
                </c:pt>
                <c:pt idx="16">
                  <c:v>18288.484507585479</c:v>
                </c:pt>
                <c:pt idx="17">
                  <c:v>18563.363464699902</c:v>
                </c:pt>
                <c:pt idx="18">
                  <c:v>18896.922060254161</c:v>
                </c:pt>
                <c:pt idx="19">
                  <c:v>19266.237817176348</c:v>
                </c:pt>
                <c:pt idx="20">
                  <c:v>19646.72606478888</c:v>
                </c:pt>
                <c:pt idx="21">
                  <c:v>20011.83335396355</c:v>
                </c:pt>
                <c:pt idx="22">
                  <c:v>20333.070539176162</c:v>
                </c:pt>
                <c:pt idx="23">
                  <c:v>20586.09303979472</c:v>
                </c:pt>
                <c:pt idx="24">
                  <c:v>20768.885181584301</c:v>
                </c:pt>
                <c:pt idx="25">
                  <c:v>20885.921016824799</c:v>
                </c:pt>
                <c:pt idx="26">
                  <c:v>20942.482956781369</c:v>
                </c:pt>
                <c:pt idx="27">
                  <c:v>20944.485918574643</c:v>
                </c:pt>
                <c:pt idx="28">
                  <c:v>20897.615305886949</c:v>
                </c:pt>
                <c:pt idx="29">
                  <c:v>20805.114858536661</c:v>
                </c:pt>
                <c:pt idx="30">
                  <c:v>20669.80280987384</c:v>
                </c:pt>
                <c:pt idx="31">
                  <c:v>20494.713101598601</c:v>
                </c:pt>
                <c:pt idx="32">
                  <c:v>20283.043055483449</c:v>
                </c:pt>
                <c:pt idx="33">
                  <c:v>20038.103127609749</c:v>
                </c:pt>
                <c:pt idx="34">
                  <c:v>19763.269526568711</c:v>
                </c:pt>
                <c:pt idx="35">
                  <c:v>19461.940323878389</c:v>
                </c:pt>
                <c:pt idx="36">
                  <c:v>19137.495533517769</c:v>
                </c:pt>
                <c:pt idx="37">
                  <c:v>18793.261492451558</c:v>
                </c:pt>
                <c:pt idx="38">
                  <c:v>18432.47973892884</c:v>
                </c:pt>
                <c:pt idx="39">
                  <c:v>18058.280462938179</c:v>
                </c:pt>
                <c:pt idx="40">
                  <c:v>17673.660495382679</c:v>
                </c:pt>
                <c:pt idx="41">
                  <c:v>17281.4657104332</c:v>
                </c:pt>
                <c:pt idx="42">
                  <c:v>16884.37763954914</c:v>
                </c:pt>
                <c:pt idx="43">
                  <c:v>16484.904035660958</c:v>
                </c:pt>
                <c:pt idx="44">
                  <c:v>16085.37308132315</c:v>
                </c:pt>
                <c:pt idx="45">
                  <c:v>15687.930904241201</c:v>
                </c:pt>
                <c:pt idx="46">
                  <c:v>15294.54204612719</c:v>
                </c:pt>
                <c:pt idx="47">
                  <c:v>14906.992524851559</c:v>
                </c:pt>
                <c:pt idx="48">
                  <c:v>14526.89513374494</c:v>
                </c:pt>
                <c:pt idx="49">
                  <c:v>14155.69663404508</c:v>
                </c:pt>
                <c:pt idx="50">
                  <c:v>13794.68651531628</c:v>
                </c:pt>
                <c:pt idx="51">
                  <c:v>13445.00702270546</c:v>
                </c:pt>
                <c:pt idx="52">
                  <c:v>13107.664177792192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4-4A07-92CC-FB0C2DCF4F71}"/>
            </c:ext>
          </c:extLst>
        </c:ser>
        <c:ser>
          <c:idx val="1"/>
          <c:order val="1"/>
          <c:tx>
            <c:strRef>
              <c:f>'增加值 (2001-2060, 2020RMB)'!$A$15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12232.37658199681</c:v>
                </c:pt>
                <c:pt idx="16">
                  <c:v>12220.797150044569</c:v>
                </c:pt>
                <c:pt idx="17">
                  <c:v>12255.872049881027</c:v>
                </c:pt>
                <c:pt idx="18">
                  <c:v>12324.54698012749</c:v>
                </c:pt>
                <c:pt idx="19">
                  <c:v>12413.83154337158</c:v>
                </c:pt>
                <c:pt idx="20">
                  <c:v>12510.507876858739</c:v>
                </c:pt>
                <c:pt idx="21">
                  <c:v>12600.97984500064</c:v>
                </c:pt>
                <c:pt idx="22">
                  <c:v>12671.267219354668</c:v>
                </c:pt>
                <c:pt idx="23">
                  <c:v>12710.02682047437</c:v>
                </c:pt>
                <c:pt idx="24">
                  <c:v>12717.475686422529</c:v>
                </c:pt>
                <c:pt idx="25">
                  <c:v>12696.93799193723</c:v>
                </c:pt>
                <c:pt idx="26">
                  <c:v>12651.91649316751</c:v>
                </c:pt>
                <c:pt idx="27">
                  <c:v>12586.021587931527</c:v>
                </c:pt>
                <c:pt idx="28">
                  <c:v>12502.454947917569</c:v>
                </c:pt>
                <c:pt idx="29">
                  <c:v>12402.623254678439</c:v>
                </c:pt>
                <c:pt idx="30">
                  <c:v>12287.51951678245</c:v>
                </c:pt>
                <c:pt idx="31">
                  <c:v>12158.17229023839</c:v>
                </c:pt>
                <c:pt idx="32">
                  <c:v>12015.635848656309</c:v>
                </c:pt>
                <c:pt idx="33">
                  <c:v>11860.98078889373</c:v>
                </c:pt>
                <c:pt idx="34">
                  <c:v>11695.285151940559</c:v>
                </c:pt>
                <c:pt idx="35">
                  <c:v>11519.62612438649</c:v>
                </c:pt>
                <c:pt idx="36">
                  <c:v>11335.07237168838</c:v>
                </c:pt>
                <c:pt idx="37">
                  <c:v>11142.67704085988</c:v>
                </c:pt>
                <c:pt idx="38">
                  <c:v>10943.47145734138</c:v>
                </c:pt>
                <c:pt idx="39">
                  <c:v>10738.459528845789</c:v>
                </c:pt>
                <c:pt idx="40">
                  <c:v>10528.61285803837</c:v>
                </c:pt>
                <c:pt idx="41">
                  <c:v>10314.866556088091</c:v>
                </c:pt>
                <c:pt idx="42">
                  <c:v>10098.115740482257</c:v>
                </c:pt>
                <c:pt idx="43">
                  <c:v>9879.2126930459981</c:v>
                </c:pt>
                <c:pt idx="44">
                  <c:v>9658.9646478555114</c:v>
                </c:pt>
                <c:pt idx="45">
                  <c:v>9438.1321736484842</c:v>
                </c:pt>
                <c:pt idx="46">
                  <c:v>9217.4281113702164</c:v>
                </c:pt>
                <c:pt idx="47">
                  <c:v>8997.517024587054</c:v>
                </c:pt>
                <c:pt idx="48">
                  <c:v>8779.015118571544</c:v>
                </c:pt>
                <c:pt idx="49">
                  <c:v>8562.4905828307274</c:v>
                </c:pt>
                <c:pt idx="50">
                  <c:v>8348.4643116183124</c:v>
                </c:pt>
                <c:pt idx="51">
                  <c:v>8137.4109574467429</c:v>
                </c:pt>
                <c:pt idx="52">
                  <c:v>7929.7602737008465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4-4A07-92CC-FB0C2DCF4F71}"/>
            </c:ext>
          </c:extLst>
        </c:ser>
        <c:ser>
          <c:idx val="2"/>
          <c:order val="2"/>
          <c:tx>
            <c:strRef>
              <c:f>'增加值 (2001-2060, 2020RMB)'!$A$16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4518.4826743443564</c:v>
                </c:pt>
                <c:pt idx="16">
                  <c:v>4489.3320621772591</c:v>
                </c:pt>
                <c:pt idx="17">
                  <c:v>4476.2720988974561</c:v>
                </c:pt>
                <c:pt idx="18">
                  <c:v>4474.9599135747467</c:v>
                </c:pt>
                <c:pt idx="19">
                  <c:v>4481.1762681273776</c:v>
                </c:pt>
                <c:pt idx="20">
                  <c:v>4490.7346691103648</c:v>
                </c:pt>
                <c:pt idx="21">
                  <c:v>4499.4304058988891</c:v>
                </c:pt>
                <c:pt idx="22">
                  <c:v>4503.0289572039737</c:v>
                </c:pt>
                <c:pt idx="23">
                  <c:v>4498.0349349370535</c:v>
                </c:pt>
                <c:pt idx="24">
                  <c:v>4483.9605658896726</c:v>
                </c:pt>
                <c:pt idx="25">
                  <c:v>4461.1122924380252</c:v>
                </c:pt>
                <c:pt idx="26">
                  <c:v>4429.844385508859</c:v>
                </c:pt>
                <c:pt idx="27">
                  <c:v>4390.553405751094</c:v>
                </c:pt>
                <c:pt idx="28">
                  <c:v>4343.6939186686895</c:v>
                </c:pt>
                <c:pt idx="29">
                  <c:v>4289.834870331918</c:v>
                </c:pt>
                <c:pt idx="30">
                  <c:v>4229.5848496366489</c:v>
                </c:pt>
                <c:pt idx="31">
                  <c:v>4163.5627217679776</c:v>
                </c:pt>
                <c:pt idx="32">
                  <c:v>4092.3906227179468</c:v>
                </c:pt>
                <c:pt idx="33">
                  <c:v>4016.6875175894111</c:v>
                </c:pt>
                <c:pt idx="34">
                  <c:v>3937.063373401561</c:v>
                </c:pt>
                <c:pt idx="35">
                  <c:v>3854.1139797749629</c:v>
                </c:pt>
                <c:pt idx="36">
                  <c:v>3768.4164348216418</c:v>
                </c:pt>
                <c:pt idx="37">
                  <c:v>3680.5252990507129</c:v>
                </c:pt>
                <c:pt idx="38">
                  <c:v>3590.9694072986531</c:v>
                </c:pt>
                <c:pt idx="39">
                  <c:v>3500.2493177038768</c:v>
                </c:pt>
                <c:pt idx="40">
                  <c:v>3408.8353676043371</c:v>
                </c:pt>
                <c:pt idx="41">
                  <c:v>3317.1662989210272</c:v>
                </c:pt>
                <c:pt idx="42">
                  <c:v>3225.6484100286748</c:v>
                </c:pt>
                <c:pt idx="43">
                  <c:v>3134.6551872011328</c:v>
                </c:pt>
                <c:pt idx="44">
                  <c:v>3044.5273663127532</c:v>
                </c:pt>
                <c:pt idx="45">
                  <c:v>2955.573374424102</c:v>
                </c:pt>
                <c:pt idx="46">
                  <c:v>2868.0701010090088</c:v>
                </c:pt>
                <c:pt idx="47">
                  <c:v>2782.263949717084</c:v>
                </c:pt>
                <c:pt idx="48">
                  <c:v>2698.3721235378612</c:v>
                </c:pt>
                <c:pt idx="49">
                  <c:v>2616.5840988724008</c:v>
                </c:pt>
                <c:pt idx="50">
                  <c:v>2537.063247168307</c:v>
                </c:pt>
                <c:pt idx="51">
                  <c:v>2459.9485662905172</c:v>
                </c:pt>
                <c:pt idx="52">
                  <c:v>2385.3564875530374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4-4A07-92CC-FB0C2DCF4F71}"/>
            </c:ext>
          </c:extLst>
        </c:ser>
        <c:ser>
          <c:idx val="3"/>
          <c:order val="3"/>
          <c:tx>
            <c:strRef>
              <c:f>'增加值 (2001-2060, 2020RMB)'!$A$17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2111.249386732643</c:v>
                </c:pt>
                <c:pt idx="16">
                  <c:v>2083.0783852458071</c:v>
                </c:pt>
                <c:pt idx="17">
                  <c:v>2060.8143771872606</c:v>
                </c:pt>
                <c:pt idx="18">
                  <c:v>2043.0774624669839</c:v>
                </c:pt>
                <c:pt idx="19">
                  <c:v>2028.565302247257</c:v>
                </c:pt>
                <c:pt idx="20">
                  <c:v>2016.029405808144</c:v>
                </c:pt>
                <c:pt idx="21">
                  <c:v>2004.259494890764</c:v>
                </c:pt>
                <c:pt idx="22">
                  <c:v>1992.0753530597492</c:v>
                </c:pt>
                <c:pt idx="23">
                  <c:v>1978.4552565552449</c:v>
                </c:pt>
                <c:pt idx="24">
                  <c:v>1962.921791246866</c:v>
                </c:pt>
                <c:pt idx="25">
                  <c:v>1945.1455851599469</c:v>
                </c:pt>
                <c:pt idx="26">
                  <c:v>1924.8178567552479</c:v>
                </c:pt>
                <c:pt idx="27">
                  <c:v>1901.6545966421427</c:v>
                </c:pt>
                <c:pt idx="28">
                  <c:v>1875.4885439510549</c:v>
                </c:pt>
                <c:pt idx="29">
                  <c:v>1846.525361311571</c:v>
                </c:pt>
                <c:pt idx="30">
                  <c:v>1815.063290334039</c:v>
                </c:pt>
                <c:pt idx="31">
                  <c:v>1781.4000367355941</c:v>
                </c:pt>
                <c:pt idx="32">
                  <c:v>1745.82971053437</c:v>
                </c:pt>
                <c:pt idx="33">
                  <c:v>1708.64010054915</c:v>
                </c:pt>
                <c:pt idx="34">
                  <c:v>1670.1102948848711</c:v>
                </c:pt>
                <c:pt idx="35">
                  <c:v>1630.508650813149</c:v>
                </c:pt>
                <c:pt idx="36">
                  <c:v>1590.0911101405591</c:v>
                </c:pt>
                <c:pt idx="37">
                  <c:v>1549.0998498642609</c:v>
                </c:pt>
                <c:pt idx="38">
                  <c:v>1507.762252672673</c:v>
                </c:pt>
                <c:pt idx="39">
                  <c:v>1466.2901776506869</c:v>
                </c:pt>
                <c:pt idx="40">
                  <c:v>1424.879508356923</c:v>
                </c:pt>
                <c:pt idx="41">
                  <c:v>1383.709953193498</c:v>
                </c:pt>
                <c:pt idx="42">
                  <c:v>1342.9450716077915</c:v>
                </c:pt>
                <c:pt idx="43">
                  <c:v>1302.7324990589291</c:v>
                </c:pt>
                <c:pt idx="44">
                  <c:v>1263.20434375013</c:v>
                </c:pt>
                <c:pt idx="45">
                  <c:v>1224.477728769743</c:v>
                </c:pt>
                <c:pt idx="46">
                  <c:v>1186.655454396951</c:v>
                </c:pt>
                <c:pt idx="47">
                  <c:v>1149.826756815409</c:v>
                </c:pt>
                <c:pt idx="48">
                  <c:v>1114.068141247772</c:v>
                </c:pt>
                <c:pt idx="49">
                  <c:v>1079.444269492642</c:v>
                </c:pt>
                <c:pt idx="50">
                  <c:v>1046.0088839384241</c:v>
                </c:pt>
                <c:pt idx="51">
                  <c:v>1013.8057522812049</c:v>
                </c:pt>
                <c:pt idx="52">
                  <c:v>982.86961933139355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4-4A07-92CC-FB0C2DCF4F71}"/>
            </c:ext>
          </c:extLst>
        </c:ser>
        <c:ser>
          <c:idx val="4"/>
          <c:order val="4"/>
          <c:tx>
            <c:strRef>
              <c:f>'增加值 (2001-2060, 2020RMB)'!$A$18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1507.626349568365</c:v>
                </c:pt>
                <c:pt idx="16">
                  <c:v>1489.286825557765</c:v>
                </c:pt>
                <c:pt idx="17">
                  <c:v>1476.0197297973323</c:v>
                </c:pt>
                <c:pt idx="18">
                  <c:v>1466.5515041724259</c:v>
                </c:pt>
                <c:pt idx="19">
                  <c:v>1459.6743419005561</c:v>
                </c:pt>
                <c:pt idx="20">
                  <c:v>1454.22056288922</c:v>
                </c:pt>
                <c:pt idx="21">
                  <c:v>1449.046749108559</c:v>
                </c:pt>
                <c:pt idx="22">
                  <c:v>1443.0270633835123</c:v>
                </c:pt>
                <c:pt idx="23">
                  <c:v>1435.222289548047</c:v>
                </c:pt>
                <c:pt idx="24">
                  <c:v>1425.3814895517439</c:v>
                </c:pt>
                <c:pt idx="25">
                  <c:v>1413.4336911085711</c:v>
                </c:pt>
                <c:pt idx="26">
                  <c:v>1399.320751301731</c:v>
                </c:pt>
                <c:pt idx="27">
                  <c:v>1382.9986355475751</c:v>
                </c:pt>
                <c:pt idx="28">
                  <c:v>1364.4756304513201</c:v>
                </c:pt>
                <c:pt idx="29">
                  <c:v>1343.9199914479141</c:v>
                </c:pt>
                <c:pt idx="30">
                  <c:v>1321.540480013849</c:v>
                </c:pt>
                <c:pt idx="31">
                  <c:v>1297.5460465209469</c:v>
                </c:pt>
                <c:pt idx="32">
                  <c:v>1272.143682968562</c:v>
                </c:pt>
                <c:pt idx="33">
                  <c:v>1245.5364972963339</c:v>
                </c:pt>
                <c:pt idx="34">
                  <c:v>1217.9220187701669</c:v>
                </c:pt>
                <c:pt idx="35">
                  <c:v>1189.490738342</c:v>
                </c:pt>
                <c:pt idx="36">
                  <c:v>1160.4248828869711</c:v>
                </c:pt>
                <c:pt idx="37">
                  <c:v>1130.8974178729229</c:v>
                </c:pt>
                <c:pt idx="38">
                  <c:v>1101.0712693432411</c:v>
                </c:pt>
                <c:pt idx="39">
                  <c:v>1071.0987530976561</c:v>
                </c:pt>
                <c:pt idx="40">
                  <c:v>1041.1211966197161</c:v>
                </c:pt>
                <c:pt idx="41">
                  <c:v>1011.268737590719</c:v>
                </c:pt>
                <c:pt idx="42">
                  <c:v>981.66028170175821</c:v>
                </c:pt>
                <c:pt idx="43">
                  <c:v>952.40360187257875</c:v>
                </c:pt>
                <c:pt idx="44">
                  <c:v>923.5955608470872</c:v>
                </c:pt>
                <c:pt idx="45">
                  <c:v>895.32243939568991</c:v>
                </c:pt>
                <c:pt idx="46">
                  <c:v>867.66035294935944</c:v>
                </c:pt>
                <c:pt idx="47">
                  <c:v>840.67574035566031</c:v>
                </c:pt>
                <c:pt idx="48">
                  <c:v>814.42590952259764</c:v>
                </c:pt>
                <c:pt idx="49">
                  <c:v>788.95962594604657</c:v>
                </c:pt>
                <c:pt idx="50">
                  <c:v>764.3177314502135</c:v>
                </c:pt>
                <c:pt idx="51">
                  <c:v>740.53378186335351</c:v>
                </c:pt>
                <c:pt idx="52">
                  <c:v>717.6346937644671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54-4A07-92CC-FB0C2DCF4F71}"/>
            </c:ext>
          </c:extLst>
        </c:ser>
        <c:ser>
          <c:idx val="5"/>
          <c:order val="5"/>
          <c:tx>
            <c:strRef>
              <c:f>'增加值 (2001-2060, 2020RMB)'!$A$19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1214.60084379252</c:v>
                </c:pt>
                <c:pt idx="16">
                  <c:v>1284.3119282158809</c:v>
                </c:pt>
                <c:pt idx="17">
                  <c:v>1353.3049606084758</c:v>
                </c:pt>
                <c:pt idx="18">
                  <c:v>1421.358429145035</c:v>
                </c:pt>
                <c:pt idx="19">
                  <c:v>1488.294514411404</c:v>
                </c:pt>
                <c:pt idx="20">
                  <c:v>1553.982224644554</c:v>
                </c:pt>
                <c:pt idx="21">
                  <c:v>1618.3396127689141</c:v>
                </c:pt>
                <c:pt idx="22">
                  <c:v>1681.3351511291303</c:v>
                </c:pt>
                <c:pt idx="23">
                  <c:v>1742.8873445320769</c:v>
                </c:pt>
                <c:pt idx="24">
                  <c:v>1802.533856969053</c:v>
                </c:pt>
                <c:pt idx="25">
                  <c:v>1859.6882985956961</c:v>
                </c:pt>
                <c:pt idx="26">
                  <c:v>1913.7403852579621</c:v>
                </c:pt>
                <c:pt idx="27">
                  <c:v>1964.0635838650364</c:v>
                </c:pt>
                <c:pt idx="28">
                  <c:v>2010.102253794681</c:v>
                </c:pt>
                <c:pt idx="29">
                  <c:v>2051.6292870375032</c:v>
                </c:pt>
                <c:pt idx="30">
                  <c:v>2088.5395962892239</c:v>
                </c:pt>
                <c:pt idx="31">
                  <c:v>2120.7748881278822</c:v>
                </c:pt>
                <c:pt idx="32">
                  <c:v>2148.3222101131751</c:v>
                </c:pt>
                <c:pt idx="33">
                  <c:v>2171.2118625273288</c:v>
                </c:pt>
                <c:pt idx="34">
                  <c:v>2189.5147648663801</c:v>
                </c:pt>
                <c:pt idx="35">
                  <c:v>2203.3393726045852</c:v>
                </c:pt>
                <c:pt idx="36">
                  <c:v>2212.8282419859602</c:v>
                </c:pt>
                <c:pt idx="37">
                  <c:v>2218.154339920558</c:v>
                </c:pt>
                <c:pt idx="38">
                  <c:v>2219.5171928256291</c:v>
                </c:pt>
                <c:pt idx="39">
                  <c:v>2217.1389628498391</c:v>
                </c:pt>
                <c:pt idx="40">
                  <c:v>2211.2605327755</c:v>
                </c:pt>
                <c:pt idx="41">
                  <c:v>2202.1376724397642</c:v>
                </c:pt>
                <c:pt idx="42">
                  <c:v>2190.0373501703139</c:v>
                </c:pt>
                <c:pt idx="43">
                  <c:v>2175.2342428890852</c:v>
                </c:pt>
                <c:pt idx="44">
                  <c:v>2158.007488556219</c:v>
                </c:pt>
                <c:pt idx="45">
                  <c:v>2138.6377148199458</c:v>
                </c:pt>
                <c:pt idx="46">
                  <c:v>2117.4043683697819</c:v>
                </c:pt>
                <c:pt idx="47">
                  <c:v>2094.5833607734921</c:v>
                </c:pt>
                <c:pt idx="48">
                  <c:v>2070.44503867404</c:v>
                </c:pt>
                <c:pt idx="49">
                  <c:v>2045.2524792440529</c:v>
                </c:pt>
                <c:pt idx="50">
                  <c:v>2019.260105811011</c:v>
                </c:pt>
                <c:pt idx="51">
                  <c:v>1992.7126136042059</c:v>
                </c:pt>
                <c:pt idx="52">
                  <c:v>1965.8441916303402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54-4A07-92CC-FB0C2DCF4F71}"/>
            </c:ext>
          </c:extLst>
        </c:ser>
        <c:ser>
          <c:idx val="6"/>
          <c:order val="6"/>
          <c:tx>
            <c:strRef>
              <c:f>'增加值 (2001-2060, 2020RMB)'!$A$20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9.4703789730627825</c:v>
                </c:pt>
                <c:pt idx="16">
                  <c:v>9.6816395335293617</c:v>
                </c:pt>
                <c:pt idx="17">
                  <c:v>9.8924936950662925</c:v>
                </c:pt>
                <c:pt idx="18">
                  <c:v>10.10102866739121</c:v>
                </c:pt>
                <c:pt idx="19">
                  <c:v>10.305189902713099</c:v>
                </c:pt>
                <c:pt idx="20">
                  <c:v>10.502787892718271</c:v>
                </c:pt>
                <c:pt idx="21">
                  <c:v>10.69150925074053</c:v>
                </c:pt>
                <c:pt idx="22">
                  <c:v>10.868932426713513</c:v>
                </c:pt>
                <c:pt idx="23">
                  <c:v>11.03255800857775</c:v>
                </c:pt>
                <c:pt idx="24">
                  <c:v>11.17986449743208</c:v>
                </c:pt>
                <c:pt idx="25">
                  <c:v>11.30831145619277</c:v>
                </c:pt>
                <c:pt idx="26">
                  <c:v>11.415364845099729</c:v>
                </c:pt>
                <c:pt idx="27">
                  <c:v>11.49853620735473</c:v>
                </c:pt>
                <c:pt idx="28">
                  <c:v>11.55592047829303</c:v>
                </c:pt>
                <c:pt idx="29">
                  <c:v>11.58773667177088</c:v>
                </c:pt>
                <c:pt idx="30">
                  <c:v>11.594879063180461</c:v>
                </c:pt>
                <c:pt idx="31">
                  <c:v>11.57840694740244</c:v>
                </c:pt>
                <c:pt idx="32">
                  <c:v>11.53952213342391</c:v>
                </c:pt>
                <c:pt idx="33">
                  <c:v>11.479546070061421</c:v>
                </c:pt>
                <c:pt idx="34">
                  <c:v>11.39989706271848</c:v>
                </c:pt>
                <c:pt idx="35">
                  <c:v>11.302067993388469</c:v>
                </c:pt>
                <c:pt idx="36">
                  <c:v>11.18760490309592</c:v>
                </c:pt>
                <c:pt idx="37">
                  <c:v>11.05808673986523</c:v>
                </c:pt>
                <c:pt idx="38">
                  <c:v>10.915106518144819</c:v>
                </c:pt>
                <c:pt idx="39">
                  <c:v>10.76025407918579</c:v>
                </c:pt>
                <c:pt idx="40">
                  <c:v>10.595100587703859</c:v>
                </c:pt>
                <c:pt idx="41">
                  <c:v>10.421184849478889</c:v>
                </c:pt>
                <c:pt idx="42">
                  <c:v>10.240001488323697</c:v>
                </c:pt>
                <c:pt idx="43">
                  <c:v>10.052990979760461</c:v>
                </c:pt>
                <c:pt idx="44">
                  <c:v>9.8615315031997781</c:v>
                </c:pt>
                <c:pt idx="45">
                  <c:v>9.6669325446139727</c:v>
                </c:pt>
                <c:pt idx="46">
                  <c:v>9.470430157621383</c:v>
                </c:pt>
                <c:pt idx="47">
                  <c:v>9.273183772373363</c:v>
                </c:pt>
                <c:pt idx="48">
                  <c:v>9.0762744283476646</c:v>
                </c:pt>
                <c:pt idx="49">
                  <c:v>8.8807042986876503</c:v>
                </c:pt>
                <c:pt idx="50">
                  <c:v>8.6873973696035289</c:v>
                </c:pt>
                <c:pt idx="51">
                  <c:v>8.4972011380445043</c:v>
                </c:pt>
                <c:pt idx="52">
                  <c:v>8.3108891938199232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54-4A07-92CC-FB0C2DCF4F71}"/>
            </c:ext>
          </c:extLst>
        </c:ser>
        <c:ser>
          <c:idx val="7"/>
          <c:order val="7"/>
          <c:tx>
            <c:strRef>
              <c:f>'增加值 (2001-2060, 2020RMB)'!$A$21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12042.617525531239</c:v>
                </c:pt>
                <c:pt idx="16">
                  <c:v>12117.71721551838</c:v>
                </c:pt>
                <c:pt idx="17">
                  <c:v>12203.447655788554</c:v>
                </c:pt>
                <c:pt idx="18">
                  <c:v>12296.2021488062</c:v>
                </c:pt>
                <c:pt idx="19">
                  <c:v>12392.276115242379</c:v>
                </c:pt>
                <c:pt idx="20">
                  <c:v>12487.851258752829</c:v>
                </c:pt>
                <c:pt idx="21">
                  <c:v>12578.991243285151</c:v>
                </c:pt>
                <c:pt idx="22">
                  <c:v>12661.649500364536</c:v>
                </c:pt>
                <c:pt idx="23">
                  <c:v>12731.614069688139</c:v>
                </c:pt>
                <c:pt idx="24">
                  <c:v>12784.31173124501</c:v>
                </c:pt>
                <c:pt idx="25">
                  <c:v>12815.081323900849</c:v>
                </c:pt>
                <c:pt idx="26">
                  <c:v>12819.31825533407</c:v>
                </c:pt>
                <c:pt idx="27">
                  <c:v>12792.559955502353</c:v>
                </c:pt>
                <c:pt idx="28">
                  <c:v>12731.666675928929</c:v>
                </c:pt>
                <c:pt idx="29">
                  <c:v>12638.110263996739</c:v>
                </c:pt>
                <c:pt idx="30">
                  <c:v>12514.652484420179</c:v>
                </c:pt>
                <c:pt idx="31">
                  <c:v>12364.19697382957</c:v>
                </c:pt>
                <c:pt idx="32">
                  <c:v>12189.733066103559</c:v>
                </c:pt>
                <c:pt idx="33">
                  <c:v>11994.283997965489</c:v>
                </c:pt>
                <c:pt idx="34">
                  <c:v>11780.860266806711</c:v>
                </c:pt>
                <c:pt idx="35">
                  <c:v>11552.418660848291</c:v>
                </c:pt>
                <c:pt idx="36">
                  <c:v>11311.827249245851</c:v>
                </c:pt>
                <c:pt idx="37">
                  <c:v>11061.836412705539</c:v>
                </c:pt>
                <c:pt idx="38">
                  <c:v>10805.05581757276</c:v>
                </c:pt>
                <c:pt idx="39">
                  <c:v>10543.93709019685</c:v>
                </c:pt>
                <c:pt idx="40">
                  <c:v>10280.76183398703</c:v>
                </c:pt>
                <c:pt idx="41">
                  <c:v>10017.634547894981</c:v>
                </c:pt>
                <c:pt idx="42">
                  <c:v>9756.4799499740566</c:v>
                </c:pt>
                <c:pt idx="43">
                  <c:v>9499.0441802863515</c:v>
                </c:pt>
                <c:pt idx="44">
                  <c:v>9246.8993504232712</c:v>
                </c:pt>
                <c:pt idx="45">
                  <c:v>9001.4509187082549</c:v>
                </c:pt>
                <c:pt idx="46">
                  <c:v>8763.9473972046308</c:v>
                </c:pt>
                <c:pt idx="47">
                  <c:v>8535.49193556305</c:v>
                </c:pt>
                <c:pt idx="48">
                  <c:v>8317.055374412741</c:v>
                </c:pt>
                <c:pt idx="49">
                  <c:v>8109.4904147141506</c:v>
                </c:pt>
                <c:pt idx="50">
                  <c:v>7913.5466069706363</c:v>
                </c:pt>
                <c:pt idx="51">
                  <c:v>7729.8859236389526</c:v>
                </c:pt>
                <c:pt idx="52">
                  <c:v>7559.0987381478926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54-4A07-92CC-FB0C2DCF4F71}"/>
            </c:ext>
          </c:extLst>
        </c:ser>
        <c:ser>
          <c:idx val="8"/>
          <c:order val="8"/>
          <c:tx>
            <c:strRef>
              <c:f>'增加值 (2001-2060, 2020RMB)'!$A$22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6756.8909367718261</c:v>
                </c:pt>
                <c:pt idx="16">
                  <c:v>6887.9359134349188</c:v>
                </c:pt>
                <c:pt idx="17">
                  <c:v>7019.6758911298375</c:v>
                </c:pt>
                <c:pt idx="18">
                  <c:v>7150.6254702400092</c:v>
                </c:pt>
                <c:pt idx="19">
                  <c:v>7279.1931683779549</c:v>
                </c:pt>
                <c:pt idx="20">
                  <c:v>7403.6850075329876</c:v>
                </c:pt>
                <c:pt idx="21">
                  <c:v>7522.311815967073</c:v>
                </c:pt>
                <c:pt idx="22">
                  <c:v>7633.2005736864658</c:v>
                </c:pt>
                <c:pt idx="23">
                  <c:v>7734.4562159509314</c:v>
                </c:pt>
                <c:pt idx="24">
                  <c:v>7824.3245057005997</c:v>
                </c:pt>
                <c:pt idx="25">
                  <c:v>7901.0836661010717</c:v>
                </c:pt>
                <c:pt idx="26">
                  <c:v>7963.0232754492008</c:v>
                </c:pt>
                <c:pt idx="27">
                  <c:v>8008.4710070058745</c:v>
                </c:pt>
                <c:pt idx="28">
                  <c:v>8036.1685177401314</c:v>
                </c:pt>
                <c:pt idx="29">
                  <c:v>8046.3456247665454</c:v>
                </c:pt>
                <c:pt idx="30">
                  <c:v>8039.6972426020893</c:v>
                </c:pt>
                <c:pt idx="31">
                  <c:v>8017.0245005424904</c:v>
                </c:pt>
                <c:pt idx="32">
                  <c:v>7979.2188142122004</c:v>
                </c:pt>
                <c:pt idx="33">
                  <c:v>7927.2458825111526</c:v>
                </c:pt>
                <c:pt idx="34">
                  <c:v>7862.1299132937984</c:v>
                </c:pt>
                <c:pt idx="35">
                  <c:v>7784.938345595895</c:v>
                </c:pt>
                <c:pt idx="36">
                  <c:v>7696.7672978523506</c:v>
                </c:pt>
                <c:pt idx="37">
                  <c:v>7598.7279318028177</c:v>
                </c:pt>
                <c:pt idx="38">
                  <c:v>7491.9338819892064</c:v>
                </c:pt>
                <c:pt idx="39">
                  <c:v>7377.4898620623708</c:v>
                </c:pt>
                <c:pt idx="40">
                  <c:v>7256.4815224916738</c:v>
                </c:pt>
                <c:pt idx="41">
                  <c:v>7129.9666004683322</c:v>
                </c:pt>
                <c:pt idx="42">
                  <c:v>6998.967372374871</c:v>
                </c:pt>
                <c:pt idx="43">
                  <c:v>6864.4643925318014</c:v>
                </c:pt>
                <c:pt idx="44">
                  <c:v>6727.3914792360783</c:v>
                </c:pt>
                <c:pt idx="45">
                  <c:v>6588.631890428218</c:v>
                </c:pt>
                <c:pt idx="46">
                  <c:v>6449.0156165917197</c:v>
                </c:pt>
                <c:pt idx="47">
                  <c:v>6309.3177075236699</c:v>
                </c:pt>
                <c:pt idx="48">
                  <c:v>6170.2575421584652</c:v>
                </c:pt>
                <c:pt idx="49">
                  <c:v>6032.4989463601514</c:v>
                </c:pt>
                <c:pt idx="50">
                  <c:v>5896.6510621671232</c:v>
                </c:pt>
                <c:pt idx="51">
                  <c:v>5763.2698729996619</c:v>
                </c:pt>
                <c:pt idx="52">
                  <c:v>5632.8602924468369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54-4A07-92CC-FB0C2DCF4F71}"/>
            </c:ext>
          </c:extLst>
        </c:ser>
        <c:ser>
          <c:idx val="9"/>
          <c:order val="9"/>
          <c:tx>
            <c:strRef>
              <c:f>'增加值 (2001-2060, 2020RMB)'!$A$23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7446.4365840707296</c:v>
                </c:pt>
                <c:pt idx="16">
                  <c:v>7621.3717792656898</c:v>
                </c:pt>
                <c:pt idx="17">
                  <c:v>7795.5786575871789</c:v>
                </c:pt>
                <c:pt idx="18">
                  <c:v>7967.6010860733104</c:v>
                </c:pt>
                <c:pt idx="19">
                  <c:v>8135.87515481833</c:v>
                </c:pt>
                <c:pt idx="20">
                  <c:v>8298.7349540292071</c:v>
                </c:pt>
                <c:pt idx="21">
                  <c:v>8454.4214487293593</c:v>
                </c:pt>
                <c:pt idx="22">
                  <c:v>8601.0946870918779</c:v>
                </c:pt>
                <c:pt idx="23">
                  <c:v>8736.8391860834327</c:v>
                </c:pt>
                <c:pt idx="24">
                  <c:v>8859.6511028044461</c:v>
                </c:pt>
                <c:pt idx="25">
                  <c:v>8967.4906757135686</c:v>
                </c:pt>
                <c:pt idx="26">
                  <c:v>9058.3199683905677</c:v>
                </c:pt>
                <c:pt idx="27">
                  <c:v>9130.1342287435655</c:v>
                </c:pt>
                <c:pt idx="28">
                  <c:v>9181.3882990701495</c:v>
                </c:pt>
                <c:pt idx="29">
                  <c:v>9212.219403530351</c:v>
                </c:pt>
                <c:pt idx="30">
                  <c:v>9223.3032366317839</c:v>
                </c:pt>
                <c:pt idx="31">
                  <c:v>9215.4504746849689</c:v>
                </c:pt>
                <c:pt idx="32">
                  <c:v>9189.5890526144176</c:v>
                </c:pt>
                <c:pt idx="33">
                  <c:v>9146.7460616428252</c:v>
                </c:pt>
                <c:pt idx="34">
                  <c:v>9088.0296404147011</c:v>
                </c:pt>
                <c:pt idx="35">
                  <c:v>9014.6111954259868</c:v>
                </c:pt>
                <c:pt idx="36">
                  <c:v>8927.7082453227849</c:v>
                </c:pt>
                <c:pt idx="37">
                  <c:v>8828.5681395119082</c:v>
                </c:pt>
                <c:pt idx="38">
                  <c:v>8718.4528562330197</c:v>
                </c:pt>
                <c:pt idx="39">
                  <c:v>8598.6250402417099</c:v>
                </c:pt>
                <c:pt idx="40">
                  <c:v>8470.3353968021529</c:v>
                </c:pt>
                <c:pt idx="41">
                  <c:v>8334.8115178206499</c:v>
                </c:pt>
                <c:pt idx="42">
                  <c:v>8193.2481784709835</c:v>
                </c:pt>
                <c:pt idx="43">
                  <c:v>8046.7991091558388</c:v>
                </c:pt>
                <c:pt idx="44">
                  <c:v>7896.5702184897991</c:v>
                </c:pt>
                <c:pt idx="45">
                  <c:v>7743.6142183675274</c:v>
                </c:pt>
                <c:pt idx="46">
                  <c:v>7588.9265821177059</c:v>
                </c:pt>
                <c:pt idx="47">
                  <c:v>7433.4427511262247</c:v>
                </c:pt>
                <c:pt idx="48">
                  <c:v>7278.0364939088176</c:v>
                </c:pt>
                <c:pt idx="49">
                  <c:v>7123.5193141177424</c:v>
                </c:pt>
                <c:pt idx="50">
                  <c:v>6970.6407999995818</c:v>
                </c:pt>
                <c:pt idx="51">
                  <c:v>6820.089806976639</c:v>
                </c:pt>
                <c:pt idx="52">
                  <c:v>6672.4963668735109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54-4A07-92CC-FB0C2DCF4F71}"/>
            </c:ext>
          </c:extLst>
        </c:ser>
        <c:ser>
          <c:idx val="10"/>
          <c:order val="10"/>
          <c:tx>
            <c:strRef>
              <c:f>'增加值 (2001-2060, 2020RMB)'!$A$24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9145.8834128196177</c:v>
                </c:pt>
                <c:pt idx="16">
                  <c:v>9278.0555285187238</c:v>
                </c:pt>
                <c:pt idx="17">
                  <c:v>9413.7519402266189</c:v>
                </c:pt>
                <c:pt idx="18">
                  <c:v>9550.6214333583721</c:v>
                </c:pt>
                <c:pt idx="19">
                  <c:v>9686.1732241262343</c:v>
                </c:pt>
                <c:pt idx="20">
                  <c:v>9817.7772401090133</c:v>
                </c:pt>
                <c:pt idx="21">
                  <c:v>9942.6712525688654</c:v>
                </c:pt>
                <c:pt idx="22">
                  <c:v>10057.975456165155</c:v>
                </c:pt>
                <c:pt idx="23">
                  <c:v>10160.86410994017</c:v>
                </c:pt>
                <c:pt idx="24">
                  <c:v>10249.054002346091</c:v>
                </c:pt>
                <c:pt idx="25">
                  <c:v>10320.40749359827</c:v>
                </c:pt>
                <c:pt idx="26">
                  <c:v>10372.816483090741</c:v>
                </c:pt>
                <c:pt idx="27">
                  <c:v>10404.235826720771</c:v>
                </c:pt>
                <c:pt idx="28">
                  <c:v>10413.174450021001</c:v>
                </c:pt>
                <c:pt idx="29">
                  <c:v>10400.0930117361</c:v>
                </c:pt>
                <c:pt idx="30">
                  <c:v>10366.043920047019</c:v>
                </c:pt>
                <c:pt idx="31">
                  <c:v>10312.197617313641</c:v>
                </c:pt>
                <c:pt idx="32">
                  <c:v>10239.82159004315</c:v>
                </c:pt>
                <c:pt idx="33">
                  <c:v>10150.259666132881</c:v>
                </c:pt>
                <c:pt idx="34">
                  <c:v>10044.91195179354</c:v>
                </c:pt>
                <c:pt idx="35">
                  <c:v>9925.2157105631813</c:v>
                </c:pt>
                <c:pt idx="36">
                  <c:v>9792.6274349043942</c:v>
                </c:pt>
                <c:pt idx="37">
                  <c:v>9648.6063087874463</c:v>
                </c:pt>
                <c:pt idx="38">
                  <c:v>9494.5992089154151</c:v>
                </c:pt>
                <c:pt idx="39">
                  <c:v>9332.0273441162153</c:v>
                </c:pt>
                <c:pt idx="40">
                  <c:v>9162.2745879177546</c:v>
                </c:pt>
                <c:pt idx="41">
                  <c:v>8986.6775191884517</c:v>
                </c:pt>
                <c:pt idx="42">
                  <c:v>8806.5171504755817</c:v>
                </c:pt>
                <c:pt idx="43">
                  <c:v>8623.0122935924319</c:v>
                </c:pt>
                <c:pt idx="44">
                  <c:v>8437.3144871761451</c:v>
                </c:pt>
                <c:pt idx="45">
                  <c:v>8250.50439127973</c:v>
                </c:pt>
                <c:pt idx="46">
                  <c:v>8063.5895393476221</c:v>
                </c:pt>
                <c:pt idx="47">
                  <c:v>7877.5033278239243</c:v>
                </c:pt>
                <c:pt idx="48">
                  <c:v>7693.1051177426134</c:v>
                </c:pt>
                <c:pt idx="49">
                  <c:v>7511.1813204849777</c:v>
                </c:pt>
                <c:pt idx="50">
                  <c:v>7332.4473409698094</c:v>
                </c:pt>
                <c:pt idx="51">
                  <c:v>7157.5502553649112</c:v>
                </c:pt>
                <c:pt idx="52">
                  <c:v>6987.0721064886457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54-4A07-92CC-FB0C2DCF4F71}"/>
            </c:ext>
          </c:extLst>
        </c:ser>
        <c:ser>
          <c:idx val="11"/>
          <c:order val="11"/>
          <c:tx>
            <c:strRef>
              <c:f>'增加值 (2001-2060, 2020RMB)'!$A$25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7998.2610304436976</c:v>
                </c:pt>
                <c:pt idx="16">
                  <c:v>7899.2928732576574</c:v>
                </c:pt>
                <c:pt idx="17">
                  <c:v>7818.426273969977</c:v>
                </c:pt>
                <c:pt idx="18">
                  <c:v>7751.4529305346186</c:v>
                </c:pt>
                <c:pt idx="19">
                  <c:v>7694.3807949262164</c:v>
                </c:pt>
                <c:pt idx="20">
                  <c:v>7643.3752673262843</c:v>
                </c:pt>
                <c:pt idx="21">
                  <c:v>7594.7203647612096</c:v>
                </c:pt>
                <c:pt idx="22">
                  <c:v>7544.798477576539</c:v>
                </c:pt>
                <c:pt idx="23">
                  <c:v>7490.4053576213082</c:v>
                </c:pt>
                <c:pt idx="24">
                  <c:v>7429.6961675340744</c:v>
                </c:pt>
                <c:pt idx="25">
                  <c:v>7361.2148774993757</c:v>
                </c:pt>
                <c:pt idx="26">
                  <c:v>7283.5867458851226</c:v>
                </c:pt>
                <c:pt idx="27">
                  <c:v>7195.5353546844472</c:v>
                </c:pt>
                <c:pt idx="28">
                  <c:v>7096.2604841127568</c:v>
                </c:pt>
                <c:pt idx="29">
                  <c:v>6986.4901670474574</c:v>
                </c:pt>
                <c:pt idx="30">
                  <c:v>6867.3316583565438</c:v>
                </c:pt>
                <c:pt idx="31">
                  <c:v>6739.8907963498168</c:v>
                </c:pt>
                <c:pt idx="32">
                  <c:v>6605.2607449447996</c:v>
                </c:pt>
                <c:pt idx="33">
                  <c:v>6464.5119418325075</c:v>
                </c:pt>
                <c:pt idx="34">
                  <c:v>6318.6832973471101</c:v>
                </c:pt>
                <c:pt idx="35">
                  <c:v>6168.7746589878689</c:v>
                </c:pt>
                <c:pt idx="36">
                  <c:v>6015.7405301170384</c:v>
                </c:pt>
                <c:pt idx="37">
                  <c:v>5860.4850085210728</c:v>
                </c:pt>
                <c:pt idx="38">
                  <c:v>5703.8578913904821</c:v>
                </c:pt>
                <c:pt idx="39">
                  <c:v>5546.651877833594</c:v>
                </c:pt>
                <c:pt idx="40">
                  <c:v>5389.6007881749483</c:v>
                </c:pt>
                <c:pt idx="41">
                  <c:v>5233.3787107965682</c:v>
                </c:pt>
                <c:pt idx="42">
                  <c:v>5078.5999818924529</c:v>
                </c:pt>
                <c:pt idx="43">
                  <c:v>4925.8199009081027</c:v>
                </c:pt>
                <c:pt idx="44">
                  <c:v>4775.536084284623</c:v>
                </c:pt>
                <c:pt idx="45">
                  <c:v>4628.1903620638268</c:v>
                </c:pt>
                <c:pt idx="46">
                  <c:v>4484.171125581157</c:v>
                </c:pt>
                <c:pt idx="47">
                  <c:v>4343.816039529318</c:v>
                </c:pt>
                <c:pt idx="48">
                  <c:v>4207.4150377945243</c:v>
                </c:pt>
                <c:pt idx="49">
                  <c:v>4075.2135293465399</c:v>
                </c:pt>
                <c:pt idx="50">
                  <c:v>3947.4157478363632</c:v>
                </c:pt>
                <c:pt idx="51">
                  <c:v>3824.1881861857319</c:v>
                </c:pt>
                <c:pt idx="52">
                  <c:v>3705.6630651396245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54-4A07-92CC-FB0C2DCF4F71}"/>
            </c:ext>
          </c:extLst>
        </c:ser>
        <c:ser>
          <c:idx val="12"/>
          <c:order val="12"/>
          <c:tx>
            <c:strRef>
              <c:f>'增加值 (2001-2060, 2020RMB)'!$A$26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5080.3696367662769</c:v>
                </c:pt>
                <c:pt idx="16">
                  <c:v>5028.2458611526235</c:v>
                </c:pt>
                <c:pt idx="17">
                  <c:v>4985.5065053375238</c:v>
                </c:pt>
                <c:pt idx="18">
                  <c:v>4949.9153719238248</c:v>
                </c:pt>
                <c:pt idx="19">
                  <c:v>4919.3313865700811</c:v>
                </c:pt>
                <c:pt idx="20">
                  <c:v>4891.68314855064</c:v>
                </c:pt>
                <c:pt idx="21">
                  <c:v>4864.9525175163699</c:v>
                </c:pt>
                <c:pt idx="22">
                  <c:v>4837.1667197474317</c:v>
                </c:pt>
                <c:pt idx="23">
                  <c:v>4806.5392828522718</c:v>
                </c:pt>
                <c:pt idx="24">
                  <c:v>4771.8919245642719</c:v>
                </c:pt>
                <c:pt idx="25">
                  <c:v>4732.2289782692287</c:v>
                </c:pt>
                <c:pt idx="26">
                  <c:v>4686.6048359216702</c:v>
                </c:pt>
                <c:pt idx="27">
                  <c:v>4634.135641642154</c:v>
                </c:pt>
                <c:pt idx="28">
                  <c:v>4574.2507684238262</c:v>
                </c:pt>
                <c:pt idx="29">
                  <c:v>4507.3937371464308</c:v>
                </c:pt>
                <c:pt idx="30">
                  <c:v>4434.2626859721968</c:v>
                </c:pt>
                <c:pt idx="31">
                  <c:v>4355.5582323774852</c:v>
                </c:pt>
                <c:pt idx="32">
                  <c:v>4271.976086130423</c:v>
                </c:pt>
                <c:pt idx="33">
                  <c:v>4184.2003983339691</c:v>
                </c:pt>
                <c:pt idx="34">
                  <c:v>4092.8978831347822</c:v>
                </c:pt>
                <c:pt idx="35">
                  <c:v>3998.7127293730982</c:v>
                </c:pt>
                <c:pt idx="36">
                  <c:v>3902.262302087101</c:v>
                </c:pt>
                <c:pt idx="37">
                  <c:v>3804.1336185879859</c:v>
                </c:pt>
                <c:pt idx="38">
                  <c:v>3704.8805708978061</c:v>
                </c:pt>
                <c:pt idx="39">
                  <c:v>3605.0218557177291</c:v>
                </c:pt>
                <c:pt idx="40">
                  <c:v>3505.0395647238552</c:v>
                </c:pt>
                <c:pt idx="41">
                  <c:v>3405.3783817696899</c:v>
                </c:pt>
                <c:pt idx="42">
                  <c:v>3306.4453293591023</c:v>
                </c:pt>
                <c:pt idx="43">
                  <c:v>3208.6100043585411</c:v>
                </c:pt>
                <c:pt idx="44">
                  <c:v>3112.205242138396</c:v>
                </c:pt>
                <c:pt idx="45">
                  <c:v>3017.5281489519289</c:v>
                </c:pt>
                <c:pt idx="46">
                  <c:v>2924.841444156144</c:v>
                </c:pt>
                <c:pt idx="47">
                  <c:v>2834.375056634457</c:v>
                </c:pt>
                <c:pt idx="48">
                  <c:v>2746.3279232889272</c:v>
                </c:pt>
                <c:pt idx="49">
                  <c:v>2660.869941537072</c:v>
                </c:pt>
                <c:pt idx="50">
                  <c:v>2578.144032199426</c:v>
                </c:pt>
                <c:pt idx="51">
                  <c:v>2498.2682738442081</c:v>
                </c:pt>
                <c:pt idx="52">
                  <c:v>2421.3380744300439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54-4A07-92CC-FB0C2DCF4F71}"/>
            </c:ext>
          </c:extLst>
        </c:ser>
        <c:ser>
          <c:idx val="13"/>
          <c:order val="13"/>
          <c:tx>
            <c:strRef>
              <c:f>'增加值 (2001-2060, 2020RMB)'!$A$27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3311.1935264412541</c:v>
                </c:pt>
                <c:pt idx="16">
                  <c:v>3277.2576475308801</c:v>
                </c:pt>
                <c:pt idx="17">
                  <c:v>3251.4674996645931</c:v>
                </c:pt>
                <c:pt idx="18">
                  <c:v>3231.8627412765841</c:v>
                </c:pt>
                <c:pt idx="19">
                  <c:v>3216.5692450174338</c:v>
                </c:pt>
                <c:pt idx="20">
                  <c:v>3203.769463120731</c:v>
                </c:pt>
                <c:pt idx="21">
                  <c:v>3191.6834616210631</c:v>
                </c:pt>
                <c:pt idx="22">
                  <c:v>3178.5600477123962</c:v>
                </c:pt>
                <c:pt idx="23">
                  <c:v>3162.866265428564</c:v>
                </c:pt>
                <c:pt idx="24">
                  <c:v>3143.854213071867</c:v>
                </c:pt>
                <c:pt idx="25">
                  <c:v>3120.990093137279</c:v>
                </c:pt>
                <c:pt idx="26">
                  <c:v>3093.7702891772401</c:v>
                </c:pt>
                <c:pt idx="27">
                  <c:v>3061.7285420178641</c:v>
                </c:pt>
                <c:pt idx="28">
                  <c:v>3024.5837431203531</c:v>
                </c:pt>
                <c:pt idx="29">
                  <c:v>2982.6524715970809</c:v>
                </c:pt>
                <c:pt idx="30">
                  <c:v>2936.4033307035888</c:v>
                </c:pt>
                <c:pt idx="31">
                  <c:v>2886.308049231337</c:v>
                </c:pt>
                <c:pt idx="32">
                  <c:v>2832.8362795252292</c:v>
                </c:pt>
                <c:pt idx="33">
                  <c:v>2776.4509021551962</c:v>
                </c:pt>
                <c:pt idx="34">
                  <c:v>2717.6038658630268</c:v>
                </c:pt>
                <c:pt idx="35">
                  <c:v>2656.7325773480852</c:v>
                </c:pt>
                <c:pt idx="36">
                  <c:v>2594.256842794372</c:v>
                </c:pt>
                <c:pt idx="37">
                  <c:v>2530.5763519355392</c:v>
                </c:pt>
                <c:pt idx="38">
                  <c:v>2466.0686859908769</c:v>
                </c:pt>
                <c:pt idx="39">
                  <c:v>2401.087823010253</c:v>
                </c:pt>
                <c:pt idx="40">
                  <c:v>2335.9631080108288</c:v>
                </c:pt>
                <c:pt idx="41">
                  <c:v>2270.9986507014851</c:v>
                </c:pt>
                <c:pt idx="42">
                  <c:v>2206.4731104646994</c:v>
                </c:pt>
                <c:pt idx="43">
                  <c:v>2142.6398264682489</c:v>
                </c:pt>
                <c:pt idx="44">
                  <c:v>2079.7272501602838</c:v>
                </c:pt>
                <c:pt idx="45">
                  <c:v>2017.9396378023571</c:v>
                </c:pt>
                <c:pt idx="46">
                  <c:v>1957.4579619538099</c:v>
                </c:pt>
                <c:pt idx="47">
                  <c:v>1898.441002778492</c:v>
                </c:pt>
                <c:pt idx="48">
                  <c:v>1841.0265825493029</c:v>
                </c:pt>
                <c:pt idx="49">
                  <c:v>1785.3329096368441</c:v>
                </c:pt>
                <c:pt idx="50">
                  <c:v>1731.460001457416</c:v>
                </c:pt>
                <c:pt idx="51">
                  <c:v>1679.491159210552</c:v>
                </c:pt>
                <c:pt idx="52">
                  <c:v>1629.4944706597255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54-4A07-92CC-FB0C2DCF4F71}"/>
            </c:ext>
          </c:extLst>
        </c:ser>
        <c:ser>
          <c:idx val="14"/>
          <c:order val="14"/>
          <c:tx>
            <c:strRef>
              <c:f>'增加值 (2001-2060, 2020RMB)'!$A$28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3074.9669372721828</c:v>
                </c:pt>
                <c:pt idx="16">
                  <c:v>3085.584710717701</c:v>
                </c:pt>
                <c:pt idx="17">
                  <c:v>3099.8085012299553</c:v>
                </c:pt>
                <c:pt idx="18">
                  <c:v>3116.4889105207881</c:v>
                </c:pt>
                <c:pt idx="19">
                  <c:v>3134.4590376026199</c:v>
                </c:pt>
                <c:pt idx="20">
                  <c:v>3152.5273681318808</c:v>
                </c:pt>
                <c:pt idx="21">
                  <c:v>3169.475131329772</c:v>
                </c:pt>
                <c:pt idx="22">
                  <c:v>3184.0582907073158</c:v>
                </c:pt>
                <c:pt idx="23">
                  <c:v>3195.124228835291</c:v>
                </c:pt>
                <c:pt idx="24">
                  <c:v>3201.9549119049911</c:v>
                </c:pt>
                <c:pt idx="25">
                  <c:v>3203.9518824715328</c:v>
                </c:pt>
                <c:pt idx="26">
                  <c:v>3200.5355245599671</c:v>
                </c:pt>
                <c:pt idx="27">
                  <c:v>3191.154251685829</c:v>
                </c:pt>
                <c:pt idx="28">
                  <c:v>3175.4368470743138</c:v>
                </c:pt>
                <c:pt idx="29">
                  <c:v>3153.6221463798688</c:v>
                </c:pt>
                <c:pt idx="30">
                  <c:v>3126.1208226764102</c:v>
                </c:pt>
                <c:pt idx="31">
                  <c:v>3093.365364843834</c:v>
                </c:pt>
                <c:pt idx="32">
                  <c:v>3055.8037975165848</c:v>
                </c:pt>
                <c:pt idx="33">
                  <c:v>3013.893720070153</c:v>
                </c:pt>
                <c:pt idx="34">
                  <c:v>2968.0967397968629</c:v>
                </c:pt>
                <c:pt idx="35">
                  <c:v>2918.8733580889939</c:v>
                </c:pt>
                <c:pt idx="36">
                  <c:v>2866.6783526058589</c:v>
                </c:pt>
                <c:pt idx="37">
                  <c:v>2811.9566834371171</c:v>
                </c:pt>
                <c:pt idx="38">
                  <c:v>2755.1399374898779</c:v>
                </c:pt>
                <c:pt idx="39">
                  <c:v>2696.6433129459201</c:v>
                </c:pt>
                <c:pt idx="40">
                  <c:v>2636.8631348061099</c:v>
                </c:pt>
                <c:pt idx="41">
                  <c:v>2576.174883340957</c:v>
                </c:pt>
                <c:pt idx="42">
                  <c:v>2514.9317097179123</c:v>
                </c:pt>
                <c:pt idx="43">
                  <c:v>2453.463407143548</c:v>
                </c:pt>
                <c:pt idx="44">
                  <c:v>2392.0758014661728</c:v>
                </c:pt>
                <c:pt idx="45">
                  <c:v>2331.0505222225161</c:v>
                </c:pt>
                <c:pt idx="46">
                  <c:v>2270.6451134475678</c:v>
                </c:pt>
                <c:pt idx="47">
                  <c:v>2211.0934430509101</c:v>
                </c:pt>
                <c:pt idx="48">
                  <c:v>2152.6063700383729</c:v>
                </c:pt>
                <c:pt idx="49">
                  <c:v>2095.3726301669349</c:v>
                </c:pt>
                <c:pt idx="50">
                  <c:v>2039.5599026074001</c:v>
                </c:pt>
                <c:pt idx="51">
                  <c:v>1985.3160227080409</c:v>
                </c:pt>
                <c:pt idx="52">
                  <c:v>1932.7703088664555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54-4A07-92CC-FB0C2DCF4F71}"/>
            </c:ext>
          </c:extLst>
        </c:ser>
        <c:ser>
          <c:idx val="15"/>
          <c:order val="15"/>
          <c:tx>
            <c:strRef>
              <c:f>'增加值 (2001-2060, 2020RMB)'!$A$29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1803.328477728581</c:v>
                </c:pt>
                <c:pt idx="16">
                  <c:v>1807.508599572305</c:v>
                </c:pt>
                <c:pt idx="17">
                  <c:v>1813.9724948720848</c:v>
                </c:pt>
                <c:pt idx="18">
                  <c:v>1822.019263709489</c:v>
                </c:pt>
                <c:pt idx="19">
                  <c:v>1830.9408722741459</c:v>
                </c:pt>
                <c:pt idx="20">
                  <c:v>1840.017317756912</c:v>
                </c:pt>
                <c:pt idx="21">
                  <c:v>1848.5145963603641</c:v>
                </c:pt>
                <c:pt idx="22">
                  <c:v>1855.6855584528637</c:v>
                </c:pt>
                <c:pt idx="23">
                  <c:v>1860.8415792036319</c:v>
                </c:pt>
                <c:pt idx="24">
                  <c:v>1863.563671190404</c:v>
                </c:pt>
                <c:pt idx="25">
                  <c:v>1863.507022356687</c:v>
                </c:pt>
                <c:pt idx="26">
                  <c:v>1860.3383506985699</c:v>
                </c:pt>
                <c:pt idx="27">
                  <c:v>1853.7411698078593</c:v>
                </c:pt>
                <c:pt idx="28">
                  <c:v>1843.5043763964611</c:v>
                </c:pt>
                <c:pt idx="29">
                  <c:v>1829.771890850976</c:v>
                </c:pt>
                <c:pt idx="30">
                  <c:v>1812.7868337587231</c:v>
                </c:pt>
                <c:pt idx="31">
                  <c:v>1792.80411222265</c:v>
                </c:pt>
                <c:pt idx="32">
                  <c:v>1770.0867973381889</c:v>
                </c:pt>
                <c:pt idx="33">
                  <c:v>1744.9026991516971</c:v>
                </c:pt>
                <c:pt idx="34">
                  <c:v>1717.52118063482</c:v>
                </c:pt>
                <c:pt idx="35">
                  <c:v>1688.2102427333041</c:v>
                </c:pt>
                <c:pt idx="36">
                  <c:v>1657.2339034159349</c:v>
                </c:pt>
                <c:pt idx="37">
                  <c:v>1624.8498850722119</c:v>
                </c:pt>
                <c:pt idx="38">
                  <c:v>1591.307616752076</c:v>
                </c:pt>
                <c:pt idx="39">
                  <c:v>1556.8465507273379</c:v>
                </c:pt>
                <c:pt idx="40">
                  <c:v>1521.6947867593531</c:v>
                </c:pt>
                <c:pt idx="41">
                  <c:v>1486.0679923185251</c:v>
                </c:pt>
                <c:pt idx="42">
                  <c:v>1450.1686028218028</c:v>
                </c:pt>
                <c:pt idx="43">
                  <c:v>1414.1852827084249</c:v>
                </c:pt>
                <c:pt idx="44">
                  <c:v>1378.292625812858</c:v>
                </c:pt>
                <c:pt idx="45">
                  <c:v>1342.651071949394</c:v>
                </c:pt>
                <c:pt idx="46">
                  <c:v>1307.407015815462</c:v>
                </c:pt>
                <c:pt idx="47">
                  <c:v>1272.6930841617609</c:v>
                </c:pt>
                <c:pt idx="48">
                  <c:v>1238.628557575013</c:v>
                </c:pt>
                <c:pt idx="49">
                  <c:v>1205.3199140809891</c:v>
                </c:pt>
                <c:pt idx="50">
                  <c:v>1172.861473012096</c:v>
                </c:pt>
                <c:pt idx="51">
                  <c:v>1141.3361191108861</c:v>
                </c:pt>
                <c:pt idx="52">
                  <c:v>1110.8160885809693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54-4A07-92CC-FB0C2DCF4F71}"/>
            </c:ext>
          </c:extLst>
        </c:ser>
        <c:ser>
          <c:idx val="16"/>
          <c:order val="16"/>
          <c:tx>
            <c:strRef>
              <c:f>'增加值 (2001-2060, 2020RMB)'!$A$30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4083.5417121216051</c:v>
                </c:pt>
                <c:pt idx="16">
                  <c:v>4074.87885817504</c:v>
                </c:pt>
                <c:pt idx="17">
                  <c:v>4067.4905352736218</c:v>
                </c:pt>
                <c:pt idx="18">
                  <c:v>4060.7948474631648</c:v>
                </c:pt>
                <c:pt idx="19">
                  <c:v>4054.214323575904</c:v>
                </c:pt>
                <c:pt idx="20">
                  <c:v>4047.1753434132352</c:v>
                </c:pt>
                <c:pt idx="21">
                  <c:v>4039.108379709995</c:v>
                </c:pt>
                <c:pt idx="22">
                  <c:v>4029.4490456340445</c:v>
                </c:pt>
                <c:pt idx="23">
                  <c:v>4017.556102300447</c:v>
                </c:pt>
                <c:pt idx="24">
                  <c:v>4002.4650454923458</c:v>
                </c:pt>
                <c:pt idx="25">
                  <c:v>3983.1493893157322</c:v>
                </c:pt>
                <c:pt idx="26">
                  <c:v>3958.6146314030921</c:v>
                </c:pt>
                <c:pt idx="27">
                  <c:v>3927.9104028047695</c:v>
                </c:pt>
                <c:pt idx="28">
                  <c:v>3890.3699251793319</c:v>
                </c:pt>
                <c:pt idx="29">
                  <c:v>3846.2807543595341</c:v>
                </c:pt>
                <c:pt idx="30">
                  <c:v>3796.179384133015</c:v>
                </c:pt>
                <c:pt idx="31">
                  <c:v>3740.6152357513552</c:v>
                </c:pt>
                <c:pt idx="32">
                  <c:v>3680.1440964453768</c:v>
                </c:pt>
                <c:pt idx="33">
                  <c:v>3615.3220361944759</c:v>
                </c:pt>
                <c:pt idx="34">
                  <c:v>3546.699857496295</c:v>
                </c:pt>
                <c:pt idx="35">
                  <c:v>3474.8181165974811</c:v>
                </c:pt>
                <c:pt idx="36">
                  <c:v>3400.202739386023</c:v>
                </c:pt>
                <c:pt idx="37">
                  <c:v>3323.36124118107</c:v>
                </c:pt>
                <c:pt idx="38">
                  <c:v>3244.7795471847389</c:v>
                </c:pt>
                <c:pt idx="39">
                  <c:v>3164.91939950705</c:v>
                </c:pt>
                <c:pt idx="40">
                  <c:v>3084.216327501495</c:v>
                </c:pt>
                <c:pt idx="41">
                  <c:v>3003.0781506595731</c:v>
                </c:pt>
                <c:pt idx="42">
                  <c:v>2921.8839774634876</c:v>
                </c:pt>
                <c:pt idx="43">
                  <c:v>2840.983659304145</c:v>
                </c:pt>
                <c:pt idx="44">
                  <c:v>2760.697655722764</c:v>
                </c:pt>
                <c:pt idx="45">
                  <c:v>2681.3172656924262</c:v>
                </c:pt>
                <c:pt idx="46">
                  <c:v>2603.1051792697249</c:v>
                </c:pt>
                <c:pt idx="47">
                  <c:v>2526.2963045584829</c:v>
                </c:pt>
                <c:pt idx="48">
                  <c:v>2451.0988263772761</c:v>
                </c:pt>
                <c:pt idx="49">
                  <c:v>2377.6954551537092</c:v>
                </c:pt>
                <c:pt idx="50">
                  <c:v>2306.2448272328761</c:v>
                </c:pt>
                <c:pt idx="51">
                  <c:v>2236.8830208468698</c:v>
                </c:pt>
                <c:pt idx="52">
                  <c:v>2169.7251553218339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54-4A07-92CC-FB0C2DCF4F71}"/>
            </c:ext>
          </c:extLst>
        </c:ser>
        <c:ser>
          <c:idx val="17"/>
          <c:order val="17"/>
          <c:tx>
            <c:strRef>
              <c:f>'增加值 (2001-2060, 2020RMB)'!$A$31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1974.4765775956921</c:v>
                </c:pt>
                <c:pt idx="16">
                  <c:v>2002.2910162683841</c:v>
                </c:pt>
                <c:pt idx="17">
                  <c:v>2030.9109008875303</c:v>
                </c:pt>
                <c:pt idx="18">
                  <c:v>2059.8225044781202</c:v>
                </c:pt>
                <c:pt idx="19">
                  <c:v>2088.4822075793468</c:v>
                </c:pt>
                <c:pt idx="20">
                  <c:v>2116.316464241318</c:v>
                </c:pt>
                <c:pt idx="21">
                  <c:v>2142.723280565348</c:v>
                </c:pt>
                <c:pt idx="22">
                  <c:v>2167.0753361405891</c:v>
                </c:pt>
                <c:pt idx="23">
                  <c:v>2188.7583928128129</c:v>
                </c:pt>
                <c:pt idx="24">
                  <c:v>2207.2808598001029</c:v>
                </c:pt>
                <c:pt idx="25">
                  <c:v>2222.1841510658842</c:v>
                </c:pt>
                <c:pt idx="26">
                  <c:v>2233.0162694620758</c:v>
                </c:pt>
                <c:pt idx="27">
                  <c:v>2239.3389771082379</c:v>
                </c:pt>
                <c:pt idx="28">
                  <c:v>2240.8335420146959</c:v>
                </c:pt>
                <c:pt idx="29">
                  <c:v>2237.6015923987102</c:v>
                </c:pt>
                <c:pt idx="30">
                  <c:v>2229.8719125715938</c:v>
                </c:pt>
                <c:pt idx="31">
                  <c:v>2217.8983678733798</c:v>
                </c:pt>
                <c:pt idx="32">
                  <c:v>2201.9553850261918</c:v>
                </c:pt>
                <c:pt idx="33">
                  <c:v>2182.3335002041499</c:v>
                </c:pt>
                <c:pt idx="34">
                  <c:v>2159.3350499671478</c:v>
                </c:pt>
                <c:pt idx="35">
                  <c:v>2133.270069396418</c:v>
                </c:pt>
                <c:pt idx="36">
                  <c:v>2104.4524505747472</c:v>
                </c:pt>
                <c:pt idx="37">
                  <c:v>2073.196403346029</c:v>
                </c:pt>
                <c:pt idx="38">
                  <c:v>2039.8132493910141</c:v>
                </c:pt>
                <c:pt idx="39">
                  <c:v>2004.6085703383851</c:v>
                </c:pt>
                <c:pt idx="40">
                  <c:v>1967.879721105435</c:v>
                </c:pt>
                <c:pt idx="41">
                  <c:v>1929.913711089376</c:v>
                </c:pt>
                <c:pt idx="42">
                  <c:v>1890.9854483145673</c:v>
                </c:pt>
                <c:pt idx="43">
                  <c:v>1851.356335240509</c:v>
                </c:pt>
                <c:pt idx="44">
                  <c:v>1811.273199666553</c:v>
                </c:pt>
                <c:pt idx="45">
                  <c:v>1770.9675400107969</c:v>
                </c:pt>
                <c:pt idx="46">
                  <c:v>1730.6550611432581</c:v>
                </c:pt>
                <c:pt idx="47">
                  <c:v>1690.5354748434979</c:v>
                </c:pt>
                <c:pt idx="48">
                  <c:v>1650.792537741203</c:v>
                </c:pt>
                <c:pt idx="49">
                  <c:v>1611.594299183628</c:v>
                </c:pt>
                <c:pt idx="50">
                  <c:v>1573.0935317503261</c:v>
                </c:pt>
                <c:pt idx="51">
                  <c:v>1535.4283179954191</c:v>
                </c:pt>
                <c:pt idx="52">
                  <c:v>1498.7227683358776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54-4A07-92CC-FB0C2DCF4F71}"/>
            </c:ext>
          </c:extLst>
        </c:ser>
        <c:ser>
          <c:idx val="18"/>
          <c:order val="18"/>
          <c:tx>
            <c:strRef>
              <c:f>'增加值 (2001-2060, 2020RMB)'!$A$32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2351.6626596700789</c:v>
                </c:pt>
                <c:pt idx="16">
                  <c:v>2370.8682163354961</c:v>
                </c:pt>
                <c:pt idx="17">
                  <c:v>2391.9749109557524</c:v>
                </c:pt>
                <c:pt idx="18">
                  <c:v>2414.2353766732122</c:v>
                </c:pt>
                <c:pt idx="19">
                  <c:v>2436.875560476351</c:v>
                </c:pt>
                <c:pt idx="20">
                  <c:v>2459.092234815761</c:v>
                </c:pt>
                <c:pt idx="21">
                  <c:v>2480.0530861044681</c:v>
                </c:pt>
                <c:pt idx="22">
                  <c:v>2498.8995454830201</c:v>
                </c:pt>
                <c:pt idx="23">
                  <c:v>2514.817605418888</c:v>
                </c:pt>
                <c:pt idx="24">
                  <c:v>2527.2443509744148</c:v>
                </c:pt>
                <c:pt idx="25">
                  <c:v>2535.685819248738</c:v>
                </c:pt>
                <c:pt idx="26">
                  <c:v>2539.659719328909</c:v>
                </c:pt>
                <c:pt idx="27">
                  <c:v>2538.7031266756785</c:v>
                </c:pt>
                <c:pt idx="28">
                  <c:v>2532.4931206247061</c:v>
                </c:pt>
                <c:pt idx="29">
                  <c:v>2521.1883398788959</c:v>
                </c:pt>
                <c:pt idx="30">
                  <c:v>2505.0875540401962</c:v>
                </c:pt>
                <c:pt idx="31">
                  <c:v>2484.5118754618829</c:v>
                </c:pt>
                <c:pt idx="32">
                  <c:v>2459.7996614821182</c:v>
                </c:pt>
                <c:pt idx="33">
                  <c:v>2431.3015964559768</c:v>
                </c:pt>
                <c:pt idx="34">
                  <c:v>2399.3760250952751</c:v>
                </c:pt>
                <c:pt idx="35">
                  <c:v>2364.3845957561412</c:v>
                </c:pt>
                <c:pt idx="36">
                  <c:v>2326.6882594899739</c:v>
                </c:pt>
                <c:pt idx="37">
                  <c:v>2286.6436582547599</c:v>
                </c:pt>
                <c:pt idx="38">
                  <c:v>2244.5999239700868</c:v>
                </c:pt>
                <c:pt idx="39">
                  <c:v>2200.895899324702</c:v>
                </c:pt>
                <c:pt idx="40">
                  <c:v>2155.857781583341</c:v>
                </c:pt>
                <c:pt idx="41">
                  <c:v>2109.7971822022209</c:v>
                </c:pt>
                <c:pt idx="42">
                  <c:v>2063.0095879099567</c:v>
                </c:pt>
                <c:pt idx="43">
                  <c:v>2015.7732030538079</c:v>
                </c:pt>
                <c:pt idx="44">
                  <c:v>1968.3481484217691</c:v>
                </c:pt>
                <c:pt idx="45">
                  <c:v>1920.975988367245</c:v>
                </c:pt>
                <c:pt idx="46">
                  <c:v>1873.8795557977139</c:v>
                </c:pt>
                <c:pt idx="47">
                  <c:v>1827.2630433366439</c:v>
                </c:pt>
                <c:pt idx="48">
                  <c:v>1781.312328611662</c:v>
                </c:pt>
                <c:pt idx="49">
                  <c:v>1736.1955020382561</c:v>
                </c:pt>
                <c:pt idx="50">
                  <c:v>1692.0635665335101</c:v>
                </c:pt>
                <c:pt idx="51">
                  <c:v>1649.051280187382</c:v>
                </c:pt>
                <c:pt idx="52">
                  <c:v>1607.2781149259954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154-4A07-92CC-FB0C2DCF4F71}"/>
            </c:ext>
          </c:extLst>
        </c:ser>
        <c:ser>
          <c:idx val="19"/>
          <c:order val="19"/>
          <c:tx>
            <c:strRef>
              <c:f>'增加值 (2001-2060, 2020RMB)'!$A$33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6180.4949419314253</c:v>
                </c:pt>
                <c:pt idx="16">
                  <c:v>6144.477409340876</c:v>
                </c:pt>
                <c:pt idx="17">
                  <c:v>6114.62856159899</c:v>
                </c:pt>
                <c:pt idx="18">
                  <c:v>6089.2701636368793</c:v>
                </c:pt>
                <c:pt idx="19">
                  <c:v>6066.7631498058818</c:v>
                </c:pt>
                <c:pt idx="20">
                  <c:v>6045.4978867750388</c:v>
                </c:pt>
                <c:pt idx="21">
                  <c:v>6023.8887809727894</c:v>
                </c:pt>
                <c:pt idx="22">
                  <c:v>6000.373095373684</c:v>
                </c:pt>
                <c:pt idx="23">
                  <c:v>5973.4250950956011</c:v>
                </c:pt>
                <c:pt idx="24">
                  <c:v>5941.5961557606424</c:v>
                </c:pt>
                <c:pt idx="25">
                  <c:v>5903.490636755685</c:v>
                </c:pt>
                <c:pt idx="26">
                  <c:v>5857.7680244720696</c:v>
                </c:pt>
                <c:pt idx="27">
                  <c:v>5803.1594168278943</c:v>
                </c:pt>
                <c:pt idx="28">
                  <c:v>5738.8036600105834</c:v>
                </c:pt>
                <c:pt idx="29">
                  <c:v>5665.1866421618352</c:v>
                </c:pt>
                <c:pt idx="30">
                  <c:v>5583.1399835123166</c:v>
                </c:pt>
                <c:pt idx="31">
                  <c:v>5493.5071989729377</c:v>
                </c:pt>
                <c:pt idx="32">
                  <c:v>5397.1341635810813</c:v>
                </c:pt>
                <c:pt idx="33">
                  <c:v>5294.8603860518188</c:v>
                </c:pt>
                <c:pt idx="34">
                  <c:v>5187.5111559116795</c:v>
                </c:pt>
                <c:pt idx="35">
                  <c:v>5075.8906053893379</c:v>
                </c:pt>
                <c:pt idx="36">
                  <c:v>4960.7757048899584</c:v>
                </c:pt>
                <c:pt idx="37">
                  <c:v>4842.9111908248478</c:v>
                </c:pt>
                <c:pt idx="38">
                  <c:v>4723.0054070298766</c:v>
                </c:pt>
                <c:pt idx="39">
                  <c:v>4601.7270261006424</c:v>
                </c:pt>
                <c:pt idx="40">
                  <c:v>4479.702604726549</c:v>
                </c:pt>
                <c:pt idx="41">
                  <c:v>4357.5149174625103</c:v>
                </c:pt>
                <c:pt idx="42">
                  <c:v>4235.7020062163911</c:v>
                </c:pt>
                <c:pt idx="43">
                  <c:v>4114.7568778795339</c:v>
                </c:pt>
                <c:pt idx="44">
                  <c:v>3995.1277797759381</c:v>
                </c:pt>
                <c:pt idx="45">
                  <c:v>3877.2189817177218</c:v>
                </c:pt>
                <c:pt idx="46">
                  <c:v>3761.3919941803561</c:v>
                </c:pt>
                <c:pt idx="47">
                  <c:v>3647.9671541968241</c:v>
                </c:pt>
                <c:pt idx="48">
                  <c:v>3537.2255137670541</c:v>
                </c:pt>
                <c:pt idx="49">
                  <c:v>3429.410969648588</c:v>
                </c:pt>
                <c:pt idx="50">
                  <c:v>3324.732578115887</c:v>
                </c:pt>
                <c:pt idx="51">
                  <c:v>3223.3670034470329</c:v>
                </c:pt>
                <c:pt idx="52">
                  <c:v>3125.4610543394879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154-4A07-92CC-FB0C2DCF4F71}"/>
            </c:ext>
          </c:extLst>
        </c:ser>
        <c:ser>
          <c:idx val="20"/>
          <c:order val="20"/>
          <c:tx>
            <c:strRef>
              <c:f>'增加值 (2001-2060, 2020RMB)'!$A$34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24376.003680584141</c:v>
                </c:pt>
                <c:pt idx="16">
                  <c:v>24648.09906390922</c:v>
                </c:pt>
                <c:pt idx="17">
                  <c:v>24872.253978717716</c:v>
                </c:pt>
                <c:pt idx="18">
                  <c:v>25054.148599326221</c:v>
                </c:pt>
                <c:pt idx="19">
                  <c:v>25199.907667049629</c:v>
                </c:pt>
                <c:pt idx="20">
                  <c:v>25315.997767605251</c:v>
                </c:pt>
                <c:pt idx="21">
                  <c:v>25409.13903983853</c:v>
                </c:pt>
                <c:pt idx="22">
                  <c:v>25486.233386175154</c:v>
                </c:pt>
                <c:pt idx="23">
                  <c:v>25551.723633391441</c:v>
                </c:pt>
                <c:pt idx="24">
                  <c:v>25599.75136249034</c:v>
                </c:pt>
                <c:pt idx="25">
                  <c:v>25621.850024835068</c:v>
                </c:pt>
                <c:pt idx="26">
                  <c:v>25609.588830270932</c:v>
                </c:pt>
                <c:pt idx="27">
                  <c:v>25554.671473412309</c:v>
                </c:pt>
                <c:pt idx="28">
                  <c:v>25450.767921765259</c:v>
                </c:pt>
                <c:pt idx="29">
                  <c:v>25298.69912382328</c:v>
                </c:pt>
                <c:pt idx="30">
                  <c:v>25101.23811341426</c:v>
                </c:pt>
                <c:pt idx="31">
                  <c:v>24861.349260812331</c:v>
                </c:pt>
                <c:pt idx="32">
                  <c:v>24582.145635697609</c:v>
                </c:pt>
                <c:pt idx="33">
                  <c:v>24266.847717298679</c:v>
                </c:pt>
                <c:pt idx="34">
                  <c:v>23918.744009513979</c:v>
                </c:pt>
                <c:pt idx="35">
                  <c:v>23541.154027033939</c:v>
                </c:pt>
                <c:pt idx="36">
                  <c:v>23137.394026085371</c:v>
                </c:pt>
                <c:pt idx="37">
                  <c:v>22710.745762875438</c:v>
                </c:pt>
                <c:pt idx="38">
                  <c:v>22264.428476227429</c:v>
                </c:pt>
                <c:pt idx="39">
                  <c:v>21801.574209996648</c:v>
                </c:pt>
                <c:pt idx="40">
                  <c:v>21325.206516963972</c:v>
                </c:pt>
                <c:pt idx="41">
                  <c:v>20838.222519980729</c:v>
                </c:pt>
                <c:pt idx="42">
                  <c:v>20343.378248782839</c:v>
                </c:pt>
                <c:pt idx="43">
                  <c:v>19843.277122386229</c:v>
                </c:pt>
                <c:pt idx="44">
                  <c:v>19340.361407316512</c:v>
                </c:pt>
                <c:pt idx="45">
                  <c:v>18836.906450874048</c:v>
                </c:pt>
                <c:pt idx="46">
                  <c:v>18335.017465748981</c:v>
                </c:pt>
                <c:pt idx="47">
                  <c:v>17836.62862699727</c:v>
                </c:pt>
                <c:pt idx="48">
                  <c:v>17343.50423395446</c:v>
                </c:pt>
                <c:pt idx="49">
                  <c:v>16857.241687336558</c:v>
                </c:pt>
                <c:pt idx="50">
                  <c:v>16379.2760347329</c:v>
                </c:pt>
                <c:pt idx="51">
                  <c:v>15910.88584511957</c:v>
                </c:pt>
                <c:pt idx="52">
                  <c:v>15453.200184102305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154-4A07-92CC-FB0C2DCF4F71}"/>
            </c:ext>
          </c:extLst>
        </c:ser>
        <c:ser>
          <c:idx val="21"/>
          <c:order val="21"/>
          <c:tx>
            <c:strRef>
              <c:f>'增加值 (2001-2060, 2020RMB)'!$A$35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12373.25880298162</c:v>
                </c:pt>
                <c:pt idx="16">
                  <c:v>13238.402832081531</c:v>
                </c:pt>
                <c:pt idx="17">
                  <c:v>14124.329434170813</c:v>
                </c:pt>
                <c:pt idx="18">
                  <c:v>15033.416935832931</c:v>
                </c:pt>
                <c:pt idx="19">
                  <c:v>15969.15919237977</c:v>
                </c:pt>
                <c:pt idx="20">
                  <c:v>16936.269227219469</c:v>
                </c:pt>
                <c:pt idx="21">
                  <c:v>17940.794202116049</c:v>
                </c:pt>
                <c:pt idx="22">
                  <c:v>18990.249194831536</c:v>
                </c:pt>
                <c:pt idx="23">
                  <c:v>20090.335156518999</c:v>
                </c:pt>
                <c:pt idx="24">
                  <c:v>21233.223443057799</c:v>
                </c:pt>
                <c:pt idx="25">
                  <c:v>22405.115527583381</c:v>
                </c:pt>
                <c:pt idx="26">
                  <c:v>23589.09256256498</c:v>
                </c:pt>
                <c:pt idx="27">
                  <c:v>24765.00103701332</c:v>
                </c:pt>
                <c:pt idx="28">
                  <c:v>25912.87954163165</c:v>
                </c:pt>
                <c:pt idx="29">
                  <c:v>27024.50800409387</c:v>
                </c:pt>
                <c:pt idx="30">
                  <c:v>28095.460565708971</c:v>
                </c:pt>
                <c:pt idx="31">
                  <c:v>29122.067274099962</c:v>
                </c:pt>
                <c:pt idx="32">
                  <c:v>30101.447244884479</c:v>
                </c:pt>
                <c:pt idx="33">
                  <c:v>31031.525684782031</c:v>
                </c:pt>
                <c:pt idx="34">
                  <c:v>31911.035874970348</c:v>
                </c:pt>
                <c:pt idx="35">
                  <c:v>32739.507586575091</c:v>
                </c:pt>
                <c:pt idx="36">
                  <c:v>33517.243686817972</c:v>
                </c:pt>
                <c:pt idx="37">
                  <c:v>34245.286894433812</c:v>
                </c:pt>
                <c:pt idx="38">
                  <c:v>34925.378760430023</c:v>
                </c:pt>
                <c:pt idx="39">
                  <c:v>35559.912992359546</c:v>
                </c:pt>
                <c:pt idx="40">
                  <c:v>36151.885216743562</c:v>
                </c:pt>
                <c:pt idx="41">
                  <c:v>36704.841196555441</c:v>
                </c:pt>
                <c:pt idx="42">
                  <c:v>37222.825401127302</c:v>
                </c:pt>
                <c:pt idx="43">
                  <c:v>37710.331677088987</c:v>
                </c:pt>
                <c:pt idx="44">
                  <c:v>38172.257603343613</c:v>
                </c:pt>
                <c:pt idx="45">
                  <c:v>38613.863942261021</c:v>
                </c:pt>
                <c:pt idx="46">
                  <c:v>39040.740433871288</c:v>
                </c:pt>
                <c:pt idx="47">
                  <c:v>39458.779029369063</c:v>
                </c:pt>
                <c:pt idx="48">
                  <c:v>39874.155533024481</c:v>
                </c:pt>
                <c:pt idx="49">
                  <c:v>40293.320524866867</c:v>
                </c:pt>
                <c:pt idx="50">
                  <c:v>40723.000376574579</c:v>
                </c:pt>
                <c:pt idx="51">
                  <c:v>41170.209155521188</c:v>
                </c:pt>
                <c:pt idx="52">
                  <c:v>41642.272242221181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54-4A07-92CC-FB0C2DCF4F71}"/>
            </c:ext>
          </c:extLst>
        </c:ser>
        <c:ser>
          <c:idx val="22"/>
          <c:order val="22"/>
          <c:tx>
            <c:strRef>
              <c:f>'增加值 (2001-2060, 2020RMB)'!$A$36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1894.763309421377</c:v>
                </c:pt>
                <c:pt idx="16">
                  <c:v>1926.37474566893</c:v>
                </c:pt>
                <c:pt idx="17">
                  <c:v>1952.6218699508518</c:v>
                </c:pt>
                <c:pt idx="18">
                  <c:v>1974.168450164326</c:v>
                </c:pt>
                <c:pt idx="19">
                  <c:v>1991.7557096118351</c:v>
                </c:pt>
                <c:pt idx="20">
                  <c:v>2006.184459217227</c:v>
                </c:pt>
                <c:pt idx="21">
                  <c:v>2018.29991303835</c:v>
                </c:pt>
                <c:pt idx="22">
                  <c:v>2028.9797424995872</c:v>
                </c:pt>
                <c:pt idx="23">
                  <c:v>2038.8522798695219</c:v>
                </c:pt>
                <c:pt idx="24">
                  <c:v>2047.4613875102741</c:v>
                </c:pt>
                <c:pt idx="25">
                  <c:v>2054.0698414011808</c:v>
                </c:pt>
                <c:pt idx="26">
                  <c:v>2057.935868082393</c:v>
                </c:pt>
                <c:pt idx="27">
                  <c:v>2058.32158997017</c:v>
                </c:pt>
                <c:pt idx="28">
                  <c:v>2054.6495283234271</c:v>
                </c:pt>
                <c:pt idx="29">
                  <c:v>2046.947840998123</c:v>
                </c:pt>
                <c:pt idx="30">
                  <c:v>2035.412420634967</c:v>
                </c:pt>
                <c:pt idx="31">
                  <c:v>2020.257858733401</c:v>
                </c:pt>
                <c:pt idx="32">
                  <c:v>2001.714107122566</c:v>
                </c:pt>
                <c:pt idx="33">
                  <c:v>1980.023184972481</c:v>
                </c:pt>
                <c:pt idx="34">
                  <c:v>1955.435981218993</c:v>
                </c:pt>
                <c:pt idx="35">
                  <c:v>1928.209195710227</c:v>
                </c:pt>
                <c:pt idx="36">
                  <c:v>1898.6024555253109</c:v>
                </c:pt>
                <c:pt idx="37">
                  <c:v>1866.8756359793599</c:v>
                </c:pt>
                <c:pt idx="38">
                  <c:v>1833.28640899884</c:v>
                </c:pt>
                <c:pt idx="39">
                  <c:v>1798.0880349889751</c:v>
                </c:pt>
                <c:pt idx="40">
                  <c:v>1761.527408152336</c:v>
                </c:pt>
                <c:pt idx="41">
                  <c:v>1723.8433595589161</c:v>
                </c:pt>
                <c:pt idx="42">
                  <c:v>1685.2652171887594</c:v>
                </c:pt>
                <c:pt idx="43">
                  <c:v>1646.0116177187761</c:v>
                </c:pt>
                <c:pt idx="44">
                  <c:v>1606.289561030889</c:v>
                </c:pt>
                <c:pt idx="45">
                  <c:v>1566.293695284199</c:v>
                </c:pt>
                <c:pt idx="46">
                  <c:v>1526.2058179051789</c:v>
                </c:pt>
                <c:pt idx="47">
                  <c:v>1486.1945759781861</c:v>
                </c:pt>
                <c:pt idx="48">
                  <c:v>1446.415348222999</c:v>
                </c:pt>
                <c:pt idx="49">
                  <c:v>1407.010289976535</c:v>
                </c:pt>
                <c:pt idx="50">
                  <c:v>1368.1085222967411</c:v>
                </c:pt>
                <c:pt idx="51">
                  <c:v>1329.826446418253</c:v>
                </c:pt>
                <c:pt idx="52">
                  <c:v>1292.2681652513131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54-4A07-92CC-FB0C2DCF4F71}"/>
            </c:ext>
          </c:extLst>
        </c:ser>
        <c:ser>
          <c:idx val="23"/>
          <c:order val="23"/>
          <c:tx>
            <c:strRef>
              <c:f>'增加值 (2001-2060, 2020RMB)'!$A$37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7736.0273775471805</c:v>
                </c:pt>
                <c:pt idx="16">
                  <c:v>7777.3309549576052</c:v>
                </c:pt>
                <c:pt idx="17">
                  <c:v>7826.5416213101062</c:v>
                </c:pt>
                <c:pt idx="18">
                  <c:v>7880.9496113232462</c:v>
                </c:pt>
                <c:pt idx="19">
                  <c:v>7937.7813336185673</c:v>
                </c:pt>
                <c:pt idx="20">
                  <c:v>7994.1857622409934</c:v>
                </c:pt>
                <c:pt idx="21">
                  <c:v>8047.2308707805123</c:v>
                </c:pt>
                <c:pt idx="22">
                  <c:v>8093.9105980840595</c:v>
                </c:pt>
                <c:pt idx="23">
                  <c:v>8131.4147080450648</c:v>
                </c:pt>
                <c:pt idx="24">
                  <c:v>8157.9201267006083</c:v>
                </c:pt>
                <c:pt idx="25">
                  <c:v>8171.8753657731086</c:v>
                </c:pt>
                <c:pt idx="26">
                  <c:v>8171.7728269031504</c:v>
                </c:pt>
                <c:pt idx="27">
                  <c:v>8156.1727939969487</c:v>
                </c:pt>
                <c:pt idx="28">
                  <c:v>8124.0920963883664</c:v>
                </c:pt>
                <c:pt idx="29">
                  <c:v>8076.1020042031096</c:v>
                </c:pt>
                <c:pt idx="30">
                  <c:v>8013.2174527103016</c:v>
                </c:pt>
                <c:pt idx="31">
                  <c:v>7936.5155837635848</c:v>
                </c:pt>
                <c:pt idx="32">
                  <c:v>7847.1195367652899</c:v>
                </c:pt>
                <c:pt idx="33">
                  <c:v>7746.1829628734949</c:v>
                </c:pt>
                <c:pt idx="34">
                  <c:v>7634.8754698303655</c:v>
                </c:pt>
                <c:pt idx="35">
                  <c:v>7514.3691630818812</c:v>
                </c:pt>
                <c:pt idx="36">
                  <c:v>7385.8264079763612</c:v>
                </c:pt>
                <c:pt idx="37">
                  <c:v>7250.3888988310036</c:v>
                </c:pt>
                <c:pt idx="38">
                  <c:v>7109.1680843859131</c:v>
                </c:pt>
                <c:pt idx="39">
                  <c:v>6963.2369662736837</c:v>
                </c:pt>
                <c:pt idx="40">
                  <c:v>6813.6232580655796</c:v>
                </c:pt>
                <c:pt idx="41">
                  <c:v>6661.3038674782138</c:v>
                </c:pt>
                <c:pt idx="42">
                  <c:v>6507.2006435426056</c:v>
                </c:pt>
                <c:pt idx="43">
                  <c:v>6352.177313909553</c:v>
                </c:pt>
                <c:pt idx="44">
                  <c:v>6197.0375248374039</c:v>
                </c:pt>
                <c:pt idx="45">
                  <c:v>6042.5238875321966</c:v>
                </c:pt>
                <c:pt idx="46">
                  <c:v>5889.3179290655053</c:v>
                </c:pt>
                <c:pt idx="47">
                  <c:v>5738.0408437208171</c:v>
                </c:pt>
                <c:pt idx="48">
                  <c:v>5589.2549409166841</c:v>
                </c:pt>
                <c:pt idx="49">
                  <c:v>5443.465688426254</c:v>
                </c:pt>
                <c:pt idx="50">
                  <c:v>5301.1242540573758</c:v>
                </c:pt>
                <c:pt idx="51">
                  <c:v>5162.6304548940661</c:v>
                </c:pt>
                <c:pt idx="52">
                  <c:v>5028.3360302759274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154-4A07-92CC-FB0C2DCF4F71}"/>
            </c:ext>
          </c:extLst>
        </c:ser>
        <c:ser>
          <c:idx val="24"/>
          <c:order val="24"/>
          <c:tx>
            <c:strRef>
              <c:f>'增加值 (2001-2060, 2020RMB)'!$A$38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16272.944571634311</c:v>
                </c:pt>
                <c:pt idx="16">
                  <c:v>16396.780934476908</c:v>
                </c:pt>
                <c:pt idx="17">
                  <c:v>16498.081980858467</c:v>
                </c:pt>
                <c:pt idx="18">
                  <c:v>16579.21830724967</c:v>
                </c:pt>
                <c:pt idx="19">
                  <c:v>16642.69633924236</c:v>
                </c:pt>
                <c:pt idx="20">
                  <c:v>16691.12811250109</c:v>
                </c:pt>
                <c:pt idx="21">
                  <c:v>16727.204661349071</c:v>
                </c:pt>
                <c:pt idx="22">
                  <c:v>16753.67342497499</c:v>
                </c:pt>
                <c:pt idx="23">
                  <c:v>16771.97947453137</c:v>
                </c:pt>
                <c:pt idx="24">
                  <c:v>16778.223276556779</c:v>
                </c:pt>
                <c:pt idx="25">
                  <c:v>16767.18077722306</c:v>
                </c:pt>
                <c:pt idx="26">
                  <c:v>16733.685927539351</c:v>
                </c:pt>
                <c:pt idx="27">
                  <c:v>16672.692069041546</c:v>
                </c:pt>
                <c:pt idx="28">
                  <c:v>16580.419782769379</c:v>
                </c:pt>
                <c:pt idx="29">
                  <c:v>16457.595875212901</c:v>
                </c:pt>
                <c:pt idx="30">
                  <c:v>16306.164381392529</c:v>
                </c:pt>
                <c:pt idx="31">
                  <c:v>16128.17621042441</c:v>
                </c:pt>
                <c:pt idx="32">
                  <c:v>15925.76106339272</c:v>
                </c:pt>
                <c:pt idx="33">
                  <c:v>15701.100550838781</c:v>
                </c:pt>
                <c:pt idx="34">
                  <c:v>15456.402843211979</c:v>
                </c:pt>
                <c:pt idx="35">
                  <c:v>15193.879124289941</c:v>
                </c:pt>
                <c:pt idx="36">
                  <c:v>14915.722055109471</c:v>
                </c:pt>
                <c:pt idx="37">
                  <c:v>14624.086395880309</c:v>
                </c:pt>
                <c:pt idx="38">
                  <c:v>14321.071876939101</c:v>
                </c:pt>
                <c:pt idx="39">
                  <c:v>14008.708358022061</c:v>
                </c:pt>
                <c:pt idx="40">
                  <c:v>13688.943268719449</c:v>
                </c:pt>
                <c:pt idx="41">
                  <c:v>13363.631282383971</c:v>
                </c:pt>
                <c:pt idx="42">
                  <c:v>13034.526141246362</c:v>
                </c:pt>
                <c:pt idx="43">
                  <c:v>12703.274522081119</c:v>
                </c:pt>
                <c:pt idx="44">
                  <c:v>12371.411809327299</c:v>
                </c:pt>
                <c:pt idx="45">
                  <c:v>12040.359625826581</c:v>
                </c:pt>
                <c:pt idx="46">
                  <c:v>11711.424959903979</c:v>
                </c:pt>
                <c:pt idx="47">
                  <c:v>11385.800720909871</c:v>
                </c:pt>
                <c:pt idx="48">
                  <c:v>11064.56755303854</c:v>
                </c:pt>
                <c:pt idx="49">
                  <c:v>10748.696738675681</c:v>
                </c:pt>
                <c:pt idx="50">
                  <c:v>10439.054027138151</c:v>
                </c:pt>
                <c:pt idx="51">
                  <c:v>10136.40423188903</c:v>
                </c:pt>
                <c:pt idx="52">
                  <c:v>9841.416448606662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154-4A07-92CC-FB0C2DCF4F71}"/>
            </c:ext>
          </c:extLst>
        </c:ser>
        <c:ser>
          <c:idx val="25"/>
          <c:order val="25"/>
          <c:tx>
            <c:strRef>
              <c:f>'增加值 (2001-2060, 2020RMB)'!$A$39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21694.901780629611</c:v>
                </c:pt>
                <c:pt idx="16">
                  <c:v>21855.012864003911</c:v>
                </c:pt>
                <c:pt idx="17">
                  <c:v>21985.911848268199</c:v>
                </c:pt>
                <c:pt idx="18">
                  <c:v>22090.629548991139</c:v>
                </c:pt>
                <c:pt idx="19">
                  <c:v>22172.366798312079</c:v>
                </c:pt>
                <c:pt idx="20">
                  <c:v>22234.456828702041</c:v>
                </c:pt>
                <c:pt idx="21">
                  <c:v>22280.332064909591</c:v>
                </c:pt>
                <c:pt idx="22">
                  <c:v>22313.495819007916</c:v>
                </c:pt>
                <c:pt idx="23">
                  <c:v>22335.744980118969</c:v>
                </c:pt>
                <c:pt idx="24">
                  <c:v>22341.8819616855</c:v>
                </c:pt>
                <c:pt idx="25">
                  <c:v>22324.978695556361</c:v>
                </c:pt>
                <c:pt idx="26">
                  <c:v>22278.187166692311</c:v>
                </c:pt>
                <c:pt idx="27">
                  <c:v>22194.820854591362</c:v>
                </c:pt>
                <c:pt idx="28">
                  <c:v>22069.878669094371</c:v>
                </c:pt>
                <c:pt idx="29">
                  <c:v>21904.344353154102</c:v>
                </c:pt>
                <c:pt idx="30">
                  <c:v>21700.817121925749</c:v>
                </c:pt>
                <c:pt idx="31">
                  <c:v>21462.036888001549</c:v>
                </c:pt>
                <c:pt idx="32">
                  <c:v>21190.846863987179</c:v>
                </c:pt>
                <c:pt idx="33">
                  <c:v>20890.1577892858</c:v>
                </c:pt>
                <c:pt idx="34">
                  <c:v>20562.91422204323</c:v>
                </c:pt>
                <c:pt idx="35">
                  <c:v>20212.063252626871</c:v>
                </c:pt>
                <c:pt idx="36">
                  <c:v>19840.52591169942</c:v>
                </c:pt>
                <c:pt idx="37">
                  <c:v>19451.17146593042</c:v>
                </c:pt>
                <c:pt idx="38">
                  <c:v>19046.794719322879</c:v>
                </c:pt>
                <c:pt idx="39">
                  <c:v>18630.09636932088</c:v>
                </c:pt>
                <c:pt idx="40">
                  <c:v>18203.66640525014</c:v>
                </c:pt>
                <c:pt idx="41">
                  <c:v>17769.970482840072</c:v>
                </c:pt>
                <c:pt idx="42">
                  <c:v>17331.339162890712</c:v>
                </c:pt>
                <c:pt idx="43">
                  <c:v>16889.959864618711</c:v>
                </c:pt>
                <c:pt idx="44">
                  <c:v>16447.871354653718</c:v>
                </c:pt>
                <c:pt idx="45">
                  <c:v>16006.960570677091</c:v>
                </c:pt>
                <c:pt idx="46">
                  <c:v>15568.96156377541</c:v>
                </c:pt>
                <c:pt idx="47">
                  <c:v>15135.4563350763</c:v>
                </c:pt>
                <c:pt idx="48">
                  <c:v>14707.877339443021</c:v>
                </c:pt>
                <c:pt idx="49">
                  <c:v>14287.51143116807</c:v>
                </c:pt>
                <c:pt idx="50">
                  <c:v>13875.50503296943</c:v>
                </c:pt>
                <c:pt idx="51">
                  <c:v>13472.870319403541</c:v>
                </c:pt>
                <c:pt idx="52">
                  <c:v>13080.492218353669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154-4A07-92CC-FB0C2DCF4F71}"/>
            </c:ext>
          </c:extLst>
        </c:ser>
        <c:ser>
          <c:idx val="26"/>
          <c:order val="26"/>
          <c:tx>
            <c:strRef>
              <c:f>'增加值 (2001-2060, 2020RMB)'!$A$40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13383.92401520418</c:v>
                </c:pt>
                <c:pt idx="16">
                  <c:v>13534.188758967661</c:v>
                </c:pt>
                <c:pt idx="17">
                  <c:v>13657.991623056834</c:v>
                </c:pt>
                <c:pt idx="18">
                  <c:v>13758.47154031404</c:v>
                </c:pt>
                <c:pt idx="19">
                  <c:v>13839.01441683681</c:v>
                </c:pt>
                <c:pt idx="20">
                  <c:v>13903.19605290557</c:v>
                </c:pt>
                <c:pt idx="21">
                  <c:v>13954.73309600902</c:v>
                </c:pt>
                <c:pt idx="22">
                  <c:v>13997.443183483085</c:v>
                </c:pt>
                <c:pt idx="23">
                  <c:v>14033.7887810107</c:v>
                </c:pt>
                <c:pt idx="24">
                  <c:v>14060.55312629457</c:v>
                </c:pt>
                <c:pt idx="25">
                  <c:v>14073.08108347592</c:v>
                </c:pt>
                <c:pt idx="26">
                  <c:v>14066.736600546739</c:v>
                </c:pt>
                <c:pt idx="27">
                  <c:v>14036.956982672838</c:v>
                </c:pt>
                <c:pt idx="28">
                  <c:v>13980.259800235781</c:v>
                </c:pt>
                <c:pt idx="29">
                  <c:v>13897.093013256161</c:v>
                </c:pt>
                <c:pt idx="30">
                  <c:v>13788.977701403561</c:v>
                </c:pt>
                <c:pt idx="31">
                  <c:v>13657.54031487553</c:v>
                </c:pt>
                <c:pt idx="32">
                  <c:v>13504.48925975095</c:v>
                </c:pt>
                <c:pt idx="33">
                  <c:v>13331.592218358341</c:v>
                </c:pt>
                <c:pt idx="34">
                  <c:v>13140.65451149306</c:v>
                </c:pt>
                <c:pt idx="35">
                  <c:v>12933.498758964281</c:v>
                </c:pt>
                <c:pt idx="36">
                  <c:v>12711.94604423794</c:v>
                </c:pt>
                <c:pt idx="37">
                  <c:v>12477.7987392265</c:v>
                </c:pt>
                <c:pt idx="38">
                  <c:v>12232.825097720361</c:v>
                </c:pt>
                <c:pt idx="39">
                  <c:v>11978.745681504861</c:v>
                </c:pt>
                <c:pt idx="40">
                  <c:v>11717.22164259586</c:v>
                </c:pt>
                <c:pt idx="41">
                  <c:v>11449.84484878227</c:v>
                </c:pt>
                <c:pt idx="42">
                  <c:v>11178.129808116626</c:v>
                </c:pt>
                <c:pt idx="43">
                  <c:v>10903.50732130446</c:v>
                </c:pt>
                <c:pt idx="44">
                  <c:v>10627.319769106891</c:v>
                </c:pt>
                <c:pt idx="45">
                  <c:v>10350.81792476177</c:v>
                </c:pt>
                <c:pt idx="46">
                  <c:v>10075.1591688056</c:v>
                </c:pt>
                <c:pt idx="47">
                  <c:v>9801.4069752179439</c:v>
                </c:pt>
                <c:pt idx="48">
                  <c:v>9530.531533130461</c:v>
                </c:pt>
                <c:pt idx="49">
                  <c:v>9263.4113670168827</c:v>
                </c:pt>
                <c:pt idx="50">
                  <c:v>9000.8358198620554</c:v>
                </c:pt>
                <c:pt idx="51">
                  <c:v>8743.5082678480339</c:v>
                </c:pt>
                <c:pt idx="52">
                  <c:v>8492.0499411499495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154-4A07-92CC-FB0C2DCF4F71}"/>
            </c:ext>
          </c:extLst>
        </c:ser>
        <c:ser>
          <c:idx val="27"/>
          <c:order val="27"/>
          <c:tx>
            <c:strRef>
              <c:f>'增加值 (2001-2060, 2020RMB)'!$A$41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15686.592069329439</c:v>
                </c:pt>
                <c:pt idx="16">
                  <c:v>16243.08722100149</c:v>
                </c:pt>
                <c:pt idx="17">
                  <c:v>16843.881212670298</c:v>
                </c:pt>
                <c:pt idx="18">
                  <c:v>17483.126367958619</c:v>
                </c:pt>
                <c:pt idx="19">
                  <c:v>18153.863649295901</c:v>
                </c:pt>
                <c:pt idx="20">
                  <c:v>18847.849293725281</c:v>
                </c:pt>
                <c:pt idx="21">
                  <c:v>19555.413497555059</c:v>
                </c:pt>
                <c:pt idx="22">
                  <c:v>20265.363169979202</c:v>
                </c:pt>
                <c:pt idx="23">
                  <c:v>20965.752348427552</c:v>
                </c:pt>
                <c:pt idx="24">
                  <c:v>21646.554328044349</c:v>
                </c:pt>
                <c:pt idx="25">
                  <c:v>22297.68264123908</c:v>
                </c:pt>
                <c:pt idx="26">
                  <c:v>22908.34317801685</c:v>
                </c:pt>
                <c:pt idx="27">
                  <c:v>23467.184808794587</c:v>
                </c:pt>
                <c:pt idx="28">
                  <c:v>23964.332347285781</c:v>
                </c:pt>
                <c:pt idx="29">
                  <c:v>24397.40077940853</c:v>
                </c:pt>
                <c:pt idx="30">
                  <c:v>24766.568082814141</c:v>
                </c:pt>
                <c:pt idx="31">
                  <c:v>25072.769074477179</c:v>
                </c:pt>
                <c:pt idx="32">
                  <c:v>25317.634681135831</c:v>
                </c:pt>
                <c:pt idx="33">
                  <c:v>25503.422883562991</c:v>
                </c:pt>
                <c:pt idx="34">
                  <c:v>25632.94393763319</c:v>
                </c:pt>
                <c:pt idx="35">
                  <c:v>25709.482364544041</c:v>
                </c:pt>
                <c:pt idx="36">
                  <c:v>25736.71802075415</c:v>
                </c:pt>
                <c:pt idx="37">
                  <c:v>25718.648322436438</c:v>
                </c:pt>
                <c:pt idx="38">
                  <c:v>25659.51342662935</c:v>
                </c:pt>
                <c:pt idx="39">
                  <c:v>25563.725877993162</c:v>
                </c:pt>
                <c:pt idx="40">
                  <c:v>25435.80593074649</c:v>
                </c:pt>
                <c:pt idx="41">
                  <c:v>25280.323462593009</c:v>
                </c:pt>
                <c:pt idx="42">
                  <c:v>25101.847121613537</c:v>
                </c:pt>
                <c:pt idx="43">
                  <c:v>24904.90109624041</c:v>
                </c:pt>
                <c:pt idx="44">
                  <c:v>24693.929678328848</c:v>
                </c:pt>
                <c:pt idx="45">
                  <c:v>24473.269603684421</c:v>
                </c:pt>
                <c:pt idx="46">
                  <c:v>24247.130005043931</c:v>
                </c:pt>
                <c:pt idx="47">
                  <c:v>24019.579699750499</c:v>
                </c:pt>
                <c:pt idx="48">
                  <c:v>23794.54145731606</c:v>
                </c:pt>
                <c:pt idx="49">
                  <c:v>23575.792848948138</c:v>
                </c:pt>
                <c:pt idx="50">
                  <c:v>23366.973269607519</c:v>
                </c:pt>
                <c:pt idx="51">
                  <c:v>23171.596740683381</c:v>
                </c:pt>
                <c:pt idx="52">
                  <c:v>22993.070145365338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154-4A07-92CC-FB0C2DCF4F71}"/>
            </c:ext>
          </c:extLst>
        </c:ser>
        <c:ser>
          <c:idx val="28"/>
          <c:order val="28"/>
          <c:tx>
            <c:strRef>
              <c:f>'增加值 (2001-2060, 2020RMB)'!$A$42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16353.23821129916</c:v>
                </c:pt>
                <c:pt idx="16">
                  <c:v>16965.792891906622</c:v>
                </c:pt>
                <c:pt idx="17">
                  <c:v>17625.990110862902</c:v>
                </c:pt>
                <c:pt idx="18">
                  <c:v>18327.918545162269</c:v>
                </c:pt>
                <c:pt idx="19">
                  <c:v>19064.452292911388</c:v>
                </c:pt>
                <c:pt idx="20">
                  <c:v>19827.062813685909</c:v>
                </c:pt>
                <c:pt idx="21">
                  <c:v>20605.66310094545</c:v>
                </c:pt>
                <c:pt idx="22">
                  <c:v>21388.497146065343</c:v>
                </c:pt>
                <c:pt idx="23">
                  <c:v>22162.91840706658</c:v>
                </c:pt>
                <c:pt idx="24">
                  <c:v>22918.12716864295</c:v>
                </c:pt>
                <c:pt idx="25">
                  <c:v>23643.16097667599</c:v>
                </c:pt>
                <c:pt idx="26">
                  <c:v>24326.236656785932</c:v>
                </c:pt>
                <c:pt idx="27">
                  <c:v>24954.911086575295</c:v>
                </c:pt>
                <c:pt idx="28">
                  <c:v>25518.276754194761</c:v>
                </c:pt>
                <c:pt idx="29">
                  <c:v>26013.480170802719</c:v>
                </c:pt>
                <c:pt idx="30">
                  <c:v>26440.442513460101</c:v>
                </c:pt>
                <c:pt idx="31">
                  <c:v>26799.918819947528</c:v>
                </c:pt>
                <c:pt idx="32">
                  <c:v>27093.435922526609</c:v>
                </c:pt>
                <c:pt idx="33">
                  <c:v>27323.22053993497</c:v>
                </c:pt>
                <c:pt idx="34">
                  <c:v>27492.12037600726</c:v>
                </c:pt>
                <c:pt idx="35">
                  <c:v>27603.520977800759</c:v>
                </c:pt>
                <c:pt idx="36">
                  <c:v>27661.260927697022</c:v>
                </c:pt>
                <c:pt idx="37">
                  <c:v>27669.547701448711</c:v>
                </c:pt>
                <c:pt idx="38">
                  <c:v>27632.876236506909</c:v>
                </c:pt>
                <c:pt idx="39">
                  <c:v>27555.95194032494</c:v>
                </c:pt>
                <c:pt idx="40">
                  <c:v>27443.61954326275</c:v>
                </c:pt>
                <c:pt idx="41">
                  <c:v>27300.79887965968</c:v>
                </c:pt>
                <c:pt idx="42">
                  <c:v>27132.428375642317</c:v>
                </c:pt>
                <c:pt idx="43">
                  <c:v>26943.416742761321</c:v>
                </c:pt>
                <c:pt idx="44">
                  <c:v>26738.603129577928</c:v>
                </c:pt>
                <c:pt idx="45">
                  <c:v>26522.725773452828</c:v>
                </c:pt>
                <c:pt idx="46">
                  <c:v>26300.399024555049</c:v>
                </c:pt>
                <c:pt idx="47">
                  <c:v>26076.09848427659</c:v>
                </c:pt>
                <c:pt idx="48">
                  <c:v>25854.153910161731</c:v>
                </c:pt>
                <c:pt idx="49">
                  <c:v>25638.749487493751</c:v>
                </c:pt>
                <c:pt idx="50">
                  <c:v>25433.93105148476</c:v>
                </c:pt>
                <c:pt idx="51">
                  <c:v>25243.619860964882</c:v>
                </c:pt>
                <c:pt idx="52">
                  <c:v>25071.632571909329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154-4A07-92CC-FB0C2DCF4F71}"/>
            </c:ext>
          </c:extLst>
        </c:ser>
        <c:ser>
          <c:idx val="29"/>
          <c:order val="29"/>
          <c:tx>
            <c:strRef>
              <c:f>'增加值 (2001-2060, 2020RMB)'!$A$43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12897.329101910909</c:v>
                </c:pt>
                <c:pt idx="16">
                  <c:v>13647.304974465291</c:v>
                </c:pt>
                <c:pt idx="17">
                  <c:v>14452.763130653089</c:v>
                </c:pt>
                <c:pt idx="18">
                  <c:v>15310.84677110433</c:v>
                </c:pt>
                <c:pt idx="19">
                  <c:v>16217.32931949595</c:v>
                </c:pt>
                <c:pt idx="20">
                  <c:v>17166.380148719691</c:v>
                </c:pt>
                <c:pt idx="21">
                  <c:v>18150.343281485249</c:v>
                </c:pt>
                <c:pt idx="22">
                  <c:v>19159.543283951829</c:v>
                </c:pt>
                <c:pt idx="23">
                  <c:v>20182.634243354241</c:v>
                </c:pt>
                <c:pt idx="24">
                  <c:v>21208.212532282439</c:v>
                </c:pt>
                <c:pt idx="25">
                  <c:v>22223.664298127878</c:v>
                </c:pt>
                <c:pt idx="26">
                  <c:v>23214.77710663126</c:v>
                </c:pt>
                <c:pt idx="27">
                  <c:v>24165.872602439173</c:v>
                </c:pt>
                <c:pt idx="28">
                  <c:v>25062.24924298382</c:v>
                </c:pt>
                <c:pt idx="29">
                  <c:v>25897.758707523379</c:v>
                </c:pt>
                <c:pt idx="30">
                  <c:v>26669.353162341111</c:v>
                </c:pt>
                <c:pt idx="31">
                  <c:v>27375.02635346512</c:v>
                </c:pt>
                <c:pt idx="32">
                  <c:v>28013.796212491528</c:v>
                </c:pt>
                <c:pt idx="33">
                  <c:v>28585.667258278259</c:v>
                </c:pt>
                <c:pt idx="34">
                  <c:v>29091.57589511983</c:v>
                </c:pt>
                <c:pt idx="35">
                  <c:v>29533.321968448639</c:v>
                </c:pt>
                <c:pt idx="36">
                  <c:v>29913.490042036021</c:v>
                </c:pt>
                <c:pt idx="37">
                  <c:v>30235.363823563828</c:v>
                </c:pt>
                <c:pt idx="38">
                  <c:v>30502.837010333409</c:v>
                </c:pt>
                <c:pt idx="39">
                  <c:v>30720.3235784602</c:v>
                </c:pt>
                <c:pt idx="40">
                  <c:v>30892.67022274237</c:v>
                </c:pt>
                <c:pt idx="41">
                  <c:v>31025.073295468901</c:v>
                </c:pt>
                <c:pt idx="42">
                  <c:v>31123.00221397034</c:v>
                </c:pt>
                <c:pt idx="43">
                  <c:v>31192.13092933414</c:v>
                </c:pt>
                <c:pt idx="44">
                  <c:v>31238.27868990754</c:v>
                </c:pt>
                <c:pt idx="45">
                  <c:v>31267.361007189978</c:v>
                </c:pt>
                <c:pt idx="46">
                  <c:v>31285.351449361959</c:v>
                </c:pt>
                <c:pt idx="47">
                  <c:v>31298.25465689092</c:v>
                </c:pt>
                <c:pt idx="48">
                  <c:v>31312.09080062875</c:v>
                </c:pt>
                <c:pt idx="49">
                  <c:v>31332.891588727602</c:v>
                </c:pt>
                <c:pt idx="50">
                  <c:v>31366.707876171291</c:v>
                </c:pt>
                <c:pt idx="51">
                  <c:v>31419.628940511469</c:v>
                </c:pt>
                <c:pt idx="52">
                  <c:v>31497.813560035527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154-4A07-92CC-FB0C2DCF4F71}"/>
            </c:ext>
          </c:extLst>
        </c:ser>
        <c:ser>
          <c:idx val="30"/>
          <c:order val="30"/>
          <c:tx>
            <c:strRef>
              <c:f>'增加值 (2001-2060, 2020RMB)'!$A$44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25056.839227698671</c:v>
                </c:pt>
                <c:pt idx="16">
                  <c:v>25969.961156471119</c:v>
                </c:pt>
                <c:pt idx="17">
                  <c:v>26954.910968986558</c:v>
                </c:pt>
                <c:pt idx="18">
                  <c:v>28002.48536190192</c:v>
                </c:pt>
                <c:pt idx="19">
                  <c:v>29101.66379093019</c:v>
                </c:pt>
                <c:pt idx="20">
                  <c:v>30239.32618488685</c:v>
                </c:pt>
                <c:pt idx="21">
                  <c:v>31400.020978862689</c:v>
                </c:pt>
                <c:pt idx="22">
                  <c:v>32565.803063314444</c:v>
                </c:pt>
                <c:pt idx="23">
                  <c:v>33717.446194955402</c:v>
                </c:pt>
                <c:pt idx="24">
                  <c:v>34838.675749968512</c:v>
                </c:pt>
                <c:pt idx="25">
                  <c:v>35913.047561606298</c:v>
                </c:pt>
                <c:pt idx="26">
                  <c:v>36922.926076779557</c:v>
                </c:pt>
                <c:pt idx="27">
                  <c:v>37849.72781842629</c:v>
                </c:pt>
                <c:pt idx="28">
                  <c:v>38677.225301235711</c:v>
                </c:pt>
                <c:pt idx="29">
                  <c:v>39401.338046814933</c:v>
                </c:pt>
                <c:pt idx="30">
                  <c:v>40022.155985843121</c:v>
                </c:pt>
                <c:pt idx="31">
                  <c:v>40541.0113715275</c:v>
                </c:pt>
                <c:pt idx="32">
                  <c:v>40960.382631667613</c:v>
                </c:pt>
                <c:pt idx="33">
                  <c:v>41283.784065152337</c:v>
                </c:pt>
                <c:pt idx="34">
                  <c:v>41515.645641815543</c:v>
                </c:pt>
                <c:pt idx="35">
                  <c:v>41661.187002113598</c:v>
                </c:pt>
                <c:pt idx="36">
                  <c:v>41726.289470511409</c:v>
                </c:pt>
                <c:pt idx="37">
                  <c:v>41717.369521931738</c:v>
                </c:pt>
                <c:pt idx="38">
                  <c:v>41641.256702319297</c:v>
                </c:pt>
                <c:pt idx="39">
                  <c:v>41505.078529074919</c:v>
                </c:pt>
                <c:pt idx="40">
                  <c:v>41316.154409154922</c:v>
                </c:pt>
                <c:pt idx="41">
                  <c:v>41081.900133128896</c:v>
                </c:pt>
                <c:pt idx="42">
                  <c:v>40809.744049886751</c:v>
                </c:pt>
                <c:pt idx="43">
                  <c:v>40507.055612657037</c:v>
                </c:pt>
                <c:pt idx="44">
                  <c:v>40181.086622445531</c:v>
                </c:pt>
                <c:pt idx="45">
                  <c:v>39838.925186379951</c:v>
                </c:pt>
                <c:pt idx="46">
                  <c:v>39487.462159148468</c:v>
                </c:pt>
                <c:pt idx="47">
                  <c:v>39133.369646552826</c:v>
                </c:pt>
                <c:pt idx="48">
                  <c:v>38783.091019942643</c:v>
                </c:pt>
                <c:pt idx="49">
                  <c:v>38442.841816260028</c:v>
                </c:pt>
                <c:pt idx="50">
                  <c:v>38118.620876947767</c:v>
                </c:pt>
                <c:pt idx="51">
                  <c:v>37816.231105981169</c:v>
                </c:pt>
                <c:pt idx="52">
                  <c:v>37541.30929869497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154-4A07-92CC-FB0C2DCF4F71}"/>
            </c:ext>
          </c:extLst>
        </c:ser>
        <c:ser>
          <c:idx val="31"/>
          <c:order val="31"/>
          <c:tx>
            <c:strRef>
              <c:f>'增加值 (2001-2060, 2020RMB)'!$A$45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6760.3109068923604</c:v>
                </c:pt>
                <c:pt idx="16">
                  <c:v>6928.0304485823217</c:v>
                </c:pt>
                <c:pt idx="17">
                  <c:v>7112.4760832803795</c:v>
                </c:pt>
                <c:pt idx="18">
                  <c:v>7310.7311537013438</c:v>
                </c:pt>
                <c:pt idx="19">
                  <c:v>7519.5321514907537</c:v>
                </c:pt>
                <c:pt idx="20">
                  <c:v>7735.2061155869333</c:v>
                </c:pt>
                <c:pt idx="21">
                  <c:v>7953.6243095537366</c:v>
                </c:pt>
                <c:pt idx="22">
                  <c:v>8170.1761154764108</c:v>
                </c:pt>
                <c:pt idx="23">
                  <c:v>8380.1475049915298</c:v>
                </c:pt>
                <c:pt idx="24">
                  <c:v>8579.960617370316</c:v>
                </c:pt>
                <c:pt idx="25">
                  <c:v>8766.2022577288426</c:v>
                </c:pt>
                <c:pt idx="26">
                  <c:v>8935.3056720601471</c:v>
                </c:pt>
                <c:pt idx="27">
                  <c:v>9083.6052138966479</c:v>
                </c:pt>
                <c:pt idx="28">
                  <c:v>9208.0553715967508</c:v>
                </c:pt>
                <c:pt idx="29">
                  <c:v>9308.3210936115975</c:v>
                </c:pt>
                <c:pt idx="30">
                  <c:v>9384.9557895486305</c:v>
                </c:pt>
                <c:pt idx="31">
                  <c:v>9438.7444146540038</c:v>
                </c:pt>
                <c:pt idx="32">
                  <c:v>9470.6768959544988</c:v>
                </c:pt>
                <c:pt idx="33">
                  <c:v>9481.9201161928249</c:v>
                </c:pt>
                <c:pt idx="34">
                  <c:v>9473.7892722442248</c:v>
                </c:pt>
                <c:pt idx="35">
                  <c:v>9447.7193520281598</c:v>
                </c:pt>
                <c:pt idx="36">
                  <c:v>9405.2373864401725</c:v>
                </c:pt>
                <c:pt idx="37">
                  <c:v>9347.9360358842769</c:v>
                </c:pt>
                <c:pt idx="38">
                  <c:v>9277.4489695526845</c:v>
                </c:pt>
                <c:pt idx="39">
                  <c:v>9195.4283940881596</c:v>
                </c:pt>
                <c:pt idx="40">
                  <c:v>9103.5249904039738</c:v>
                </c:pt>
                <c:pt idx="41">
                  <c:v>9003.3704262418378</c:v>
                </c:pt>
                <c:pt idx="42">
                  <c:v>8896.5625297848637</c:v>
                </c:pt>
                <c:pt idx="43">
                  <c:v>8784.6531378809177</c:v>
                </c:pt>
                <c:pt idx="44">
                  <c:v>8669.1385720886337</c:v>
                </c:pt>
                <c:pt idx="45">
                  <c:v>8551.4526471901027</c:v>
                </c:pt>
                <c:pt idx="46">
                  <c:v>8432.9620799032818</c:v>
                </c:pt>
                <c:pt idx="47">
                  <c:v>8314.9641397904452</c:v>
                </c:pt>
                <c:pt idx="48">
                  <c:v>8198.6863690297214</c:v>
                </c:pt>
                <c:pt idx="49">
                  <c:v>8085.2881918680287</c:v>
                </c:pt>
                <c:pt idx="50">
                  <c:v>7975.8642371667966</c:v>
                </c:pt>
                <c:pt idx="51">
                  <c:v>7871.4492074511809</c:v>
                </c:pt>
                <c:pt idx="52">
                  <c:v>7773.0241442784773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154-4A07-92CC-FB0C2DCF4F71}"/>
            </c:ext>
          </c:extLst>
        </c:ser>
        <c:ser>
          <c:idx val="32"/>
          <c:order val="32"/>
          <c:tx>
            <c:strRef>
              <c:f>'增加值 (2001-2060, 2020RMB)'!$A$46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29678.766530101129</c:v>
                </c:pt>
                <c:pt idx="16">
                  <c:v>32030.198610170632</c:v>
                </c:pt>
                <c:pt idx="17">
                  <c:v>34576.666481186934</c:v>
                </c:pt>
                <c:pt idx="18">
                  <c:v>37318.099349769538</c:v>
                </c:pt>
                <c:pt idx="19">
                  <c:v>40250.568635672178</c:v>
                </c:pt>
                <c:pt idx="20">
                  <c:v>43365.447584270361</c:v>
                </c:pt>
                <c:pt idx="21">
                  <c:v>46648.550870684718</c:v>
                </c:pt>
                <c:pt idx="22">
                  <c:v>50079.293464171162</c:v>
                </c:pt>
                <c:pt idx="23">
                  <c:v>53630.572314561257</c:v>
                </c:pt>
                <c:pt idx="24">
                  <c:v>57270.439680351563</c:v>
                </c:pt>
                <c:pt idx="25">
                  <c:v>60960.340492976728</c:v>
                </c:pt>
                <c:pt idx="26">
                  <c:v>64654.382089489343</c:v>
                </c:pt>
                <c:pt idx="27">
                  <c:v>68299.44821523226</c:v>
                </c:pt>
                <c:pt idx="28">
                  <c:v>71842.835819897125</c:v>
                </c:pt>
                <c:pt idx="29">
                  <c:v>75257.366119856757</c:v>
                </c:pt>
                <c:pt idx="30">
                  <c:v>78525.287194200951</c:v>
                </c:pt>
                <c:pt idx="31">
                  <c:v>81632.052725641159</c:v>
                </c:pt>
                <c:pt idx="32">
                  <c:v>84566.481413624657</c:v>
                </c:pt>
                <c:pt idx="33">
                  <c:v>87320.830776305083</c:v>
                </c:pt>
                <c:pt idx="34">
                  <c:v>89890.791692913714</c:v>
                </c:pt>
                <c:pt idx="35">
                  <c:v>92275.412408801669</c:v>
                </c:pt>
                <c:pt idx="36">
                  <c:v>94476.962477220179</c:v>
                </c:pt>
                <c:pt idx="37">
                  <c:v>96500.748247479176</c:v>
                </c:pt>
                <c:pt idx="38">
                  <c:v>98354.892065385793</c:v>
                </c:pt>
                <c:pt idx="39">
                  <c:v>100050.0873926304</c:v>
                </c:pt>
                <c:pt idx="40">
                  <c:v>101599.341659736</c:v>
                </c:pt>
                <c:pt idx="41">
                  <c:v>103017.71793641269</c:v>
                </c:pt>
                <c:pt idx="42">
                  <c:v>104322.08553195672</c:v>
                </c:pt>
                <c:pt idx="43">
                  <c:v>105530.8885237534</c:v>
                </c:pt>
                <c:pt idx="44">
                  <c:v>106663.9400450207</c:v>
                </c:pt>
                <c:pt idx="45">
                  <c:v>107742.2490258319</c:v>
                </c:pt>
                <c:pt idx="46">
                  <c:v>108787.8850457629</c:v>
                </c:pt>
                <c:pt idx="47">
                  <c:v>109823.88608284159</c:v>
                </c:pt>
                <c:pt idx="48">
                  <c:v>110874.21328215821</c:v>
                </c:pt>
                <c:pt idx="49">
                  <c:v>111963.756460419</c:v>
                </c:pt>
                <c:pt idx="50">
                  <c:v>113118.3939454895</c:v>
                </c:pt>
                <c:pt idx="51">
                  <c:v>114365.11055528891</c:v>
                </c:pt>
                <c:pt idx="52">
                  <c:v>115732.17808148303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54-4A07-92CC-FB0C2DCF4F71}"/>
            </c:ext>
          </c:extLst>
        </c:ser>
        <c:ser>
          <c:idx val="33"/>
          <c:order val="33"/>
          <c:tx>
            <c:strRef>
              <c:f>'增加值 (2001-2060, 2020RMB)'!$A$47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43895.69461793104</c:v>
                </c:pt>
                <c:pt idx="16">
                  <c:v>47884.942837803348</c:v>
                </c:pt>
                <c:pt idx="17">
                  <c:v>52023.618339824294</c:v>
                </c:pt>
                <c:pt idx="18">
                  <c:v>56325.137451063121</c:v>
                </c:pt>
                <c:pt idx="19">
                  <c:v>60810.654666785013</c:v>
                </c:pt>
                <c:pt idx="20">
                  <c:v>65510.120855026958</c:v>
                </c:pt>
                <c:pt idx="21">
                  <c:v>70463.468163905243</c:v>
                </c:pt>
                <c:pt idx="22">
                  <c:v>75722.006208323786</c:v>
                </c:pt>
                <c:pt idx="23">
                  <c:v>81331.839442172524</c:v>
                </c:pt>
                <c:pt idx="24">
                  <c:v>87270.331067540814</c:v>
                </c:pt>
                <c:pt idx="25">
                  <c:v>93482.361003496422</c:v>
                </c:pt>
                <c:pt idx="26">
                  <c:v>99893.956725671334</c:v>
                </c:pt>
                <c:pt idx="27">
                  <c:v>106410.55953303602</c:v>
                </c:pt>
                <c:pt idx="28">
                  <c:v>112932.9323897858</c:v>
                </c:pt>
                <c:pt idx="29">
                  <c:v>119415.5678333125</c:v>
                </c:pt>
                <c:pt idx="30">
                  <c:v>125830.1685750043</c:v>
                </c:pt>
                <c:pt idx="31">
                  <c:v>132151.20228913709</c:v>
                </c:pt>
                <c:pt idx="32">
                  <c:v>138356.31652228601</c:v>
                </c:pt>
                <c:pt idx="33">
                  <c:v>144426.6769137274</c:v>
                </c:pt>
                <c:pt idx="34">
                  <c:v>150347.22748513409</c:v>
                </c:pt>
                <c:pt idx="35">
                  <c:v>156106.87460640579</c:v>
                </c:pt>
                <c:pt idx="36">
                  <c:v>161698.59878953951</c:v>
                </c:pt>
                <c:pt idx="37">
                  <c:v>167119.50064014131</c:v>
                </c:pt>
                <c:pt idx="38">
                  <c:v>172370.7890702631</c:v>
                </c:pt>
                <c:pt idx="39">
                  <c:v>177457.72123615191</c:v>
                </c:pt>
                <c:pt idx="40">
                  <c:v>182389.5046229155</c:v>
                </c:pt>
                <c:pt idx="41">
                  <c:v>187179.17228718579</c:v>
                </c:pt>
                <c:pt idx="42">
                  <c:v>191843.44253623605</c:v>
                </c:pt>
                <c:pt idx="43">
                  <c:v>196402.57432688901</c:v>
                </c:pt>
                <c:pt idx="44">
                  <c:v>200880.2294767728</c:v>
                </c:pt>
                <c:pt idx="45">
                  <c:v>205303.352465189</c:v>
                </c:pt>
                <c:pt idx="46">
                  <c:v>209702.07823390109</c:v>
                </c:pt>
                <c:pt idx="47">
                  <c:v>214109.67805216881</c:v>
                </c:pt>
                <c:pt idx="48">
                  <c:v>218562.55325652359</c:v>
                </c:pt>
                <c:pt idx="49">
                  <c:v>223100.28658399911</c:v>
                </c:pt>
                <c:pt idx="50">
                  <c:v>227765.76095649961</c:v>
                </c:pt>
                <c:pt idx="51">
                  <c:v>232605.35601341369</c:v>
                </c:pt>
                <c:pt idx="52">
                  <c:v>237669.23350185761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154-4A07-92CC-FB0C2DCF4F71}"/>
            </c:ext>
          </c:extLst>
        </c:ser>
        <c:ser>
          <c:idx val="34"/>
          <c:order val="34"/>
          <c:tx>
            <c:strRef>
              <c:f>'增加值 (2001-2060, 2020RMB)'!$A$48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3431.7689157605332</c:v>
                </c:pt>
                <c:pt idx="16">
                  <c:v>3642.525975669651</c:v>
                </c:pt>
                <c:pt idx="17">
                  <c:v>3857.4429354561566</c:v>
                </c:pt>
                <c:pt idx="18">
                  <c:v>4077.034274849394</c:v>
                </c:pt>
                <c:pt idx="19">
                  <c:v>4302.0255285005896</c:v>
                </c:pt>
                <c:pt idx="20">
                  <c:v>4533.3697326532056</c:v>
                </c:pt>
                <c:pt idx="21">
                  <c:v>4772.2655698080853</c:v>
                </c:pt>
                <c:pt idx="22">
                  <c:v>5020.1782782722839</c:v>
                </c:pt>
                <c:pt idx="23">
                  <c:v>5278.0774515698449</c:v>
                </c:pt>
                <c:pt idx="24">
                  <c:v>5543.7855966435236</c:v>
                </c:pt>
                <c:pt idx="25">
                  <c:v>5813.7766992349898</c:v>
                </c:pt>
                <c:pt idx="26">
                  <c:v>6083.8532302250678</c:v>
                </c:pt>
                <c:pt idx="27">
                  <c:v>6349.1381354359855</c:v>
                </c:pt>
                <c:pt idx="28">
                  <c:v>6604.9146683176641</c:v>
                </c:pt>
                <c:pt idx="29">
                  <c:v>6849.3730054696889</c:v>
                </c:pt>
                <c:pt idx="30">
                  <c:v>7081.6408138476154</c:v>
                </c:pt>
                <c:pt idx="31">
                  <c:v>7301.0402516272252</c:v>
                </c:pt>
                <c:pt idx="32">
                  <c:v>7507.0906436744499</c:v>
                </c:pt>
                <c:pt idx="33">
                  <c:v>7699.5074847366141</c:v>
                </c:pt>
                <c:pt idx="34">
                  <c:v>7878.1981410391236</c:v>
                </c:pt>
                <c:pt idx="35">
                  <c:v>8043.2546860695784</c:v>
                </c:pt>
                <c:pt idx="36">
                  <c:v>8194.9443504323481</c:v>
                </c:pt>
                <c:pt idx="37">
                  <c:v>8333.6980897746525</c:v>
                </c:pt>
                <c:pt idx="38">
                  <c:v>8460.097780699838</c:v>
                </c:pt>
                <c:pt idx="39">
                  <c:v>8574.8625446470651</c:v>
                </c:pt>
                <c:pt idx="40">
                  <c:v>8678.8346766569048</c:v>
                </c:pt>
                <c:pt idx="41">
                  <c:v>8772.9656226891311</c:v>
                </c:pt>
                <c:pt idx="42">
                  <c:v>8858.3024086798941</c:v>
                </c:pt>
                <c:pt idx="43">
                  <c:v>8935.9748796967342</c:v>
                </c:pt>
                <c:pt idx="44">
                  <c:v>9007.1840610523523</c:v>
                </c:pt>
                <c:pt idx="45">
                  <c:v>9073.1919074899324</c:v>
                </c:pt>
                <c:pt idx="46">
                  <c:v>9135.312663659548</c:v>
                </c:pt>
                <c:pt idx="47">
                  <c:v>9194.9060208603769</c:v>
                </c:pt>
                <c:pt idx="48">
                  <c:v>9253.3722229007253</c:v>
                </c:pt>
                <c:pt idx="49">
                  <c:v>9312.1492491285644</c:v>
                </c:pt>
                <c:pt idx="50">
                  <c:v>9372.7121861745272</c:v>
                </c:pt>
                <c:pt idx="51">
                  <c:v>9436.5748925210537</c:v>
                </c:pt>
                <c:pt idx="52">
                  <c:v>9505.2940623585928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154-4A07-92CC-FB0C2DCF4F71}"/>
            </c:ext>
          </c:extLst>
        </c:ser>
        <c:ser>
          <c:idx val="35"/>
          <c:order val="35"/>
          <c:tx>
            <c:strRef>
              <c:f>'增加值 (2001-2060, 2020RMB)'!$A$49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930.70298227878163</c:v>
                </c:pt>
                <c:pt idx="16">
                  <c:v>954.06155581926089</c:v>
                </c:pt>
                <c:pt idx="17">
                  <c:v>977.26366066578612</c:v>
                </c:pt>
                <c:pt idx="18">
                  <c:v>1000.134705990405</c:v>
                </c:pt>
                <c:pt idx="19">
                  <c:v>1022.4874169544649</c:v>
                </c:pt>
                <c:pt idx="20">
                  <c:v>1044.1226173054081</c:v>
                </c:pt>
                <c:pt idx="21">
                  <c:v>1064.830355163632</c:v>
                </c:pt>
                <c:pt idx="22">
                  <c:v>1084.3913952070077</c:v>
                </c:pt>
                <c:pt idx="23">
                  <c:v>1102.5747210526861</c:v>
                </c:pt>
                <c:pt idx="24">
                  <c:v>1119.126157964238</c:v>
                </c:pt>
                <c:pt idx="25">
                  <c:v>1133.7834315355631</c:v>
                </c:pt>
                <c:pt idx="26">
                  <c:v>1146.283933070737</c:v>
                </c:pt>
                <c:pt idx="27">
                  <c:v>1156.3687320636109</c:v>
                </c:pt>
                <c:pt idx="28">
                  <c:v>1163.836474067811</c:v>
                </c:pt>
                <c:pt idx="29">
                  <c:v>1168.698151846751</c:v>
                </c:pt>
                <c:pt idx="30">
                  <c:v>1171.0333368893851</c:v>
                </c:pt>
                <c:pt idx="31">
                  <c:v>1170.939363558794</c:v>
                </c:pt>
                <c:pt idx="32">
                  <c:v>1168.5291129137579</c:v>
                </c:pt>
                <c:pt idx="33">
                  <c:v>1163.92873354517</c:v>
                </c:pt>
                <c:pt idx="34">
                  <c:v>1157.2753478161339</c:v>
                </c:pt>
                <c:pt idx="35">
                  <c:v>1148.7147874654131</c:v>
                </c:pt>
                <c:pt idx="36">
                  <c:v>1138.3993974536149</c:v>
                </c:pt>
                <c:pt idx="37">
                  <c:v>1126.4859414304151</c:v>
                </c:pt>
                <c:pt idx="38">
                  <c:v>1113.1336364931351</c:v>
                </c:pt>
                <c:pt idx="39">
                  <c:v>1098.5023391850459</c:v>
                </c:pt>
                <c:pt idx="40">
                  <c:v>1082.750899112584</c:v>
                </c:pt>
                <c:pt idx="41">
                  <c:v>1066.035691283699</c:v>
                </c:pt>
                <c:pt idx="42">
                  <c:v>1048.5093333948162</c:v>
                </c:pt>
                <c:pt idx="43">
                  <c:v>1030.319589903452</c:v>
                </c:pt>
                <c:pt idx="44">
                  <c:v>1011.608460872317</c:v>
                </c:pt>
                <c:pt idx="45">
                  <c:v>992.51145028907229</c:v>
                </c:pt>
                <c:pt idx="46">
                  <c:v>973.15700586256048</c:v>
                </c:pt>
                <c:pt idx="47">
                  <c:v>953.66612016115698</c:v>
                </c:pt>
                <c:pt idx="48">
                  <c:v>934.15208136724493</c:v>
                </c:pt>
                <c:pt idx="49">
                  <c:v>914.72036083650573</c:v>
                </c:pt>
                <c:pt idx="50">
                  <c:v>895.46862402702209</c:v>
                </c:pt>
                <c:pt idx="51">
                  <c:v>876.48685114986642</c:v>
                </c:pt>
                <c:pt idx="52">
                  <c:v>857.85755403686369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154-4A07-92CC-FB0C2DCF4F71}"/>
            </c:ext>
          </c:extLst>
        </c:ser>
        <c:ser>
          <c:idx val="36"/>
          <c:order val="36"/>
          <c:tx>
            <c:strRef>
              <c:f>'增加值 (2001-2060, 2020RMB)'!$A$50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1568.286986726645</c:v>
                </c:pt>
                <c:pt idx="16">
                  <c:v>1674.2475969973209</c:v>
                </c:pt>
                <c:pt idx="17">
                  <c:v>1801.215074413868</c:v>
                </c:pt>
                <c:pt idx="18">
                  <c:v>1949.0016915033179</c:v>
                </c:pt>
                <c:pt idx="19">
                  <c:v>2116.9403695231822</c:v>
                </c:pt>
                <c:pt idx="20">
                  <c:v>2303.582713022302</c:v>
                </c:pt>
                <c:pt idx="21">
                  <c:v>2506.379241467424</c:v>
                </c:pt>
                <c:pt idx="22">
                  <c:v>2721.3635197915764</c:v>
                </c:pt>
                <c:pt idx="23">
                  <c:v>2943.8693857102239</c:v>
                </c:pt>
                <c:pt idx="24">
                  <c:v>3171.930776991097</c:v>
                </c:pt>
                <c:pt idx="25">
                  <c:v>3404.3125355271441</c:v>
                </c:pt>
                <c:pt idx="26">
                  <c:v>3639.678982517054</c:v>
                </c:pt>
                <c:pt idx="27">
                  <c:v>3876.6094106628252</c:v>
                </c:pt>
                <c:pt idx="28">
                  <c:v>4113.6493170364902</c:v>
                </c:pt>
                <c:pt idx="29">
                  <c:v>4349.4463784912323</c:v>
                </c:pt>
                <c:pt idx="30">
                  <c:v>4582.6955265243096</c:v>
                </c:pt>
                <c:pt idx="31">
                  <c:v>4812.1277313326027</c:v>
                </c:pt>
                <c:pt idx="32">
                  <c:v>5036.5276455366547</c:v>
                </c:pt>
                <c:pt idx="33">
                  <c:v>5254.7498088886296</c:v>
                </c:pt>
                <c:pt idx="34">
                  <c:v>5465.7331168985511</c:v>
                </c:pt>
                <c:pt idx="35">
                  <c:v>5668.5133193467373</c:v>
                </c:pt>
                <c:pt idx="36">
                  <c:v>5862.2333808643398</c:v>
                </c:pt>
                <c:pt idx="37">
                  <c:v>6046.1516025587034</c:v>
                </c:pt>
                <c:pt idx="38">
                  <c:v>6219.6474686422134</c:v>
                </c:pt>
                <c:pt idx="39">
                  <c:v>6382.2252430964008</c:v>
                </c:pt>
                <c:pt idx="40">
                  <c:v>6533.5153968267732</c:v>
                </c:pt>
                <c:pt idx="41">
                  <c:v>6673.2739941943546</c:v>
                </c:pt>
                <c:pt idx="42">
                  <c:v>6801.380208311969</c:v>
                </c:pt>
                <c:pt idx="43">
                  <c:v>6917.8321665378526</c:v>
                </c:pt>
                <c:pt idx="44">
                  <c:v>7022.7413510315901</c:v>
                </c:pt>
                <c:pt idx="45">
                  <c:v>7116.325794245824</c:v>
                </c:pt>
                <c:pt idx="46">
                  <c:v>7198.9023162868398</c:v>
                </c:pt>
                <c:pt idx="47">
                  <c:v>7270.8780508981436</c:v>
                </c:pt>
                <c:pt idx="48">
                  <c:v>7332.7415002871867</c:v>
                </c:pt>
                <c:pt idx="49">
                  <c:v>7385.0533471274484</c:v>
                </c:pt>
                <c:pt idx="50">
                  <c:v>7428.4372358900418</c:v>
                </c:pt>
                <c:pt idx="51">
                  <c:v>7463.5707162655353</c:v>
                </c:pt>
                <c:pt idx="52">
                  <c:v>7491.1765198765706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154-4A07-92CC-FB0C2DCF4F71}"/>
            </c:ext>
          </c:extLst>
        </c:ser>
        <c:ser>
          <c:idx val="37"/>
          <c:order val="37"/>
          <c:tx>
            <c:strRef>
              <c:f>'增加值 (2001-2060, 2020RMB)'!$A$51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494.34136985147211</c:v>
                </c:pt>
                <c:pt idx="16">
                  <c:v>513.84394901120299</c:v>
                </c:pt>
                <c:pt idx="17">
                  <c:v>533.05517909710932</c:v>
                </c:pt>
                <c:pt idx="18">
                  <c:v>551.89995665166816</c:v>
                </c:pt>
                <c:pt idx="19">
                  <c:v>570.30406383939101</c:v>
                </c:pt>
                <c:pt idx="20">
                  <c:v>588.19472813207665</c:v>
                </c:pt>
                <c:pt idx="21">
                  <c:v>605.50116872786668</c:v>
                </c:pt>
                <c:pt idx="22">
                  <c:v>622.15512349254641</c:v>
                </c:pt>
                <c:pt idx="23">
                  <c:v>638.07321223507779</c:v>
                </c:pt>
                <c:pt idx="24">
                  <c:v>653.09956058345017</c:v>
                </c:pt>
                <c:pt idx="25">
                  <c:v>667.05537623807356</c:v>
                </c:pt>
                <c:pt idx="26">
                  <c:v>679.75838462682748</c:v>
                </c:pt>
                <c:pt idx="27">
                  <c:v>691.02540470037002</c:v>
                </c:pt>
                <c:pt idx="28">
                  <c:v>700.70392780405496</c:v>
                </c:pt>
                <c:pt idx="29">
                  <c:v>708.76394124913259</c:v>
                </c:pt>
                <c:pt idx="30">
                  <c:v>715.21794183416887</c:v>
                </c:pt>
                <c:pt idx="31">
                  <c:v>720.09220417109475</c:v>
                </c:pt>
                <c:pt idx="32">
                  <c:v>723.42571036134643</c:v>
                </c:pt>
                <c:pt idx="33">
                  <c:v>725.26895869097712</c:v>
                </c:pt>
                <c:pt idx="34">
                  <c:v>725.68268447876414</c:v>
                </c:pt>
                <c:pt idx="35">
                  <c:v>724.73652517259779</c:v>
                </c:pt>
                <c:pt idx="36">
                  <c:v>722.50766000017427</c:v>
                </c:pt>
                <c:pt idx="37">
                  <c:v>719.07945208209867</c:v>
                </c:pt>
                <c:pt idx="38">
                  <c:v>714.5401180538513</c:v>
                </c:pt>
                <c:pt idx="39">
                  <c:v>708.98144706039477</c:v>
                </c:pt>
                <c:pt idx="40">
                  <c:v>702.49758761819851</c:v>
                </c:pt>
                <c:pt idx="41">
                  <c:v>695.18391740735296</c:v>
                </c:pt>
                <c:pt idx="42">
                  <c:v>687.13600766971911</c:v>
                </c:pt>
                <c:pt idx="43">
                  <c:v>678.44869063986391</c:v>
                </c:pt>
                <c:pt idx="44">
                  <c:v>669.21523539855787</c:v>
                </c:pt>
                <c:pt idx="45">
                  <c:v>659.52663477129215</c:v>
                </c:pt>
                <c:pt idx="46">
                  <c:v>649.47100343716068</c:v>
                </c:pt>
                <c:pt idx="47">
                  <c:v>639.13308529173673</c:v>
                </c:pt>
                <c:pt idx="48">
                  <c:v>628.59386633240342</c:v>
                </c:pt>
                <c:pt idx="49">
                  <c:v>617.93028790529695</c:v>
                </c:pt>
                <c:pt idx="50">
                  <c:v>607.21505405881931</c:v>
                </c:pt>
                <c:pt idx="51">
                  <c:v>596.51652597097882</c:v>
                </c:pt>
                <c:pt idx="52">
                  <c:v>585.89869593228048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154-4A07-92CC-FB0C2DCF4F71}"/>
            </c:ext>
          </c:extLst>
        </c:ser>
        <c:ser>
          <c:idx val="38"/>
          <c:order val="38"/>
          <c:tx>
            <c:strRef>
              <c:f>'增加值 (2001-2060, 2020RMB)'!$A$52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18240.846627361869</c:v>
                </c:pt>
                <c:pt idx="16">
                  <c:v>19154.329700701492</c:v>
                </c:pt>
                <c:pt idx="17">
                  <c:v>20200.806313632031</c:v>
                </c:pt>
                <c:pt idx="18">
                  <c:v>21366.925200717531</c:v>
                </c:pt>
                <c:pt idx="19">
                  <c:v>22634.907999544979</c:v>
                </c:pt>
                <c:pt idx="20">
                  <c:v>23981.183726598902</c:v>
                </c:pt>
                <c:pt idx="21">
                  <c:v>25375.200220979539</c:v>
                </c:pt>
                <c:pt idx="22">
                  <c:v>26778.553721003525</c:v>
                </c:pt>
                <c:pt idx="23">
                  <c:v>28150.89535265891</c:v>
                </c:pt>
                <c:pt idx="24">
                  <c:v>29471.412062559772</c:v>
                </c:pt>
                <c:pt idx="25">
                  <c:v>30724.609632691288</c:v>
                </c:pt>
                <c:pt idx="26">
                  <c:v>31894.923045574771</c:v>
                </c:pt>
                <c:pt idx="27">
                  <c:v>32967.009906501284</c:v>
                </c:pt>
                <c:pt idx="28">
                  <c:v>33928.017734946407</c:v>
                </c:pt>
                <c:pt idx="29">
                  <c:v>34774.161743893957</c:v>
                </c:pt>
                <c:pt idx="30">
                  <c:v>35505.651818840692</c:v>
                </c:pt>
                <c:pt idx="31">
                  <c:v>36124.706562004671</c:v>
                </c:pt>
                <c:pt idx="32">
                  <c:v>36635.368600329377</c:v>
                </c:pt>
                <c:pt idx="33">
                  <c:v>37043.292720533253</c:v>
                </c:pt>
                <c:pt idx="34">
                  <c:v>37355.518025884463</c:v>
                </c:pt>
                <c:pt idx="35">
                  <c:v>37580.23454891282</c:v>
                </c:pt>
                <c:pt idx="36">
                  <c:v>37726.553635459233</c:v>
                </c:pt>
                <c:pt idx="37">
                  <c:v>37804.290064226232</c:v>
                </c:pt>
                <c:pt idx="38">
                  <c:v>37823.762400695719</c:v>
                </c:pt>
                <c:pt idx="39">
                  <c:v>37795.616609535391</c:v>
                </c:pt>
                <c:pt idx="40">
                  <c:v>37730.676552317113</c:v>
                </c:pt>
                <c:pt idx="41">
                  <c:v>37639.823745138572</c:v>
                </c:pt>
                <c:pt idx="42">
                  <c:v>37533.907692131157</c:v>
                </c:pt>
                <c:pt idx="43">
                  <c:v>37423.687277093421</c:v>
                </c:pt>
                <c:pt idx="44">
                  <c:v>37319.80310333649</c:v>
                </c:pt>
                <c:pt idx="45">
                  <c:v>37232.780326866159</c:v>
                </c:pt>
                <c:pt idx="46">
                  <c:v>37173.061428538771</c:v>
                </c:pt>
                <c:pt idx="47">
                  <c:v>37151.068511599638</c:v>
                </c:pt>
                <c:pt idx="48">
                  <c:v>37177.295087135033</c:v>
                </c:pt>
                <c:pt idx="49">
                  <c:v>37262.427920565271</c:v>
                </c:pt>
                <c:pt idx="50">
                  <c:v>37417.500364182109</c:v>
                </c:pt>
                <c:pt idx="51">
                  <c:v>37654.079712185492</c:v>
                </c:pt>
                <c:pt idx="52">
                  <c:v>37984.49251963252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154-4A07-92CC-FB0C2DCF4F71}"/>
            </c:ext>
          </c:extLst>
        </c:ser>
        <c:ser>
          <c:idx val="39"/>
          <c:order val="39"/>
          <c:tx>
            <c:strRef>
              <c:f>'增加值 (2001-2060, 2020RMB)'!$A$53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2665.639810747904</c:v>
                </c:pt>
                <c:pt idx="16">
                  <c:v>2902.2716072083222</c:v>
                </c:pt>
                <c:pt idx="17">
                  <c:v>3175.7290989752405</c:v>
                </c:pt>
                <c:pt idx="18">
                  <c:v>3486.0694450325068</c:v>
                </c:pt>
                <c:pt idx="19">
                  <c:v>3832.0767026235922</c:v>
                </c:pt>
                <c:pt idx="20">
                  <c:v>4210.7194654358591</c:v>
                </c:pt>
                <c:pt idx="21">
                  <c:v>4616.5842005751674</c:v>
                </c:pt>
                <c:pt idx="22">
                  <c:v>5041.3393783976444</c:v>
                </c:pt>
                <c:pt idx="23">
                  <c:v>5474.9522231977944</c:v>
                </c:pt>
                <c:pt idx="24">
                  <c:v>5911.4354159548911</c:v>
                </c:pt>
                <c:pt idx="25">
                  <c:v>6345.7490623415006</c:v>
                </c:pt>
                <c:pt idx="26">
                  <c:v>6772.5041858342802</c:v>
                </c:pt>
                <c:pt idx="27">
                  <c:v>7186.0664005257422</c:v>
                </c:pt>
                <c:pt idx="28">
                  <c:v>7581.1713896112151</c:v>
                </c:pt>
                <c:pt idx="29">
                  <c:v>7954.741014529216</c:v>
                </c:pt>
                <c:pt idx="30">
                  <c:v>8304.823114532237</c:v>
                </c:pt>
                <c:pt idx="31">
                  <c:v>8630.1692479699359</c:v>
                </c:pt>
                <c:pt idx="32">
                  <c:v>8930.2330871398754</c:v>
                </c:pt>
                <c:pt idx="33">
                  <c:v>9205.148594182956</c:v>
                </c:pt>
                <c:pt idx="34">
                  <c:v>9455.69186823981</c:v>
                </c:pt>
                <c:pt idx="35">
                  <c:v>9683.2309482743258</c:v>
                </c:pt>
                <c:pt idx="36">
                  <c:v>9889.6679665264783</c:v>
                </c:pt>
                <c:pt idx="37">
                  <c:v>10077.37792228057</c:v>
                </c:pt>
                <c:pt idx="38">
                  <c:v>10249.148042608171</c:v>
                </c:pt>
                <c:pt idx="39">
                  <c:v>10408.121277902979</c:v>
                </c:pt>
                <c:pt idx="40">
                  <c:v>10557.747006000071</c:v>
                </c:pt>
                <c:pt idx="41">
                  <c:v>10701.74154506533</c:v>
                </c:pt>
                <c:pt idx="42">
                  <c:v>10844.060650714662</c:v>
                </c:pt>
                <c:pt idx="43">
                  <c:v>10988.885837626251</c:v>
                </c:pt>
                <c:pt idx="44">
                  <c:v>11140.62615376031</c:v>
                </c:pt>
                <c:pt idx="45">
                  <c:v>11303.93697431179</c:v>
                </c:pt>
                <c:pt idx="46">
                  <c:v>11483.75749806724</c:v>
                </c:pt>
                <c:pt idx="47">
                  <c:v>11685.36894695137</c:v>
                </c:pt>
                <c:pt idx="48">
                  <c:v>11914.47602107588</c:v>
                </c:pt>
                <c:pt idx="49">
                  <c:v>12177.314987174541</c:v>
                </c:pt>
                <c:pt idx="50">
                  <c:v>12480.79293442255</c:v>
                </c:pt>
                <c:pt idx="51">
                  <c:v>12832.664298342141</c:v>
                </c:pt>
                <c:pt idx="52">
                  <c:v>13241.752844398045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154-4A07-92CC-FB0C2DCF4F71}"/>
            </c:ext>
          </c:extLst>
        </c:ser>
        <c:ser>
          <c:idx val="40"/>
          <c:order val="40"/>
          <c:tx>
            <c:strRef>
              <c:f>'增加值 (2001-2060, 2020RMB)'!$A$54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1353.358237928918</c:v>
                </c:pt>
                <c:pt idx="16">
                  <c:v>1418.4510559999389</c:v>
                </c:pt>
                <c:pt idx="17">
                  <c:v>1493.0706591018359</c:v>
                </c:pt>
                <c:pt idx="18">
                  <c:v>1576.201742686643</c:v>
                </c:pt>
                <c:pt idx="19">
                  <c:v>1666.51679937672</c:v>
                </c:pt>
                <c:pt idx="20">
                  <c:v>1762.2805703498341</c:v>
                </c:pt>
                <c:pt idx="21">
                  <c:v>1861.2679057207481</c:v>
                </c:pt>
                <c:pt idx="22">
                  <c:v>1960.7048238592988</c:v>
                </c:pt>
                <c:pt idx="23">
                  <c:v>2057.695692688967</c:v>
                </c:pt>
                <c:pt idx="24">
                  <c:v>2150.7611082536082</c:v>
                </c:pt>
                <c:pt idx="25">
                  <c:v>2238.808173344677</c:v>
                </c:pt>
                <c:pt idx="26">
                  <c:v>2320.7420096262872</c:v>
                </c:pt>
                <c:pt idx="27">
                  <c:v>2395.4863633948648</c:v>
                </c:pt>
                <c:pt idx="28">
                  <c:v>2462.1464457360039</c:v>
                </c:pt>
                <c:pt idx="29">
                  <c:v>2520.4810919427869</c:v>
                </c:pt>
                <c:pt idx="30">
                  <c:v>2570.5338694625539</c:v>
                </c:pt>
                <c:pt idx="31">
                  <c:v>2612.489052098806</c:v>
                </c:pt>
                <c:pt idx="32">
                  <c:v>2646.6580150990271</c:v>
                </c:pt>
                <c:pt idx="33">
                  <c:v>2673.4638467626069</c:v>
                </c:pt>
                <c:pt idx="34">
                  <c:v>2693.4249564633951</c:v>
                </c:pt>
                <c:pt idx="35">
                  <c:v>2707.1384007412212</c:v>
                </c:pt>
                <c:pt idx="36">
                  <c:v>2715.2635672790202</c:v>
                </c:pt>
                <c:pt idx="37">
                  <c:v>2718.5067598151932</c:v>
                </c:pt>
                <c:pt idx="38">
                  <c:v>2717.6071234208212</c:v>
                </c:pt>
                <c:pt idx="39">
                  <c:v>2713.324246169117</c:v>
                </c:pt>
                <c:pt idx="40">
                  <c:v>2706.4276758657861</c:v>
                </c:pt>
                <c:pt idx="41">
                  <c:v>2697.688503676784</c:v>
                </c:pt>
                <c:pt idx="42">
                  <c:v>2687.8730933572319</c:v>
                </c:pt>
                <c:pt idx="43">
                  <c:v>2677.7389773417008</c:v>
                </c:pt>
                <c:pt idx="44">
                  <c:v>2668.0329002027502</c:v>
                </c:pt>
                <c:pt idx="45">
                  <c:v>2659.4909661709548</c:v>
                </c:pt>
                <c:pt idx="46">
                  <c:v>2652.8408402871428</c:v>
                </c:pt>
                <c:pt idx="47">
                  <c:v>2648.8059618394191</c:v>
                </c:pt>
                <c:pt idx="48">
                  <c:v>2648.1117535511662</c:v>
                </c:pt>
                <c:pt idx="49">
                  <c:v>2651.4938503160829</c:v>
                </c:pt>
                <c:pt idx="50">
                  <c:v>2659.7084274039189</c:v>
                </c:pt>
                <c:pt idx="51">
                  <c:v>2673.5447810054552</c:v>
                </c:pt>
                <c:pt idx="52">
                  <c:v>2693.8404057679045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154-4A07-92CC-FB0C2DCF4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096016"/>
        <c:axId val="1997124336"/>
      </c:areaChart>
      <c:catAx>
        <c:axId val="199709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124336"/>
        <c:crosses val="autoZero"/>
        <c:auto val="1"/>
        <c:lblAlgn val="ctr"/>
        <c:lblOffset val="100"/>
        <c:noMultiLvlLbl val="0"/>
      </c:catAx>
      <c:valAx>
        <c:axId val="19971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09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029914605439259E-2"/>
          <c:y val="0.68720380311275431"/>
          <c:w val="0.89505111197705822"/>
          <c:h val="0.29407544805729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10582</xdr:colOff>
      <xdr:row>0</xdr:row>
      <xdr:rowOff>4234</xdr:rowOff>
    </xdr:from>
    <xdr:to>
      <xdr:col>8</xdr:col>
      <xdr:colOff>486832</xdr:colOff>
      <xdr:row>19</xdr:row>
      <xdr:rowOff>137583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68F95C-63B9-4598-FDF7-CF0C08E77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10582</xdr:colOff>
      <xdr:row>22</xdr:row>
      <xdr:rowOff>4233</xdr:rowOff>
    </xdr:from>
    <xdr:to>
      <xdr:col>8</xdr:col>
      <xdr:colOff>465666</xdr:colOff>
      <xdr:row>45</xdr:row>
      <xdr:rowOff>63500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FB5021A-3F68-A123-B8BC-8A74906C4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23D-41FA-41B6-BCB9-F55190A29591}">
  <dimension ref="A1:BM103"/>
  <sheetViews>
    <sheetView workbookViewId="0"/>
  </sheetViews>
  <sheetFormatPr defaultRowHeight="14.25" x14ac:dyDescent="0.2"/>
  <cols>
    <col min="1" max="1" width="34.25" customWidth="1"/>
    <col min="2" max="24" width="9.875" customWidth="1"/>
    <col min="25" max="25" width="9.75" customWidth="1"/>
    <col min="26" max="61" width="9.875" customWidth="1"/>
    <col min="64" max="64" width="14.375" customWidth="1"/>
    <col min="65" max="65" width="12.5" customWidth="1"/>
    <col min="66" max="66" width="11.75" customWidth="1"/>
  </cols>
  <sheetData>
    <row r="1" spans="1:65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2">
        <v>2022</v>
      </c>
      <c r="X1" s="42">
        <v>2023</v>
      </c>
      <c r="Y1" s="42">
        <v>2024</v>
      </c>
      <c r="Z1" s="43">
        <v>2025</v>
      </c>
      <c r="AA1" s="42">
        <v>2026</v>
      </c>
      <c r="AB1" s="42">
        <v>2027</v>
      </c>
      <c r="AC1" s="42">
        <v>2028</v>
      </c>
      <c r="AD1" s="42">
        <v>2029</v>
      </c>
      <c r="AE1" s="43">
        <v>2030</v>
      </c>
      <c r="AF1" s="41">
        <v>2031</v>
      </c>
      <c r="AG1" s="42">
        <v>2032</v>
      </c>
      <c r="AH1" s="42">
        <v>2033</v>
      </c>
      <c r="AI1" s="42">
        <v>2034</v>
      </c>
      <c r="AJ1" s="43">
        <v>2035</v>
      </c>
      <c r="AK1" s="41">
        <v>2036</v>
      </c>
      <c r="AL1" s="42">
        <v>2037</v>
      </c>
      <c r="AM1" s="42">
        <v>2038</v>
      </c>
      <c r="AN1" s="42">
        <v>2039</v>
      </c>
      <c r="AO1" s="43">
        <v>2040</v>
      </c>
      <c r="AP1" s="41">
        <v>2041</v>
      </c>
      <c r="AQ1" s="42">
        <v>2042</v>
      </c>
      <c r="AR1" s="42">
        <v>2043</v>
      </c>
      <c r="AS1" s="42">
        <v>2044</v>
      </c>
      <c r="AT1" s="43">
        <v>2045</v>
      </c>
      <c r="AU1" s="41">
        <v>2046</v>
      </c>
      <c r="AV1" s="42">
        <v>2047</v>
      </c>
      <c r="AW1" s="42">
        <v>2048</v>
      </c>
      <c r="AX1" s="42">
        <v>2049</v>
      </c>
      <c r="AY1" s="43">
        <v>2050</v>
      </c>
      <c r="AZ1" s="41">
        <v>2051</v>
      </c>
      <c r="BA1" s="42">
        <v>2052</v>
      </c>
      <c r="BB1" s="42">
        <v>2053</v>
      </c>
      <c r="BC1" s="42">
        <v>2054</v>
      </c>
      <c r="BD1" s="43">
        <v>2055</v>
      </c>
      <c r="BE1" s="41">
        <v>2056</v>
      </c>
      <c r="BF1" s="42">
        <v>2057</v>
      </c>
      <c r="BG1" s="42">
        <v>2058</v>
      </c>
      <c r="BH1" s="42">
        <v>2059</v>
      </c>
      <c r="BI1" s="43">
        <v>2060</v>
      </c>
      <c r="BL1" s="57"/>
    </row>
    <row r="2" spans="1:65" s="9" customFormat="1" x14ac:dyDescent="0.2">
      <c r="A2" s="4" t="s">
        <v>0</v>
      </c>
      <c r="B2" s="6">
        <f>'增加值 (2001-2060, 2020RMB)'!B2*$B$73</f>
        <v>28718.703655940928</v>
      </c>
      <c r="C2" s="7">
        <f>'增加值 (2001-2060, 2020RMB)'!C2*$B$73</f>
        <v>31332.105688631549</v>
      </c>
      <c r="D2" s="7">
        <f>'增加值 (2001-2060, 2020RMB)'!D2*$B$73</f>
        <v>34465.316257494705</v>
      </c>
      <c r="E2" s="7">
        <f>'增加值 (2001-2060, 2020RMB)'!E2*$B$73</f>
        <v>37946.313199501674</v>
      </c>
      <c r="F2" s="7">
        <f>'增加值 (2001-2060, 2020RMB)'!F2*$B$73</f>
        <v>42272.192904244868</v>
      </c>
      <c r="G2" s="6">
        <f>'增加值 (2001-2060, 2020RMB)'!G2*$B$73</f>
        <v>47640.761403083969</v>
      </c>
      <c r="H2" s="7">
        <f>'增加值 (2001-2060, 2020RMB)'!H2*$B$73</f>
        <v>54405.749522321901</v>
      </c>
      <c r="I2" s="7">
        <f>'增加值 (2001-2060, 2020RMB)'!I2*$B$73</f>
        <v>59683.107225987122</v>
      </c>
      <c r="J2" s="7">
        <f>'增加值 (2001-2060, 2020RMB)'!J2*$B$73</f>
        <v>65293.319305229925</v>
      </c>
      <c r="K2" s="8">
        <f>'增加值 (2001-2060, 2020RMB)'!K2*$B$73</f>
        <v>72214.411151584296</v>
      </c>
      <c r="L2" s="6">
        <f>'增加值 (2001-2060, 2020RMB)'!L2*$B$73</f>
        <v>79146.994622136364</v>
      </c>
      <c r="M2" s="7">
        <f>'增加值 (2001-2060, 2020RMB)'!M2*$B$73</f>
        <v>85399.607197285135</v>
      </c>
      <c r="N2" s="7">
        <f>'增加值 (2001-2060, 2020RMB)'!N2*$B$73</f>
        <v>92060.776558673388</v>
      </c>
      <c r="O2" s="7">
        <f>'增加值 (2001-2060, 2020RMB)'!O2*$B$73</f>
        <v>98873.27402401522</v>
      </c>
      <c r="P2" s="8">
        <f>'增加值 (2001-2060, 2020RMB)'!P2*$B$73</f>
        <v>105794.40320569629</v>
      </c>
      <c r="Q2" s="6">
        <f>'增加值 (2001-2060, 2020RMB)'!Q2*$B$73</f>
        <v>112988.42262368364</v>
      </c>
      <c r="R2" s="7">
        <f>'增加值 (2001-2060, 2020RMB)'!R2*$B$73</f>
        <v>120784.62378471781</v>
      </c>
      <c r="S2" s="7">
        <f>'增加值 (2001-2060, 2020RMB)'!S2*$B$73</f>
        <v>128877.1935782939</v>
      </c>
      <c r="T2" s="7">
        <f>'增加值 (2001-2060, 2020RMB)'!T2*$B$73</f>
        <v>136609.82519299156</v>
      </c>
      <c r="U2" s="8">
        <f>'增加值 (2001-2060, 2020RMB)'!U2*$B$73</f>
        <v>139615.24134723734</v>
      </c>
      <c r="V2" s="6">
        <f>'增加值 (2001-2060, 2020RMB)'!V2*$B$73</f>
        <v>151342.92162040531</v>
      </c>
      <c r="W2" s="7">
        <f>'增加值 (2001-2060, 2020RMB)'!W2*$B$73</f>
        <v>155883.20926901748</v>
      </c>
      <c r="X2" s="63">
        <f>'增加值 (2001-2060, 2020RMB)'!X2*$B$73</f>
        <v>164157.48182874973</v>
      </c>
      <c r="Y2" s="63">
        <f>'增加值 (2001-2060, 2020RMB)'!Y2*$B$73</f>
        <v>173055.85096201135</v>
      </c>
      <c r="Z2" s="64">
        <f>'增加值 (2001-2060, 2020RMB)'!Z2*$B$73</f>
        <v>182524.50147894802</v>
      </c>
      <c r="AA2" s="65">
        <f>'增加值 (2001-2060, 2020RMB)'!AA2*$B$73</f>
        <v>192493.7137381706</v>
      </c>
      <c r="AB2" s="63">
        <f>'增加值 (2001-2060, 2020RMB)'!AB2*$B$73</f>
        <v>202873.08989117472</v>
      </c>
      <c r="AC2" s="63">
        <f>'增加值 (2001-2060, 2020RMB)'!AC2*$B$73</f>
        <v>213547.42935194273</v>
      </c>
      <c r="AD2" s="63">
        <f>'增加值 (2001-2060, 2020RMB)'!AD2*$B$73</f>
        <v>224373.70558195276</v>
      </c>
      <c r="AE2" s="66">
        <f>'增加值 (2001-2060, 2020RMB)'!AE2*$B$73</f>
        <v>235179.72057638329</v>
      </c>
      <c r="AF2" s="65">
        <f>'增加值 (2001-2060, 2020RMB)'!AF2*$B$73</f>
        <v>245810.02792377654</v>
      </c>
      <c r="AG2" s="63">
        <f>'增加值 (2001-2060, 2020RMB)'!AG2*$B$73</f>
        <v>256278.09364509967</v>
      </c>
      <c r="AH2" s="63">
        <f>'增加值 (2001-2060, 2020RMB)'!AH2*$B$73</f>
        <v>266656.57264527678</v>
      </c>
      <c r="AI2" s="63">
        <f>'增加值 (2001-2060, 2020RMB)'!AI2*$B$73</f>
        <v>277033.41723870276</v>
      </c>
      <c r="AJ2" s="64">
        <f>'增加值 (2001-2060, 2020RMB)'!AJ2*$B$73</f>
        <v>287510.37266809016</v>
      </c>
      <c r="AK2" s="65">
        <f>'增加值 (2001-2060, 2020RMB)'!AK2*$B$73</f>
        <v>298176.4816499041</v>
      </c>
      <c r="AL2" s="63">
        <f>'增加值 (2001-2060, 2020RMB)'!AL2*$B$73</f>
        <v>309023.64228772902</v>
      </c>
      <c r="AM2" s="63">
        <f>'增加值 (2001-2060, 2020RMB)'!AM2*$B$73</f>
        <v>320016.94592872763</v>
      </c>
      <c r="AN2" s="63">
        <f>'增加值 (2001-2060, 2020RMB)'!AN2*$B$73</f>
        <v>331119.72364807047</v>
      </c>
      <c r="AO2" s="66">
        <f>'增加值 (2001-2060, 2020RMB)'!AO2*$B$73</f>
        <v>342293.36588392628</v>
      </c>
      <c r="AP2" s="65">
        <f>'增加值 (2001-2060, 2020RMB)'!AP2*$B$73</f>
        <v>353497.17457128706</v>
      </c>
      <c r="AQ2" s="63">
        <f>'增加值 (2001-2060, 2020RMB)'!AQ2*$B$73</f>
        <v>364688.26096462732</v>
      </c>
      <c r="AR2" s="63">
        <f>'增加值 (2001-2060, 2020RMB)'!AR2*$B$73</f>
        <v>375821.50280484941</v>
      </c>
      <c r="AS2" s="63">
        <f>'增加值 (2001-2060, 2020RMB)'!AS2*$B$73</f>
        <v>386849.57428897003</v>
      </c>
      <c r="AT2" s="66">
        <f>'增加值 (2001-2060, 2020RMB)'!AT2*$B$73</f>
        <v>397723.06143215869</v>
      </c>
      <c r="AU2" s="65">
        <f>'增加值 (2001-2060, 2020RMB)'!AU2*$B$73</f>
        <v>408390.6738758189</v>
      </c>
      <c r="AV2" s="63">
        <f>'增加值 (2001-2060, 2020RMB)'!AV2*$B$73</f>
        <v>418799.56201268639</v>
      </c>
      <c r="AW2" s="63">
        <f>'增加值 (2001-2060, 2020RMB)'!AW2*$B$73</f>
        <v>428895.74550771696</v>
      </c>
      <c r="AX2" s="63">
        <f>'增加值 (2001-2060, 2020RMB)'!AX2*$B$73</f>
        <v>438624.65594945679</v>
      </c>
      <c r="AY2" s="64">
        <f>'增加值 (2001-2060, 2020RMB)'!AY2*$B$73</f>
        <v>447931.7925516275</v>
      </c>
      <c r="AZ2" s="65">
        <f>'增加值 (2001-2060, 2020RMB)'!AZ2*$B$73</f>
        <v>456763.48564678949</v>
      </c>
      <c r="BA2" s="63">
        <f>'增加值 (2001-2060, 2020RMB)'!BA2*$B$73</f>
        <v>465067.75831129251</v>
      </c>
      <c r="BB2" s="63">
        <f>'增加值 (2001-2060, 2020RMB)'!BB2*$B$73</f>
        <v>472795.27200300322</v>
      </c>
      <c r="BC2" s="63">
        <f>'增加值 (2001-2060, 2020RMB)'!BC2*$B$73</f>
        <v>479900.33778193867</v>
      </c>
      <c r="BD2" s="66">
        <f>'增加值 (2001-2060, 2020RMB)'!BD2*$B$73</f>
        <v>486341.97074898583</v>
      </c>
      <c r="BE2" s="65">
        <f>'增加值 (2001-2060, 2020RMB)'!BE2*$B$73</f>
        <v>492084.96203192492</v>
      </c>
      <c r="BF2" s="63">
        <f>'增加值 (2001-2060, 2020RMB)'!BF2*$B$73</f>
        <v>497100.94023660588</v>
      </c>
      <c r="BG2" s="63">
        <f>'增加值 (2001-2060, 2020RMB)'!BG2*$B$73</f>
        <v>501369.39303005778</v>
      </c>
      <c r="BH2" s="63">
        <f>'增加值 (2001-2060, 2020RMB)'!BH2*$B$73</f>
        <v>504878.61968157336</v>
      </c>
      <c r="BI2" s="64">
        <f>'增加值 (2001-2060, 2020RMB)'!BI2*$B$73</f>
        <v>507626.58717472659</v>
      </c>
    </row>
    <row r="3" spans="1:65" x14ac:dyDescent="0.2">
      <c r="A3" s="10" t="s">
        <v>1</v>
      </c>
      <c r="B3" s="11">
        <f>'增加值 (2001-2060, 2020RMB)'!B3*$B$73</f>
        <v>4087.7545701928575</v>
      </c>
      <c r="C3" s="12">
        <f>'增加值 (2001-2060, 2020RMB)'!C3*$B$73</f>
        <v>4256.5672618335975</v>
      </c>
      <c r="D3" s="12">
        <f>'增加值 (2001-2060, 2020RMB)'!D3*$B$73</f>
        <v>4359.0391330719422</v>
      </c>
      <c r="E3" s="12">
        <f>'增加值 (2001-2060, 2020RMB)'!E3*$B$73</f>
        <v>5020.1194018579472</v>
      </c>
      <c r="F3" s="13">
        <f>'增加值 (2001-2060, 2020RMB)'!F3*$B$73</f>
        <v>5058.6562839101334</v>
      </c>
      <c r="G3" s="11">
        <f>'增加值 (2001-2060, 2020RMB)'!G3*$B$73</f>
        <v>5218.3750681356632</v>
      </c>
      <c r="H3" s="12">
        <f>'增加值 (2001-2060, 2020RMB)'!H3*$B$73</f>
        <v>5737.5832175480764</v>
      </c>
      <c r="I3" s="12">
        <f>'增加值 (2001-2060, 2020RMB)'!I3*$B$73</f>
        <v>6249.4177713922809</v>
      </c>
      <c r="J3" s="12">
        <f>'增加值 (2001-2060, 2020RMB)'!J3*$B$73</f>
        <v>6493.3484271343377</v>
      </c>
      <c r="K3" s="13">
        <f>'增加值 (2001-2060, 2020RMB)'!K3*$B$73</f>
        <v>6942.3168374172674</v>
      </c>
      <c r="L3" s="11">
        <f>'增加值 (2001-2060, 2020RMB)'!L3*$B$73</f>
        <v>7481.3781978999614</v>
      </c>
      <c r="M3" s="12">
        <f>'增加值 (2001-2060, 2020RMB)'!M3*$B$73</f>
        <v>8020.3769385556816</v>
      </c>
      <c r="N3" s="12">
        <f>'增加值 (2001-2060, 2020RMB)'!N3*$B$73</f>
        <v>8491.2939215411498</v>
      </c>
      <c r="O3" s="12">
        <f>'增加值 (2001-2060, 2020RMB)'!O3*$B$73</f>
        <v>8829.6929692877166</v>
      </c>
      <c r="P3" s="13">
        <f>'增加值 (2001-2060, 2020RMB)'!P3*$B$73</f>
        <v>9192.1241516893569</v>
      </c>
      <c r="Q3" s="11">
        <f>'增加值 (2001-2060, 2020RMB)'!Q3*$B$73</f>
        <v>9453.7597865683565</v>
      </c>
      <c r="R3" s="12">
        <f>'增加值 (2001-2060, 2020RMB)'!R3*$B$73</f>
        <v>9386.5346121722068</v>
      </c>
      <c r="S3" s="12">
        <f>'增加值 (2001-2060, 2020RMB)'!S3*$B$73</f>
        <v>9471.2875722103745</v>
      </c>
      <c r="T3" s="12">
        <f>'增加值 (2001-2060, 2020RMB)'!T3*$B$73</f>
        <v>10188.720302781163</v>
      </c>
      <c r="U3" s="13">
        <f>'增加值 (2001-2060, 2020RMB)'!U3*$B$73</f>
        <v>11212.0777337072</v>
      </c>
      <c r="V3" s="11">
        <f>'增加值 (2001-2060, 2020RMB)'!V3*$B$73</f>
        <v>11427.392281670944</v>
      </c>
      <c r="W3" s="12">
        <f>'增加值 (2001-2060, 2020RMB)'!W3*$B$73</f>
        <v>11925.265056948831</v>
      </c>
      <c r="X3" s="67">
        <f>'增加值 (2001-2060, 2020RMB)'!X3*$B$73</f>
        <v>12348.800981803324</v>
      </c>
      <c r="Y3" s="67">
        <f>'增加值 (2001-2060, 2020RMB)'!Y3*$B$73</f>
        <v>12882.669906814783</v>
      </c>
      <c r="Z3" s="68">
        <f>'增加值 (2001-2060, 2020RMB)'!Z3*$B$73</f>
        <v>13506.813109442146</v>
      </c>
      <c r="AA3" s="69">
        <f>'增加值 (2001-2060, 2020RMB)'!AA3*$B$73</f>
        <v>14197.354082342184</v>
      </c>
      <c r="AB3" s="67">
        <f>'增加值 (2001-2060, 2020RMB)'!AB3*$B$73</f>
        <v>14924.886448460835</v>
      </c>
      <c r="AC3" s="67">
        <f>'增加值 (2001-2060, 2020RMB)'!AC3*$B$73</f>
        <v>15653.279627347956</v>
      </c>
      <c r="AD3" s="67">
        <f>'增加值 (2001-2060, 2020RMB)'!AD3*$B$73</f>
        <v>16339.242733998752</v>
      </c>
      <c r="AE3" s="70">
        <f>'增加值 (2001-2060, 2020RMB)'!AE3*$B$73</f>
        <v>16932.939881499609</v>
      </c>
      <c r="AF3" s="69">
        <f>'增加值 (2001-2060, 2020RMB)'!AF3*$B$73</f>
        <v>17393.562409645689</v>
      </c>
      <c r="AG3" s="67">
        <f>'增加值 (2001-2060, 2020RMB)'!AG3*$B$73</f>
        <v>17735.50054819552</v>
      </c>
      <c r="AH3" s="67">
        <f>'增加值 (2001-2060, 2020RMB)'!AH3*$B$73</f>
        <v>17992.039095585202</v>
      </c>
      <c r="AI3" s="67">
        <f>'增加值 (2001-2060, 2020RMB)'!AI3*$B$73</f>
        <v>18200.471418233676</v>
      </c>
      <c r="AJ3" s="68">
        <f>'增加值 (2001-2060, 2020RMB)'!AJ3*$B$73</f>
        <v>18400.663850757759</v>
      </c>
      <c r="AK3" s="69">
        <f>'增加值 (2001-2060, 2020RMB)'!AK3*$B$73</f>
        <v>18626.820712873243</v>
      </c>
      <c r="AL3" s="67">
        <f>'增加值 (2001-2060, 2020RMB)'!AL3*$B$73</f>
        <v>18884.006108408681</v>
      </c>
      <c r="AM3" s="67">
        <f>'增加值 (2001-2060, 2020RMB)'!AM3*$B$73</f>
        <v>19169.81613312773</v>
      </c>
      <c r="AN3" s="67">
        <f>'增加值 (2001-2060, 2020RMB)'!AN3*$B$73</f>
        <v>19481.771359685012</v>
      </c>
      <c r="AO3" s="70">
        <f>'增加值 (2001-2060, 2020RMB)'!AO3*$B$73</f>
        <v>19817.272386622109</v>
      </c>
      <c r="AP3" s="69">
        <f>'增加值 (2001-2060, 2020RMB)'!AP3*$B$73</f>
        <v>20173.558853075647</v>
      </c>
      <c r="AQ3" s="67">
        <f>'增加值 (2001-2060, 2020RMB)'!AQ3*$B$73</f>
        <v>20547.672118327173</v>
      </c>
      <c r="AR3" s="67">
        <f>'增加值 (2001-2060, 2020RMB)'!AR3*$B$73</f>
        <v>20936.421988788057</v>
      </c>
      <c r="AS3" s="67">
        <f>'增加值 (2001-2060, 2020RMB)'!AS3*$B$73</f>
        <v>21336.358043504122</v>
      </c>
      <c r="AT3" s="70">
        <f>'增加值 (2001-2060, 2020RMB)'!AT3*$B$73</f>
        <v>21743.746260485106</v>
      </c>
      <c r="AU3" s="69">
        <f>'增加值 (2001-2060, 2020RMB)'!AU3*$B$73</f>
        <v>22154.551776307013</v>
      </c>
      <c r="AV3" s="67">
        <f>'增加值 (2001-2060, 2020RMB)'!AV3*$B$73</f>
        <v>22564.428715324986</v>
      </c>
      <c r="AW3" s="67">
        <f>'增加值 (2001-2060, 2020RMB)'!AW3*$B$73</f>
        <v>22968.718096136352</v>
      </c>
      <c r="AX3" s="67">
        <f>'增加值 (2001-2060, 2020RMB)'!AX3*$B$73</f>
        <v>23362.454854422584</v>
      </c>
      <c r="AY3" s="68">
        <f>'增加值 (2001-2060, 2020RMB)'!AY3*$B$73</f>
        <v>23740.385005236229</v>
      </c>
      <c r="AZ3" s="69">
        <f>'增加值 (2001-2060, 2020RMB)'!AZ3*$B$73</f>
        <v>24096.993896371598</v>
      </c>
      <c r="BA3" s="67">
        <f>'增加值 (2001-2060, 2020RMB)'!BA3*$B$73</f>
        <v>24426.546370381242</v>
      </c>
      <c r="BB3" s="67">
        <f>'增加值 (2001-2060, 2020RMB)'!BB3*$B$73</f>
        <v>24723.13944994882</v>
      </c>
      <c r="BC3" s="67">
        <f>'增加值 (2001-2060, 2020RMB)'!BC3*$B$73</f>
        <v>24980.767885529564</v>
      </c>
      <c r="BD3" s="70">
        <f>'增加值 (2001-2060, 2020RMB)'!BD3*$B$73</f>
        <v>25193.402553972945</v>
      </c>
      <c r="BE3" s="69">
        <f>'增加值 (2001-2060, 2020RMB)'!BE3*$B$73</f>
        <v>25355.081274379212</v>
      </c>
      <c r="BF3" s="67">
        <f>'增加值 (2001-2060, 2020RMB)'!BF3*$B$73</f>
        <v>25460.011119166018</v>
      </c>
      <c r="BG3" s="67">
        <f>'增加值 (2001-2060, 2020RMB)'!BG3*$B$73</f>
        <v>25502.680755691395</v>
      </c>
      <c r="BH3" s="67">
        <f>'增加值 (2001-2060, 2020RMB)'!BH3*$B$73</f>
        <v>25477.980773689367</v>
      </c>
      <c r="BI3" s="68">
        <f>'增加值 (2001-2060, 2020RMB)'!BI3*$B$73</f>
        <v>25381.329358736351</v>
      </c>
    </row>
    <row r="4" spans="1:65" x14ac:dyDescent="0.2">
      <c r="A4" s="14" t="s">
        <v>2</v>
      </c>
      <c r="B4" s="11">
        <f>'增加值 (2001-2060, 2020RMB)'!B4*$B$73</f>
        <v>11360.305148771144</v>
      </c>
      <c r="C4" s="12">
        <f>'增加值 (2001-2060, 2020RMB)'!C4*$B$73</f>
        <v>12298.062693286282</v>
      </c>
      <c r="D4" s="12">
        <f>'增加值 (2001-2060, 2020RMB)'!D4*$B$73</f>
        <v>13884.790875628891</v>
      </c>
      <c r="E4" s="12">
        <f>'增加值 (2001-2060, 2020RMB)'!E4*$B$73</f>
        <v>15422.095104095906</v>
      </c>
      <c r="F4" s="13">
        <f>'增加值 (2001-2060, 2020RMB)'!F4*$B$73</f>
        <v>17592.823233998242</v>
      </c>
      <c r="G4" s="11">
        <f>'增加值 (2001-2060, 2020RMB)'!G4*$B$73</f>
        <v>20024.670878731729</v>
      </c>
      <c r="H4" s="12">
        <f>'增加值 (2001-2060, 2020RMB)'!H4*$B$73</f>
        <v>22498.315163918967</v>
      </c>
      <c r="I4" s="12">
        <f>'增加值 (2001-2060, 2020RMB)'!I4*$B$73</f>
        <v>24625.937654813672</v>
      </c>
      <c r="J4" s="12">
        <f>'增加值 (2001-2060, 2020RMB)'!J4*$B$73</f>
        <v>25871.065445139207</v>
      </c>
      <c r="K4" s="13">
        <f>'增加值 (2001-2060, 2020RMB)'!K4*$B$73</f>
        <v>28934.018460247236</v>
      </c>
      <c r="L4" s="11">
        <f>'增加值 (2001-2060, 2020RMB)'!L4*$B$73</f>
        <v>31652.799458352747</v>
      </c>
      <c r="M4" s="12">
        <f>'增加值 (2001-2060, 2020RMB)'!M4*$B$73</f>
        <v>33124.32229745431</v>
      </c>
      <c r="N4" s="12">
        <f>'增加值 (2001-2060, 2020RMB)'!N4*$B$73</f>
        <v>34518.444056519606</v>
      </c>
      <c r="O4" s="12">
        <f>'增加值 (2001-2060, 2020RMB)'!O4*$B$73</f>
        <v>35827.085847351853</v>
      </c>
      <c r="P4" s="13">
        <f>'增加值 (2001-2060, 2020RMB)'!P4*$B$73</f>
        <v>36086.373868234325</v>
      </c>
      <c r="Q4" s="11">
        <f>'增加值 (2001-2060, 2020RMB)'!Q4*$B$73</f>
        <v>37149.335570071082</v>
      </c>
      <c r="R4" s="12">
        <f>'增加值 (2001-2060, 2020RMB)'!R4*$B$73</f>
        <v>39938.398266727323</v>
      </c>
      <c r="S4" s="12">
        <f>'增加值 (2001-2060, 2020RMB)'!S4*$B$73</f>
        <v>42210.749247921012</v>
      </c>
      <c r="T4" s="12">
        <f>'增加值 (2001-2060, 2020RMB)'!T4*$B$73</f>
        <v>43185.307729585511</v>
      </c>
      <c r="U4" s="13">
        <f>'增加值 (2001-2060, 2020RMB)'!U4*$B$73</f>
        <v>43101.259119279217</v>
      </c>
      <c r="V4" s="11">
        <f>'增加值 (2001-2060, 2020RMB)'!V4*$B$73</f>
        <v>49064.409191140723</v>
      </c>
      <c r="W4" s="12">
        <f>'增加值 (2001-2060, 2020RMB)'!W4*$B$73</f>
        <v>51734.614096336591</v>
      </c>
      <c r="X4" s="67">
        <f>'增加值 (2001-2060, 2020RMB)'!X4*$B$73</f>
        <v>53402.036935695171</v>
      </c>
      <c r="Y4" s="67">
        <f>'增加值 (2001-2060, 2020RMB)'!Y4*$B$73</f>
        <v>55204.046334264836</v>
      </c>
      <c r="Z4" s="68">
        <f>'增加值 (2001-2060, 2020RMB)'!Z4*$B$73</f>
        <v>57130.168962910735</v>
      </c>
      <c r="AA4" s="69">
        <f>'增加值 (2001-2060, 2020RMB)'!AA4*$B$73</f>
        <v>59169.676231677942</v>
      </c>
      <c r="AB4" s="67">
        <f>'增加值 (2001-2060, 2020RMB)'!AB4*$B$73</f>
        <v>61310.88663789814</v>
      </c>
      <c r="AC4" s="67">
        <f>'增加值 (2001-2060, 2020RMB)'!AC4*$B$73</f>
        <v>63540.567147164518</v>
      </c>
      <c r="AD4" s="67">
        <f>'增加值 (2001-2060, 2020RMB)'!AD4*$B$73</f>
        <v>65843.477035301577</v>
      </c>
      <c r="AE4" s="70">
        <f>'增加值 (2001-2060, 2020RMB)'!AE4*$B$73</f>
        <v>68202.118967151138</v>
      </c>
      <c r="AF4" s="69">
        <f>'增加值 (2001-2060, 2020RMB)'!AF4*$B$73</f>
        <v>70596.032679186392</v>
      </c>
      <c r="AG4" s="67">
        <f>'增加值 (2001-2060, 2020RMB)'!AG4*$B$73</f>
        <v>72999.011854650817</v>
      </c>
      <c r="AH4" s="67">
        <f>'增加值 (2001-2060, 2020RMB)'!AH4*$B$73</f>
        <v>75379.907346201289</v>
      </c>
      <c r="AI4" s="67">
        <f>'增加值 (2001-2060, 2020RMB)'!AI4*$B$73</f>
        <v>77702.982104897106</v>
      </c>
      <c r="AJ4" s="68">
        <f>'增加值 (2001-2060, 2020RMB)'!AJ4*$B$73</f>
        <v>79927.883601729074</v>
      </c>
      <c r="AK4" s="69">
        <f>'增加值 (2001-2060, 2020RMB)'!AK4*$B$73</f>
        <v>82016.654137542428</v>
      </c>
      <c r="AL4" s="67">
        <f>'增加值 (2001-2060, 2020RMB)'!AL4*$B$73</f>
        <v>83956.504713510891</v>
      </c>
      <c r="AM4" s="67">
        <f>'增加值 (2001-2060, 2020RMB)'!AM4*$B$73</f>
        <v>85743.070782070179</v>
      </c>
      <c r="AN4" s="67">
        <f>'增加值 (2001-2060, 2020RMB)'!AN4*$B$73</f>
        <v>87374.121804855473</v>
      </c>
      <c r="AO4" s="70">
        <f>'增加值 (2001-2060, 2020RMB)'!AO4*$B$73</f>
        <v>88849.528813276367</v>
      </c>
      <c r="AP4" s="69">
        <f>'增加值 (2001-2060, 2020RMB)'!AP4*$B$73</f>
        <v>90171.194847867591</v>
      </c>
      <c r="AQ4" s="67">
        <f>'增加值 (2001-2060, 2020RMB)'!AQ4*$B$73</f>
        <v>91342.953933631914</v>
      </c>
      <c r="AR4" s="67">
        <f>'增加值 (2001-2060, 2020RMB)'!AR4*$B$73</f>
        <v>92370.444806549378</v>
      </c>
      <c r="AS4" s="67">
        <f>'增加值 (2001-2060, 2020RMB)'!AS4*$B$73</f>
        <v>93260.965872835644</v>
      </c>
      <c r="AT4" s="70">
        <f>'增加值 (2001-2060, 2020RMB)'!AT4*$B$73</f>
        <v>94023.317889715181</v>
      </c>
      <c r="AU4" s="69">
        <f>'增加值 (2001-2060, 2020RMB)'!AU4*$B$73</f>
        <v>94667.640646022614</v>
      </c>
      <c r="AV4" s="67">
        <f>'增加值 (2001-2060, 2020RMB)'!AV4*$B$73</f>
        <v>95205.249539855766</v>
      </c>
      <c r="AW4" s="67">
        <f>'增加值 (2001-2060, 2020RMB)'!AW4*$B$73</f>
        <v>95648.477447716388</v>
      </c>
      <c r="AX4" s="67">
        <f>'增加值 (2001-2060, 2020RMB)'!AX4*$B$73</f>
        <v>96010.526703212745</v>
      </c>
      <c r="AY4" s="68">
        <f>'增加值 (2001-2060, 2020RMB)'!AY4*$B$73</f>
        <v>96305.335398599913</v>
      </c>
      <c r="AZ4" s="69">
        <f>'增加值 (2001-2060, 2020RMB)'!AZ4*$B$73</f>
        <v>96547.46163006578</v>
      </c>
      <c r="BA4" s="67">
        <f>'增加值 (2001-2060, 2020RMB)'!BA4*$B$73</f>
        <v>96751.988763587273</v>
      </c>
      <c r="BB4" s="67">
        <f>'增加值 (2001-2060, 2020RMB)'!BB4*$B$73</f>
        <v>96934.454333211295</v>
      </c>
      <c r="BC4" s="67">
        <f>'增加值 (2001-2060, 2020RMB)'!BC4*$B$73</f>
        <v>97110.804824060746</v>
      </c>
      <c r="BD4" s="70">
        <f>'增加值 (2001-2060, 2020RMB)'!BD4*$B$73</f>
        <v>97297.378360987641</v>
      </c>
      <c r="BE4" s="69">
        <f>'增加值 (2001-2060, 2020RMB)'!BE4*$B$73</f>
        <v>97510.917241146672</v>
      </c>
      <c r="BF4" s="67">
        <f>'增加值 (2001-2060, 2020RMB)'!BF4*$B$73</f>
        <v>97768.612335043217</v>
      </c>
      <c r="BG4" s="67">
        <f>'增加值 (2001-2060, 2020RMB)'!BG4*$B$73</f>
        <v>98088.181657668363</v>
      </c>
      <c r="BH4" s="67">
        <f>'增加值 (2001-2060, 2020RMB)'!BH4*$B$73</f>
        <v>98487.985905403664</v>
      </c>
      <c r="BI4" s="68">
        <f>'增加值 (2001-2060, 2020RMB)'!BI4*$B$73</f>
        <v>98987.184499071693</v>
      </c>
    </row>
    <row r="5" spans="1:65" x14ac:dyDescent="0.2">
      <c r="A5" s="14" t="s">
        <v>3</v>
      </c>
      <c r="B5" s="11">
        <f>'增加值 (2001-2060, 2020RMB)'!B5*$B$73</f>
        <v>1540.1612672421822</v>
      </c>
      <c r="C5" s="12">
        <f>'增加值 (2001-2060, 2020RMB)'!C5*$B$73</f>
        <v>1668.6015498546517</v>
      </c>
      <c r="D5" s="12">
        <f>'增加值 (2001-2060, 2020RMB)'!D5*$B$73</f>
        <v>1883.7020080248521</v>
      </c>
      <c r="E5" s="12">
        <f>'增加值 (2001-2060, 2020RMB)'!E5*$B$73</f>
        <v>2044.676318098064</v>
      </c>
      <c r="F5" s="13">
        <f>'增加值 (2001-2060, 2020RMB)'!F5*$B$73</f>
        <v>2347.077322686599</v>
      </c>
      <c r="G5" s="11">
        <f>'增加值 (2001-2060, 2020RMB)'!G5*$B$73</f>
        <v>2702.9543290923684</v>
      </c>
      <c r="H5" s="12">
        <f>'增加值 (2001-2060, 2020RMB)'!H5*$B$73</f>
        <v>3091.6077343507995</v>
      </c>
      <c r="I5" s="12">
        <f>'增加值 (2001-2060, 2020RMB)'!I5*$B$73</f>
        <v>3516.1002173990582</v>
      </c>
      <c r="J5" s="12">
        <f>'增加值 (2001-2060, 2020RMB)'!J5*$B$73</f>
        <v>4249.2832410565443</v>
      </c>
      <c r="K5" s="13">
        <f>'增加值 (2001-2060, 2020RMB)'!K5*$B$73</f>
        <v>4776.5642082386867</v>
      </c>
      <c r="L5" s="11">
        <f>'增加值 (2001-2060, 2020RMB)'!L5*$B$73</f>
        <v>5340.8870972831774</v>
      </c>
      <c r="M5" s="12">
        <f>'增加值 (2001-2060, 2020RMB)'!M5*$B$73</f>
        <v>5850.4074549960123</v>
      </c>
      <c r="N5" s="12">
        <f>'增加值 (2001-2060, 2020RMB)'!N5*$B$73</f>
        <v>6349.4516468555794</v>
      </c>
      <c r="O5" s="12">
        <f>'增加值 (2001-2060, 2020RMB)'!O5*$B$73</f>
        <v>6975.2518832358974</v>
      </c>
      <c r="P5" s="13">
        <f>'增加值 (2001-2060, 2020RMB)'!P5*$B$73</f>
        <v>7335.1500059492982</v>
      </c>
      <c r="Q5" s="11">
        <f>'增加值 (2001-2060, 2020RMB)'!Q5*$B$73</f>
        <v>7795.8436193576599</v>
      </c>
      <c r="R5" s="12">
        <f>'增加值 (2001-2060, 2020RMB)'!R5*$B$73</f>
        <v>8406.014825836668</v>
      </c>
      <c r="S5" s="12">
        <f>'增加值 (2001-2060, 2020RMB)'!S5*$B$73</f>
        <v>9181.6899520975694</v>
      </c>
      <c r="T5" s="12">
        <f>'增加值 (2001-2060, 2020RMB)'!T5*$B$73</f>
        <v>9783.1483906350222</v>
      </c>
      <c r="U5" s="13">
        <f>'增加值 (2001-2060, 2020RMB)'!U5*$B$73</f>
        <v>9978.9991927797637</v>
      </c>
      <c r="V5" s="11">
        <f>'增加值 (2001-2060, 2020RMB)'!V5*$B$73</f>
        <v>10553.432167844274</v>
      </c>
      <c r="W5" s="12">
        <f>'增加值 (2001-2060, 2020RMB)'!W5*$B$73</f>
        <v>10740.330438291405</v>
      </c>
      <c r="X5" s="67">
        <f>'增加值 (2001-2060, 2020RMB)'!X5*$B$73</f>
        <v>11268.357905931083</v>
      </c>
      <c r="Y5" s="67">
        <f>'增加值 (2001-2060, 2020RMB)'!Y5*$B$73</f>
        <v>11828.047786150501</v>
      </c>
      <c r="Z5" s="68">
        <f>'增加值 (2001-2060, 2020RMB)'!Z5*$B$73</f>
        <v>12411.666100568467</v>
      </c>
      <c r="AA5" s="69">
        <f>'增加值 (2001-2060, 2020RMB)'!AA5*$B$73</f>
        <v>13009.685540671857</v>
      </c>
      <c r="AB5" s="67">
        <f>'增加值 (2001-2060, 2020RMB)'!AB5*$B$73</f>
        <v>13610.633646563751</v>
      </c>
      <c r="AC5" s="67">
        <f>'增加值 (2001-2060, 2020RMB)'!AC5*$B$73</f>
        <v>14201.030034446156</v>
      </c>
      <c r="AD5" s="67">
        <f>'增加值 (2001-2060, 2020RMB)'!AD5*$B$73</f>
        <v>14765.441287056314</v>
      </c>
      <c r="AE5" s="70">
        <f>'增加值 (2001-2060, 2020RMB)'!AE5*$B$73</f>
        <v>15286.681837464914</v>
      </c>
      <c r="AF5" s="69">
        <f>'增加值 (2001-2060, 2020RMB)'!AF5*$B$73</f>
        <v>15751.15334487427</v>
      </c>
      <c r="AG5" s="67">
        <f>'增加值 (2001-2060, 2020RMB)'!AG5*$B$73</f>
        <v>16165.306936276316</v>
      </c>
      <c r="AH5" s="67">
        <f>'增加值 (2001-2060, 2020RMB)'!AH5*$B$73</f>
        <v>16542.652173308106</v>
      </c>
      <c r="AI5" s="67">
        <f>'增加值 (2001-2060, 2020RMB)'!AI5*$B$73</f>
        <v>16898.689813780034</v>
      </c>
      <c r="AJ5" s="68">
        <f>'增加值 (2001-2060, 2020RMB)'!AJ5*$B$73</f>
        <v>17250.62236008541</v>
      </c>
      <c r="AK5" s="69">
        <f>'增加值 (2001-2060, 2020RMB)'!AK5*$B$73</f>
        <v>17613.704963850192</v>
      </c>
      <c r="AL5" s="67">
        <f>'增加值 (2001-2060, 2020RMB)'!AL5*$B$73</f>
        <v>17990.128807528097</v>
      </c>
      <c r="AM5" s="67">
        <f>'增加值 (2001-2060, 2020RMB)'!AM5*$B$73</f>
        <v>18378.58525346062</v>
      </c>
      <c r="AN5" s="67">
        <f>'增加值 (2001-2060, 2020RMB)'!AN5*$B$73</f>
        <v>18777.629839737496</v>
      </c>
      <c r="AO5" s="70">
        <f>'增加值 (2001-2060, 2020RMB)'!AO5*$B$73</f>
        <v>19185.671546120389</v>
      </c>
      <c r="AP5" s="69">
        <f>'增加值 (2001-2060, 2020RMB)'!AP5*$B$73</f>
        <v>19600.963274692891</v>
      </c>
      <c r="AQ5" s="67">
        <f>'增加值 (2001-2060, 2020RMB)'!AQ5*$B$73</f>
        <v>20021.593796250672</v>
      </c>
      <c r="AR5" s="67">
        <f>'增加值 (2001-2060, 2020RMB)'!AR5*$B$73</f>
        <v>20445.481437579016</v>
      </c>
      <c r="AS5" s="67">
        <f>'增加值 (2001-2060, 2020RMB)'!AS5*$B$73</f>
        <v>20870.369804806491</v>
      </c>
      <c r="AT5" s="70">
        <f>'增加值 (2001-2060, 2020RMB)'!AT5*$B$73</f>
        <v>21293.825852837799</v>
      </c>
      <c r="AU5" s="69">
        <f>'增加值 (2001-2060, 2020RMB)'!AU5*$B$73</f>
        <v>21713.240619227119</v>
      </c>
      <c r="AV5" s="67">
        <f>'增加值 (2001-2060, 2020RMB)'!AV5*$B$73</f>
        <v>22125.832941459113</v>
      </c>
      <c r="AW5" s="67">
        <f>'增加值 (2001-2060, 2020RMB)'!AW5*$B$73</f>
        <v>22528.656468142311</v>
      </c>
      <c r="AX5" s="67">
        <f>'增加值 (2001-2060, 2020RMB)'!AX5*$B$73</f>
        <v>22918.610255811862</v>
      </c>
      <c r="AY5" s="68">
        <f>'增加值 (2001-2060, 2020RMB)'!AY5*$B$73</f>
        <v>23292.453212684628</v>
      </c>
      <c r="AZ5" s="69">
        <f>'增加值 (2001-2060, 2020RMB)'!AZ5*$B$73</f>
        <v>23646.82260779052</v>
      </c>
      <c r="BA5" s="67">
        <f>'增加值 (2001-2060, 2020RMB)'!BA5*$B$73</f>
        <v>23978.256807624075</v>
      </c>
      <c r="BB5" s="67">
        <f>'增加值 (2001-2060, 2020RMB)'!BB5*$B$73</f>
        <v>24283.222332358531</v>
      </c>
      <c r="BC5" s="67">
        <f>'增加值 (2001-2060, 2020RMB)'!BC5*$B$73</f>
        <v>24558.145239676669</v>
      </c>
      <c r="BD5" s="70">
        <f>'增加值 (2001-2060, 2020RMB)'!BD5*$B$73</f>
        <v>24799.446746839032</v>
      </c>
      <c r="BE5" s="69">
        <f>'增加值 (2001-2060, 2020RMB)'!BE5*$B$73</f>
        <v>25003.582891722166</v>
      </c>
      <c r="BF5" s="67">
        <f>'增加值 (2001-2060, 2020RMB)'!BF5*$B$73</f>
        <v>25167.087912862786</v>
      </c>
      <c r="BG5" s="67">
        <f>'增加值 (2001-2060, 2020RMB)'!BG5*$B$73</f>
        <v>25286.620899347326</v>
      </c>
      <c r="BH5" s="67">
        <f>'增加值 (2001-2060, 2020RMB)'!BH5*$B$73</f>
        <v>25359.015126726474</v>
      </c>
      <c r="BI5" s="68">
        <f>'增加值 (2001-2060, 2020RMB)'!BI5*$B$73</f>
        <v>25381.329358736333</v>
      </c>
      <c r="BM5" s="58"/>
    </row>
    <row r="6" spans="1:65" x14ac:dyDescent="0.2">
      <c r="A6" s="14" t="s">
        <v>4</v>
      </c>
      <c r="B6" s="11">
        <f>'增加值 (2001-2060, 2020RMB)'!B6*$B$73</f>
        <v>1779.9865638888584</v>
      </c>
      <c r="C6" s="12">
        <f>'增加值 (2001-2060, 2020RMB)'!C6*$B$73</f>
        <v>1929.1588520812261</v>
      </c>
      <c r="D6" s="12">
        <f>'增加值 (2001-2060, 2020RMB)'!D6*$B$73</f>
        <v>1985.0248512961471</v>
      </c>
      <c r="E6" s="12">
        <f>'增加值 (2001-2060, 2020RMB)'!E6*$B$73</f>
        <v>2182.07444004124</v>
      </c>
      <c r="F6" s="13">
        <f>'增加值 (2001-2060, 2020RMB)'!F6*$B$73</f>
        <v>2407.624493080024</v>
      </c>
      <c r="G6" s="11">
        <f>'增加值 (2001-2060, 2020RMB)'!G6*$B$73</f>
        <v>2645.6825519970384</v>
      </c>
      <c r="H6" s="12">
        <f>'增加值 (2001-2060, 2020RMB)'!H6*$B$73</f>
        <v>2941.9624785618234</v>
      </c>
      <c r="I6" s="12">
        <f>'增加值 (2001-2060, 2020RMB)'!I6*$B$73</f>
        <v>3059.9397008816027</v>
      </c>
      <c r="J6" s="12">
        <f>'增加值 (2001-2060, 2020RMB)'!J6*$B$73</f>
        <v>3095.4018659274147</v>
      </c>
      <c r="K6" s="13">
        <f>'增加值 (2001-2060, 2020RMB)'!K6*$B$73</f>
        <v>3291.39308279641</v>
      </c>
      <c r="L6" s="11">
        <f>'增加值 (2001-2060, 2020RMB)'!L6*$B$73</f>
        <v>3542.9109069855335</v>
      </c>
      <c r="M6" s="12">
        <f>'增加值 (2001-2060, 2020RMB)'!M6*$B$73</f>
        <v>3767.9972255756365</v>
      </c>
      <c r="N6" s="12">
        <f>'增加值 (2001-2060, 2020RMB)'!N6*$B$73</f>
        <v>4043.2714638691973</v>
      </c>
      <c r="O6" s="12">
        <f>'增加值 (2001-2060, 2020RMB)'!O6*$B$73</f>
        <v>4383.8584752774987</v>
      </c>
      <c r="P6" s="13">
        <f>'增加值 (2001-2060, 2020RMB)'!P6*$B$73</f>
        <v>4687.1653536769218</v>
      </c>
      <c r="Q6" s="11">
        <f>'增加值 (2001-2060, 2020RMB)'!Q6*$B$73</f>
        <v>4999.8462132332597</v>
      </c>
      <c r="R6" s="12">
        <f>'增加值 (2001-2060, 2020RMB)'!R6*$B$73</f>
        <v>5388.8957503803813</v>
      </c>
      <c r="S6" s="12">
        <f>'增加值 (2001-2060, 2020RMB)'!S6*$B$73</f>
        <v>5655.0114353556883</v>
      </c>
      <c r="T6" s="12">
        <f>'增加值 (2001-2060, 2020RMB)'!T6*$B$73</f>
        <v>5880.6127058084239</v>
      </c>
      <c r="U6" s="13">
        <f>'增加值 (2001-2060, 2020RMB)'!U6*$B$73</f>
        <v>5590.1498155235904</v>
      </c>
      <c r="V6" s="11">
        <f>'增加值 (2001-2060, 2020RMB)'!V6*$B$73</f>
        <v>6197.4853776568434</v>
      </c>
      <c r="W6" s="12">
        <f>'增加值 (2001-2060, 2020RMB)'!W6*$B$73</f>
        <v>6398.3223470050361</v>
      </c>
      <c r="X6" s="67">
        <f>'增加值 (2001-2060, 2020RMB)'!X6*$B$73</f>
        <v>6679.1036917377596</v>
      </c>
      <c r="Y6" s="111">
        <f>'增加值 (2001-2060, 2020RMB)'!Y6*$B$73</f>
        <v>6952.835105393192</v>
      </c>
      <c r="Z6" s="71">
        <f>'增加值 (2001-2060, 2020RMB)'!Z6*$B$73</f>
        <v>7217.1863266649689</v>
      </c>
      <c r="AA6" s="69">
        <f>'增加值 (2001-2060, 2020RMB)'!AA6*$B$73</f>
        <v>7469.761228328779</v>
      </c>
      <c r="AB6" s="67">
        <f>'增加值 (2001-2060, 2020RMB)'!AB6*$B$73</f>
        <v>7708.1277913241538</v>
      </c>
      <c r="AC6" s="67">
        <f>'增加值 (2001-2060, 2020RMB)'!AC6*$B$73</f>
        <v>7929.8513588114556</v>
      </c>
      <c r="AD6" s="67">
        <f>'增加值 (2001-2060, 2020RMB)'!AD6*$B$73</f>
        <v>8132.5307067742524</v>
      </c>
      <c r="AE6" s="70">
        <f>'增加值 (2001-2060, 2020RMB)'!AE6*$B$73</f>
        <v>8313.8363428744397</v>
      </c>
      <c r="AF6" s="69">
        <f>'增加值 (2001-2060, 2020RMB)'!AF6*$B$73</f>
        <v>8472.7219710035442</v>
      </c>
      <c r="AG6" s="67">
        <f>'增加值 (2001-2060, 2020RMB)'!AG6*$B$73</f>
        <v>8613.1306705505922</v>
      </c>
      <c r="AH6" s="67">
        <f>'增加值 (2001-2060, 2020RMB)'!AH6*$B$73</f>
        <v>8740.7086562495115</v>
      </c>
      <c r="AI6" s="67">
        <f>'增加值 (2001-2060, 2020RMB)'!AI6*$B$73</f>
        <v>8861.5708325451906</v>
      </c>
      <c r="AJ6" s="71">
        <f>'增加值 (2001-2060, 2020RMB)'!AJ6*$B$73</f>
        <v>8982.2300437832146</v>
      </c>
      <c r="AK6" s="69">
        <f>'增加值 (2001-2060, 2020RMB)'!AK6*$B$73</f>
        <v>9108.0499497045766</v>
      </c>
      <c r="AL6" s="67">
        <f>'增加值 (2001-2060, 2020RMB)'!AL6*$B$73</f>
        <v>9238.5234691768419</v>
      </c>
      <c r="AM6" s="67">
        <f>'增加值 (2001-2060, 2020RMB)'!AM6*$B$73</f>
        <v>9371.5466393796032</v>
      </c>
      <c r="AN6" s="67">
        <f>'增加值 (2001-2060, 2020RMB)'!AN6*$B$73</f>
        <v>9504.8906789976209</v>
      </c>
      <c r="AO6" s="70">
        <f>'增加值 (2001-2060, 2020RMB)'!AO6*$B$73</f>
        <v>9636.1985831073889</v>
      </c>
      <c r="AP6" s="69">
        <f>'增加值 (2001-2060, 2020RMB)'!AP6*$B$73</f>
        <v>9762.9873273616031</v>
      </c>
      <c r="AQ6" s="67">
        <f>'增加值 (2001-2060, 2020RMB)'!AQ6*$B$73</f>
        <v>9882.6562135705699</v>
      </c>
      <c r="AR6" s="67">
        <f>'增加值 (2001-2060, 2020RMB)'!AR6*$B$73</f>
        <v>9992.5018512255883</v>
      </c>
      <c r="AS6" s="67">
        <f>'增加值 (2001-2060, 2020RMB)'!AS6*$B$73</f>
        <v>10089.740186172856</v>
      </c>
      <c r="AT6" s="70">
        <f>'增加值 (2001-2060, 2020RMB)'!AT6*$B$73</f>
        <v>10171.535854540856</v>
      </c>
      <c r="AU6" s="69">
        <f>'增加值 (2001-2060, 2020RMB)'!AU6*$B$73</f>
        <v>10235.038954687421</v>
      </c>
      <c r="AV6" s="67">
        <f>'增加值 (2001-2060, 2020RMB)'!AV6*$B$73</f>
        <v>10277.429092132072</v>
      </c>
      <c r="AW6" s="67">
        <f>'增加值 (2001-2060, 2020RMB)'!AW6*$B$73</f>
        <v>10295.966264884937</v>
      </c>
      <c r="AX6" s="67">
        <f>'增加值 (2001-2060, 2020RMB)'!AX6*$B$73</f>
        <v>10288.047825601472</v>
      </c>
      <c r="AY6" s="71">
        <f>'增加值 (2001-2060, 2020RMB)'!AY6*$B$73</f>
        <v>10251.270393028704</v>
      </c>
      <c r="AZ6" s="69">
        <f>'增加值 (2001-2060, 2020RMB)'!AZ6*$B$73</f>
        <v>10183.495203163326</v>
      </c>
      <c r="BA6" s="67">
        <f>'增加值 (2001-2060, 2020RMB)'!BA6*$B$73</f>
        <v>10082.915009756285</v>
      </c>
      <c r="BB6" s="67">
        <f>'增加值 (2001-2060, 2020RMB)'!BB6*$B$73</f>
        <v>9948.1202876817733</v>
      </c>
      <c r="BC6" s="67">
        <f>'增加值 (2001-2060, 2020RMB)'!BC6*$B$73</f>
        <v>9778.1621878820915</v>
      </c>
      <c r="BD6" s="70">
        <f>'增加值 (2001-2060, 2020RMB)'!BD6*$B$73</f>
        <v>9572.609467637978</v>
      </c>
      <c r="BE6" s="69">
        <f>'增加值 (2001-2060, 2020RMB)'!BE6*$B$73</f>
        <v>9331.596503408955</v>
      </c>
      <c r="BF6" s="67">
        <f>'增加值 (2001-2060, 2020RMB)'!BF6*$B$73</f>
        <v>9055.8595118714984</v>
      </c>
      <c r="BG6" s="67">
        <f>'增加值 (2001-2060, 2020RMB)'!BG6*$B$73</f>
        <v>8746.7582797351643</v>
      </c>
      <c r="BH6" s="67">
        <f>'增加值 (2001-2060, 2020RMB)'!BH6*$B$73</f>
        <v>8406.2810486755516</v>
      </c>
      <c r="BI6" s="71">
        <f>'增加值 (2001-2060, 2020RMB)'!BI6*$B$73</f>
        <v>8037.0307224977596</v>
      </c>
    </row>
    <row r="7" spans="1:65" x14ac:dyDescent="0.2">
      <c r="A7" s="14" t="s">
        <v>5</v>
      </c>
      <c r="B7" s="11">
        <f>'增加值 (2001-2060, 2020RMB)'!B7*$B$73</f>
        <v>2362.7117797094429</v>
      </c>
      <c r="C7" s="12">
        <f>'增加值 (2001-2060, 2020RMB)'!C7*$B$73</f>
        <v>2573.3444367700249</v>
      </c>
      <c r="D7" s="12">
        <f>'增加值 (2001-2060, 2020RMB)'!D7*$B$73</f>
        <v>2801.7270959215039</v>
      </c>
      <c r="E7" s="12">
        <f>'增加值 (2001-2060, 2020RMB)'!E7*$B$73</f>
        <v>2920.4838349826118</v>
      </c>
      <c r="F7" s="13">
        <f>'增加值 (2001-2060, 2020RMB)'!F7*$B$73</f>
        <v>3152.2666777508543</v>
      </c>
      <c r="G7" s="11">
        <f>'增加值 (2001-2060, 2020RMB)'!G7*$B$73</f>
        <v>3589.4510971490809</v>
      </c>
      <c r="H7" s="12">
        <f>'增加值 (2001-2060, 2020RMB)'!H7*$B$73</f>
        <v>4218.2477668630136</v>
      </c>
      <c r="I7" s="12">
        <f>'增加值 (2001-2060, 2020RMB)'!I7*$B$73</f>
        <v>4895.5370973890995</v>
      </c>
      <c r="J7" s="12">
        <f>'增加值 (2001-2060, 2020RMB)'!J7*$B$73</f>
        <v>5433.8893236138974</v>
      </c>
      <c r="K7" s="13">
        <f>'增加值 (2001-2060, 2020RMB)'!K7*$B$73</f>
        <v>6292.0320746686066</v>
      </c>
      <c r="L7" s="11">
        <f>'增加值 (2001-2060, 2020RMB)'!L7*$B$73</f>
        <v>7094.0132342074357</v>
      </c>
      <c r="M7" s="12">
        <f>'增加值 (2001-2060, 2020RMB)'!M7*$B$73</f>
        <v>7902.1354756587762</v>
      </c>
      <c r="N7" s="12">
        <f>'增加值 (2001-2060, 2020RMB)'!N7*$B$73</f>
        <v>8739.1592692995291</v>
      </c>
      <c r="O7" s="12">
        <f>'增加值 (2001-2060, 2020RMB)'!O7*$B$73</f>
        <v>9705.1311198647836</v>
      </c>
      <c r="P7" s="13">
        <f>'增加值 (2001-2060, 2020RMB)'!P7*$B$73</f>
        <v>10400.3329964403</v>
      </c>
      <c r="Q7" s="11">
        <f>'增加值 (2001-2060, 2020RMB)'!Q7*$B$73</f>
        <v>11160.329112181693</v>
      </c>
      <c r="R7" s="12">
        <f>'增加值 (2001-2060, 2020RMB)'!R7*$B$73</f>
        <v>11781.305829047558</v>
      </c>
      <c r="S7" s="12">
        <f>'增加值 (2001-2060, 2020RMB)'!S7*$B$73</f>
        <v>12463.716870418164</v>
      </c>
      <c r="T7" s="12">
        <f>'增加值 (2001-2060, 2020RMB)'!T7*$B$73</f>
        <v>13245.465177376198</v>
      </c>
      <c r="U7" s="13">
        <f>'增加值 (2001-2060, 2020RMB)'!U7*$B$73</f>
        <v>13235.517772002033</v>
      </c>
      <c r="V7" s="11">
        <f>'增加值 (2001-2060, 2020RMB)'!V7*$B$73</f>
        <v>14550.774153396518</v>
      </c>
      <c r="W7" s="12">
        <f>'增加值 (2001-2060, 2020RMB)'!W7*$B$73</f>
        <v>14750.68615862355</v>
      </c>
      <c r="X7" s="67">
        <f>'增加值 (2001-2060, 2020RMB)'!X7*$B$73</f>
        <v>15432.261891869593</v>
      </c>
      <c r="Y7" s="111">
        <f>'增加值 (2001-2060, 2020RMB)'!Y7*$B$73</f>
        <v>16099.179854607333</v>
      </c>
      <c r="Z7" s="71">
        <f>'增加值 (2001-2060, 2020RMB)'!Z7*$B$73</f>
        <v>16745.816137468952</v>
      </c>
      <c r="AA7" s="69">
        <f>'增加值 (2001-2060, 2020RMB)'!AA7*$B$73</f>
        <v>17366.363111087278</v>
      </c>
      <c r="AB7" s="67">
        <f>'增加值 (2001-2060, 2020RMB)'!AB7*$B$73</f>
        <v>17954.90131292498</v>
      </c>
      <c r="AC7" s="67">
        <f>'增加值 (2001-2060, 2020RMB)'!AC7*$B$73</f>
        <v>18505.479691921486</v>
      </c>
      <c r="AD7" s="67">
        <f>'增加值 (2001-2060, 2020RMB)'!AD7*$B$73</f>
        <v>19012.203111100567</v>
      </c>
      <c r="AE7" s="70">
        <f>'增加值 (2001-2060, 2020RMB)'!AE7*$B$73</f>
        <v>19469.325695457643</v>
      </c>
      <c r="AF7" s="69">
        <f>'增加值 (2001-2060, 2020RMB)'!AF7*$B$73</f>
        <v>19874.112210433137</v>
      </c>
      <c r="AG7" s="67">
        <f>'增加值 (2001-2060, 2020RMB)'!AG7*$B$73</f>
        <v>20235.620626951171</v>
      </c>
      <c r="AH7" s="67">
        <f>'增加值 (2001-2060, 2020RMB)'!AH7*$B$73</f>
        <v>20567.016072451264</v>
      </c>
      <c r="AI7" s="67">
        <f>'增加值 (2001-2060, 2020RMB)'!AI7*$B$73</f>
        <v>20882.669594215808</v>
      </c>
      <c r="AJ7" s="71">
        <f>'增加值 (2001-2060, 2020RMB)'!AJ7*$B$73</f>
        <v>21197.991869898207</v>
      </c>
      <c r="AK7" s="69">
        <f>'增加值 (2001-2060, 2020RMB)'!AK7*$B$73</f>
        <v>21525.753316969112</v>
      </c>
      <c r="AL7" s="67">
        <f>'增加值 (2001-2060, 2020RMB)'!AL7*$B$73</f>
        <v>21864.810222214463</v>
      </c>
      <c r="AM7" s="67">
        <f>'增加值 (2001-2060, 2020RMB)'!AM7*$B$73</f>
        <v>22210.202507628146</v>
      </c>
      <c r="AN7" s="67">
        <f>'增加值 (2001-2060, 2020RMB)'!AN7*$B$73</f>
        <v>22556.645541061604</v>
      </c>
      <c r="AO7" s="70">
        <f>'增加值 (2001-2060, 2020RMB)'!AO7*$B$73</f>
        <v>22898.521380666127</v>
      </c>
      <c r="AP7" s="69">
        <f>'增加值 (2001-2060, 2020RMB)'!AP7*$B$73</f>
        <v>23229.883396776029</v>
      </c>
      <c r="AQ7" s="67">
        <f>'增加值 (2001-2060, 2020RMB)'!AQ7*$B$73</f>
        <v>23544.475659144442</v>
      </c>
      <c r="AR7" s="67">
        <f>'增加值 (2001-2060, 2020RMB)'!AR7*$B$73</f>
        <v>23835.768391061378</v>
      </c>
      <c r="AS7" s="67">
        <f>'增加值 (2001-2060, 2020RMB)'!AS7*$B$73</f>
        <v>24097.010594272393</v>
      </c>
      <c r="AT7" s="70">
        <f>'增加值 (2001-2060, 2020RMB)'!AT7*$B$73</f>
        <v>24321.30062909257</v>
      </c>
      <c r="AU7" s="69">
        <f>'增加值 (2001-2060, 2020RMB)'!AU7*$B$73</f>
        <v>24501.675085643295</v>
      </c>
      <c r="AV7" s="67">
        <f>'增加值 (2001-2060, 2020RMB)'!AV7*$B$73</f>
        <v>24631.215703118025</v>
      </c>
      <c r="AW7" s="67">
        <f>'增加值 (2001-2060, 2020RMB)'!AW7*$B$73</f>
        <v>24703.173390015581</v>
      </c>
      <c r="AX7" s="67">
        <f>'增加值 (2001-2060, 2020RMB)'!AX7*$B$73</f>
        <v>24711.107583859255</v>
      </c>
      <c r="AY7" s="71">
        <f>'增加值 (2001-2060, 2020RMB)'!AY7*$B$73</f>
        <v>24649.038288789438</v>
      </c>
      <c r="AZ7" s="69">
        <f>'增加值 (2001-2060, 2020RMB)'!AZ7*$B$73</f>
        <v>24511.607179399169</v>
      </c>
      <c r="BA7" s="67">
        <f>'增加值 (2001-2060, 2020RMB)'!BA7*$B$73</f>
        <v>24294.243206291041</v>
      </c>
      <c r="BB7" s="67">
        <f>'增加值 (2001-2060, 2020RMB)'!BB7*$B$73</f>
        <v>23993.327240428429</v>
      </c>
      <c r="BC7" s="67">
        <f>'增加值 (2001-2060, 2020RMB)'!BC7*$B$73</f>
        <v>23606.349515134425</v>
      </c>
      <c r="BD7" s="70">
        <f>'增加值 (2001-2060, 2020RMB)'!BD7*$B$73</f>
        <v>23132.053037427409</v>
      </c>
      <c r="BE7" s="69">
        <f>'增加值 (2001-2060, 2020RMB)'!BE7*$B$73</f>
        <v>22570.555815821044</v>
      </c>
      <c r="BF7" s="67">
        <f>'增加值 (2001-2060, 2020RMB)'!BF7*$B$73</f>
        <v>21923.444756469409</v>
      </c>
      <c r="BG7" s="67">
        <f>'增加值 (2001-2060, 2020RMB)'!BG7*$B$73</f>
        <v>21193.834469101592</v>
      </c>
      <c r="BH7" s="67">
        <f>'增加值 (2001-2060, 2020RMB)'!BH7*$B$73</f>
        <v>20386.385036092353</v>
      </c>
      <c r="BI7" s="71">
        <f>'增加值 (2001-2060, 2020RMB)'!BI7*$B$73</f>
        <v>19507.274045361686</v>
      </c>
    </row>
    <row r="8" spans="1:65" x14ac:dyDescent="0.2">
      <c r="A8" s="14" t="s">
        <v>6</v>
      </c>
      <c r="B8" s="11">
        <f>'增加值 (2001-2060, 2020RMB)'!B8*$B$73</f>
        <v>621.73762635740661</v>
      </c>
      <c r="C8" s="12">
        <f>'增加值 (2001-2060, 2020RMB)'!C8*$B$73</f>
        <v>701.40934312089519</v>
      </c>
      <c r="D8" s="12">
        <f>'增加值 (2001-2060, 2020RMB)'!D8*$B$73</f>
        <v>784.023119679194</v>
      </c>
      <c r="E8" s="12">
        <f>'增加值 (2001-2060, 2020RMB)'!E8*$B$73</f>
        <v>859.27753805008717</v>
      </c>
      <c r="F8" s="13">
        <f>'增加值 (2001-2060, 2020RMB)'!F8*$B$73</f>
        <v>946.84220208606928</v>
      </c>
      <c r="G8" s="11">
        <f>'增加值 (2001-2060, 2020RMB)'!G8*$B$73</f>
        <v>1040.4879412701976</v>
      </c>
      <c r="H8" s="12">
        <f>'增加值 (2001-2060, 2020RMB)'!H8*$B$73</f>
        <v>1117.5755063168929</v>
      </c>
      <c r="I8" s="12">
        <f>'增加值 (2001-2060, 2020RMB)'!I8*$B$73</f>
        <v>1236.8867185783361</v>
      </c>
      <c r="J8" s="12">
        <f>'增加值 (2001-2060, 2020RMB)'!J8*$B$73</f>
        <v>1303.3645705985221</v>
      </c>
      <c r="K8" s="13">
        <f>'增加值 (2001-2060, 2020RMB)'!K8*$B$73</f>
        <v>1351.3502978409845</v>
      </c>
      <c r="L8" s="11">
        <f>'增加值 (2001-2060, 2020RMB)'!L8*$B$73</f>
        <v>1389.3621958929532</v>
      </c>
      <c r="M8" s="12">
        <f>'增加值 (2001-2060, 2020RMB)'!M8*$B$73</f>
        <v>1512.2126961264596</v>
      </c>
      <c r="N8" s="12">
        <f>'增加值 (2001-2060, 2020RMB)'!N8*$B$73</f>
        <v>1587.9994591149652</v>
      </c>
      <c r="O8" s="12">
        <f>'增加值 (2001-2060, 2020RMB)'!O8*$B$73</f>
        <v>1725.1118531088246</v>
      </c>
      <c r="P8" s="13">
        <f>'增加值 (2001-2060, 2020RMB)'!P8*$B$73</f>
        <v>1889.9629928040622</v>
      </c>
      <c r="Q8" s="11">
        <f>'增加值 (2001-2060, 2020RMB)'!Q8*$B$73</f>
        <v>2059.9329462084656</v>
      </c>
      <c r="R8" s="12">
        <f>'增加值 (2001-2060, 2020RMB)'!R8*$B$73</f>
        <v>2185.6428258717096</v>
      </c>
      <c r="S8" s="12">
        <f>'增加值 (2001-2060, 2020RMB)'!S8*$B$73</f>
        <v>2316.0799936271524</v>
      </c>
      <c r="T8" s="12">
        <f>'增加值 (2001-2060, 2020RMB)'!T8*$B$73</f>
        <v>2479.1704794945354</v>
      </c>
      <c r="U8" s="13">
        <f>'增加值 (2001-2060, 2020RMB)'!U8*$B$73</f>
        <v>2105.5093645403431</v>
      </c>
      <c r="V8" s="11">
        <f>'增加值 (2001-2060, 2020RMB)'!V8*$B$73</f>
        <v>2351.0073575080228</v>
      </c>
      <c r="W8" s="12">
        <f>'增加值 (2001-2060, 2020RMB)'!W8*$B$73</f>
        <v>2299.888371562397</v>
      </c>
      <c r="X8" s="67">
        <f>'增加值 (2001-2060, 2020RMB)'!X8*$B$73</f>
        <v>2414.443324847331</v>
      </c>
      <c r="Y8" s="67">
        <f>'增加值 (2001-2060, 2020RMB)'!Y8*$B$73</f>
        <v>2527.1457980917867</v>
      </c>
      <c r="Z8" s="71">
        <f>'增加值 (2001-2060, 2020RMB)'!Z8*$B$73</f>
        <v>2637.0585320215723</v>
      </c>
      <c r="AA8" s="69">
        <f>'增加值 (2001-2060, 2020RMB)'!AA8*$B$73</f>
        <v>2743.2070779780784</v>
      </c>
      <c r="AB8" s="67">
        <f>'增加值 (2001-2060, 2020RMB)'!AB8*$B$73</f>
        <v>2844.591654147951</v>
      </c>
      <c r="AC8" s="67">
        <f>'增加值 (2001-2060, 2020RMB)'!AC8*$B$73</f>
        <v>2940.2005172694326</v>
      </c>
      <c r="AD8" s="67">
        <f>'增加值 (2001-2060, 2020RMB)'!AD8*$B$73</f>
        <v>3029.0246718585108</v>
      </c>
      <c r="AE8" s="70">
        <f>'增加值 (2001-2060, 2020RMB)'!AE8*$B$73</f>
        <v>3110.0736835705261</v>
      </c>
      <c r="AF8" s="69">
        <f>'增加值 (2001-2060, 2020RMB)'!AF8*$B$73</f>
        <v>3182.8388226764378</v>
      </c>
      <c r="AG8" s="67">
        <f>'增加值 (2001-2060, 2020RMB)'!AG8*$B$73</f>
        <v>3248.721865100496</v>
      </c>
      <c r="AH8" s="67">
        <f>'增加值 (2001-2060, 2020RMB)'!AH8*$B$73</f>
        <v>3309.8101128462254</v>
      </c>
      <c r="AI8" s="67">
        <f>'增加值 (2001-2060, 2020RMB)'!AI8*$B$73</f>
        <v>3368.4106699168333</v>
      </c>
      <c r="AJ8" s="71">
        <f>'增加值 (2001-2060, 2020RMB)'!AJ8*$B$73</f>
        <v>3427.0239925283017</v>
      </c>
      <c r="AK8" s="69">
        <f>'增加值 (2001-2060, 2020RMB)'!AK8*$B$73</f>
        <v>3487.742026223993</v>
      </c>
      <c r="AL8" s="67">
        <f>'增加值 (2001-2060, 2020RMB)'!AL8*$B$73</f>
        <v>3550.3927642809431</v>
      </c>
      <c r="AM8" s="67">
        <f>'增加值 (2001-2060, 2020RMB)'!AM8*$B$73</f>
        <v>3614.1753180286119</v>
      </c>
      <c r="AN8" s="67">
        <f>'增加值 (2001-2060, 2020RMB)'!AN8*$B$73</f>
        <v>3678.2287702288054</v>
      </c>
      <c r="AO8" s="70">
        <f>'增加值 (2001-2060, 2020RMB)'!AO8*$B$73</f>
        <v>3741.6305134200766</v>
      </c>
      <c r="AP8" s="69">
        <f>'增加值 (2001-2060, 2020RMB)'!AP8*$B$73</f>
        <v>3803.3967880124997</v>
      </c>
      <c r="AQ8" s="67">
        <f>'增加值 (2001-2060, 2020RMB)'!AQ8*$B$73</f>
        <v>3862.4856784701446</v>
      </c>
      <c r="AR8" s="67">
        <f>'增加值 (2001-2060, 2020RMB)'!AR8*$B$73</f>
        <v>3917.8028129152394</v>
      </c>
      <c r="AS8" s="67">
        <f>'增加值 (2001-2060, 2020RMB)'!AS8*$B$73</f>
        <v>3968.2099796679859</v>
      </c>
      <c r="AT8" s="70">
        <f>'增加值 (2001-2060, 2020RMB)'!AT8*$B$73</f>
        <v>4012.5368215308422</v>
      </c>
      <c r="AU8" s="69">
        <f>'增加值 (2001-2060, 2020RMB)'!AU8*$B$73</f>
        <v>4049.595693573991</v>
      </c>
      <c r="AV8" s="67">
        <f>'增加值 (2001-2060, 2020RMB)'!AV8*$B$73</f>
        <v>4078.1996722296876</v>
      </c>
      <c r="AW8" s="67">
        <f>'增加值 (2001-2060, 2020RMB)'!AW8*$B$73</f>
        <v>4097.1835833418754</v>
      </c>
      <c r="AX8" s="67">
        <f>'增加值 (2001-2060, 2020RMB)'!AX8*$B$73</f>
        <v>4105.427776656732</v>
      </c>
      <c r="AY8" s="71">
        <f>'增加值 (2001-2060, 2020RMB)'!AY8*$B$73</f>
        <v>4101.8842180812917</v>
      </c>
      <c r="AZ8" s="69">
        <f>'增加值 (2001-2060, 2020RMB)'!AZ8*$B$73</f>
        <v>4085.6043048286147</v>
      </c>
      <c r="BA8" s="67">
        <f>'增加值 (2001-2060, 2020RMB)'!BA8*$B$73</f>
        <v>4055.7676402524389</v>
      </c>
      <c r="BB8" s="67">
        <f>'增加值 (2001-2060, 2020RMB)'!BB8*$B$73</f>
        <v>4011.710844560233</v>
      </c>
      <c r="BC8" s="67">
        <f>'增加值 (2001-2060, 2020RMB)'!BC8*$B$73</f>
        <v>3952.9553360445134</v>
      </c>
      <c r="BD8" s="70">
        <f>'增加值 (2001-2060, 2020RMB)'!BD8*$B$73</f>
        <v>3879.2329073634678</v>
      </c>
      <c r="BE8" s="69">
        <f>'增加值 (2001-2060, 2020RMB)'!BE8*$B$73</f>
        <v>3790.5078553702238</v>
      </c>
      <c r="BF8" s="67">
        <f>'增加值 (2001-2060, 2020RMB)'!BF8*$B$73</f>
        <v>3686.9944129776113</v>
      </c>
      <c r="BG8" s="67">
        <f>'增加值 (2001-2060, 2020RMB)'!BG8*$B$73</f>
        <v>3569.1682876858818</v>
      </c>
      <c r="BH8" s="67">
        <f>'增加值 (2001-2060, 2020RMB)'!BH8*$B$73</f>
        <v>3437.7712408412481</v>
      </c>
      <c r="BI8" s="71">
        <f>'增加值 (2001-2060, 2020RMB)'!BI8*$B$73</f>
        <v>3293.8078474251543</v>
      </c>
    </row>
    <row r="9" spans="1:65" x14ac:dyDescent="0.2">
      <c r="A9" s="14" t="s">
        <v>7</v>
      </c>
      <c r="B9" s="11">
        <f>'增加值 (2001-2060, 2020RMB)'!B9*$B$73</f>
        <v>1347.7673940303803</v>
      </c>
      <c r="C9" s="12">
        <f>'增加值 (2001-2060, 2020RMB)'!C9*$B$73</f>
        <v>1430.156352213399</v>
      </c>
      <c r="D9" s="12">
        <f>'增加值 (2001-2060, 2020RMB)'!D9*$B$73</f>
        <v>1516.2562216962042</v>
      </c>
      <c r="E9" s="12">
        <f>'增加值 (2001-2060, 2020RMB)'!E9*$B$73</f>
        <v>1547.534273804351</v>
      </c>
      <c r="F9" s="13">
        <f>'增加值 (2001-2060, 2020RMB)'!F9*$B$73</f>
        <v>1689.363091931338</v>
      </c>
      <c r="G9" s="11">
        <f>'增加值 (2001-2060, 2020RMB)'!G9*$B$73</f>
        <v>2165.0164621977192</v>
      </c>
      <c r="H9" s="12">
        <f>'增加值 (2001-2060, 2020RMB)'!H9*$B$73</f>
        <v>3061.7955148639662</v>
      </c>
      <c r="I9" s="12">
        <f>'增加值 (2001-2060, 2020RMB)'!I9*$B$73</f>
        <v>3429.7288409109169</v>
      </c>
      <c r="J9" s="12">
        <f>'增加值 (2001-2060, 2020RMB)'!J9*$B$73</f>
        <v>4091.0322632234879</v>
      </c>
      <c r="K9" s="13">
        <f>'增加值 (2001-2060, 2020RMB)'!K9*$B$73</f>
        <v>4509.1328253853526</v>
      </c>
      <c r="L9" s="11">
        <f>'增加值 (2001-2060, 2020RMB)'!L9*$B$73</f>
        <v>4987.390817657064</v>
      </c>
      <c r="M9" s="12">
        <f>'增加值 (2001-2060, 2020RMB)'!M9*$B$73</f>
        <v>5592.9147480115871</v>
      </c>
      <c r="N9" s="12">
        <f>'增加值 (2001-2060, 2020RMB)'!N9*$B$73</f>
        <v>6411.0259637493928</v>
      </c>
      <c r="O9" s="12">
        <f>'增加值 (2001-2060, 2020RMB)'!O9*$B$73</f>
        <v>7198.2825882291809</v>
      </c>
      <c r="P9" s="13">
        <f>'增加值 (2001-2060, 2020RMB)'!P9*$B$73</f>
        <v>8646.4873926158689</v>
      </c>
      <c r="Q9" s="11">
        <f>'增加值 (2001-2060, 2020RMB)'!Q9*$B$73</f>
        <v>9077.2806174726575</v>
      </c>
      <c r="R9" s="12">
        <f>'增加值 (2001-2060, 2020RMB)'!R9*$B$73</f>
        <v>9413.2889940005916</v>
      </c>
      <c r="S9" s="12">
        <f>'增加值 (2001-2060, 2020RMB)'!S9*$B$73</f>
        <v>9899.101919664623</v>
      </c>
      <c r="T9" s="12">
        <f>'增加值 (2001-2060, 2020RMB)'!T9*$B$73</f>
        <v>10558.966690894093</v>
      </c>
      <c r="U9" s="13">
        <f>'增加值 (2001-2060, 2020RMB)'!U9*$B$73</f>
        <v>11518.040116145148</v>
      </c>
      <c r="V9" s="11">
        <f>'增加值 (2001-2060, 2020RMB)'!V9*$B$73</f>
        <v>12010.857614349379</v>
      </c>
      <c r="W9" s="12">
        <f>'增加值 (2001-2060, 2020RMB)'!W9*$B$73</f>
        <v>12469.938513456913</v>
      </c>
      <c r="X9" s="67">
        <f>'增加值 (2001-2060, 2020RMB)'!X9*$B$73</f>
        <v>13140.301759848408</v>
      </c>
      <c r="Y9" s="67">
        <f>'增加值 (2001-2060, 2020RMB)'!Y9*$B$73</f>
        <v>13850.166378532303</v>
      </c>
      <c r="Z9" s="71">
        <f>'增加值 (2001-2060, 2020RMB)'!Z9*$B$73</f>
        <v>14591.783004066991</v>
      </c>
      <c r="AA9" s="69">
        <f>'增加值 (2001-2060, 2020RMB)'!AA9*$B$73</f>
        <v>15355.379348745884</v>
      </c>
      <c r="AB9" s="67">
        <f>'增加值 (2001-2060, 2020RMB)'!AB9*$B$73</f>
        <v>16128.970505334279</v>
      </c>
      <c r="AC9" s="67">
        <f>'增加值 (2001-2060, 2020RMB)'!AC9*$B$73</f>
        <v>16898.250773738255</v>
      </c>
      <c r="AD9" s="67">
        <f>'增加值 (2001-2060, 2020RMB)'!AD9*$B$73</f>
        <v>17646.596458862983</v>
      </c>
      <c r="AE9" s="70">
        <f>'增加值 (2001-2060, 2020RMB)'!AE9*$B$73</f>
        <v>18355.209822551369</v>
      </c>
      <c r="AF9" s="69">
        <f>'增加值 (2001-2060, 2020RMB)'!AF9*$B$73</f>
        <v>19008.000855378636</v>
      </c>
      <c r="AG9" s="67">
        <f>'增加值 (2001-2060, 2020RMB)'!AG9*$B$73</f>
        <v>19606.91732624322</v>
      </c>
      <c r="AH9" s="67">
        <f>'增加值 (2001-2060, 2020RMB)'!AH9*$B$73</f>
        <v>20160.41521964706</v>
      </c>
      <c r="AI9" s="67">
        <f>'增加值 (2001-2060, 2020RMB)'!AI9*$B$73</f>
        <v>20678.946152762008</v>
      </c>
      <c r="AJ9" s="71">
        <f>'增加值 (2001-2060, 2020RMB)'!AJ9*$B$73</f>
        <v>21174.716376052831</v>
      </c>
      <c r="AK9" s="69">
        <f>'增加值 (2001-2060, 2020RMB)'!AK9*$B$73</f>
        <v>21658.490480414162</v>
      </c>
      <c r="AL9" s="67">
        <f>'增加值 (2001-2060, 2020RMB)'!AL9*$B$73</f>
        <v>22129.914591482513</v>
      </c>
      <c r="AM9" s="67">
        <f>'增加值 (2001-2060, 2020RMB)'!AM9*$B$73</f>
        <v>22585.591434509421</v>
      </c>
      <c r="AN9" s="67">
        <f>'增加值 (2001-2060, 2020RMB)'!AN9*$B$73</f>
        <v>23021.975111475276</v>
      </c>
      <c r="AO9" s="70">
        <f>'增加值 (2001-2060, 2020RMB)'!AO9*$B$73</f>
        <v>23435.39517532412</v>
      </c>
      <c r="AP9" s="69">
        <f>'增加值 (2001-2060, 2020RMB)'!AP9*$B$73</f>
        <v>23822.085378635031</v>
      </c>
      <c r="AQ9" s="67">
        <f>'增加值 (2001-2060, 2020RMB)'!AQ9*$B$73</f>
        <v>24178.217117267799</v>
      </c>
      <c r="AR9" s="67">
        <f>'增加值 (2001-2060, 2020RMB)'!AR9*$B$73</f>
        <v>24499.937483801546</v>
      </c>
      <c r="AS9" s="67">
        <f>'增加值 (2001-2060, 2020RMB)'!AS9*$B$73</f>
        <v>24783.411726661932</v>
      </c>
      <c r="AT9" s="70">
        <f>'增加值 (2001-2060, 2020RMB)'!AT9*$B$73</f>
        <v>25024.86978052905</v>
      </c>
      <c r="AU9" s="69">
        <f>'增加值 (2001-2060, 2020RMB)'!AU9*$B$73</f>
        <v>25220.656394469795</v>
      </c>
      <c r="AV9" s="67">
        <f>'增加值 (2001-2060, 2020RMB)'!AV9*$B$73</f>
        <v>25367.284239544399</v>
      </c>
      <c r="AW9" s="67">
        <f>'增加值 (2001-2060, 2020RMB)'!AW9*$B$73</f>
        <v>25461.489231415584</v>
      </c>
      <c r="AX9" s="67">
        <f>'增加值 (2001-2060, 2020RMB)'!AX9*$B$73</f>
        <v>25500.287160455235</v>
      </c>
      <c r="AY9" s="71">
        <f>'增加值 (2001-2060, 2020RMB)'!AY9*$B$73</f>
        <v>25481.030587306283</v>
      </c>
      <c r="AZ9" s="69">
        <f>'增加值 (2001-2060, 2020RMB)'!AZ9*$B$73</f>
        <v>25401.464841574543</v>
      </c>
      <c r="BA9" s="67">
        <f>'增加值 (2001-2060, 2020RMB)'!BA9*$B$73</f>
        <v>25259.781861343057</v>
      </c>
      <c r="BB9" s="67">
        <f>'增加值 (2001-2060, 2020RMB)'!BB9*$B$73</f>
        <v>25054.670537600578</v>
      </c>
      <c r="BC9" s="67">
        <f>'增加值 (2001-2060, 2020RMB)'!BC9*$B$73</f>
        <v>24785.362186333798</v>
      </c>
      <c r="BD9" s="70">
        <f>'增加值 (2001-2060, 2020RMB)'!BD9*$B$73</f>
        <v>24451.669767301242</v>
      </c>
      <c r="BE9" s="69">
        <f>'增加值 (2001-2060, 2020RMB)'!BE9*$B$73</f>
        <v>24054.019506911951</v>
      </c>
      <c r="BF9" s="67">
        <f>'增加值 (2001-2060, 2020RMB)'!BF9*$B$73</f>
        <v>23593.473666548565</v>
      </c>
      <c r="BG9" s="67">
        <f>'增加值 (2001-2060, 2020RMB)'!BG9*$B$73</f>
        <v>23071.743329009922</v>
      </c>
      <c r="BH9" s="67">
        <f>'增加值 (2001-2060, 2020RMB)'!BH9*$B$73</f>
        <v>22491.190254673704</v>
      </c>
      <c r="BI9" s="71">
        <f>'增加值 (2001-2060, 2020RMB)'!BI9*$B$73</f>
        <v>21854.817083703052</v>
      </c>
    </row>
    <row r="10" spans="1:65" x14ac:dyDescent="0.2">
      <c r="A10" s="14" t="s">
        <v>8</v>
      </c>
      <c r="B10" s="11">
        <f>'增加值 (2001-2060, 2020RMB)'!B10*$B$73</f>
        <v>1219.0212583278549</v>
      </c>
      <c r="C10" s="12">
        <f>'增加值 (2001-2060, 2020RMB)'!C10*$B$73</f>
        <v>1373.1900105983616</v>
      </c>
      <c r="D10" s="12">
        <f>'增加值 (2001-2060, 2020RMB)'!D10*$B$73</f>
        <v>1544.1701634192118</v>
      </c>
      <c r="E10" s="12">
        <f>'增加值 (2001-2060, 2020RMB)'!E10*$B$73</f>
        <v>1676.9370442829156</v>
      </c>
      <c r="F10" s="13">
        <f>'增加值 (2001-2060, 2020RMB)'!F10*$B$73</f>
        <v>1914.2880443395622</v>
      </c>
      <c r="G10" s="11">
        <f>'增加值 (2001-2060, 2020RMB)'!G10*$B$73</f>
        <v>2240.6985755238452</v>
      </c>
      <c r="H10" s="12">
        <f>'增加值 (2001-2060, 2020RMB)'!H10*$B$73</f>
        <v>2762.4647165029232</v>
      </c>
      <c r="I10" s="12">
        <f>'增加值 (2001-2060, 2020RMB)'!I10*$B$73</f>
        <v>2729.5411431597586</v>
      </c>
      <c r="J10" s="12">
        <f>'增加值 (2001-2060, 2020RMB)'!J10*$B$73</f>
        <v>3514.7004494341772</v>
      </c>
      <c r="K10" s="13">
        <f>'增加值 (2001-2060, 2020RMB)'!K10*$B$73</f>
        <v>4087.449151662021</v>
      </c>
      <c r="L10" s="11">
        <f>'增加值 (2001-2060, 2020RMB)'!L10*$B$73</f>
        <v>4506.2057061483838</v>
      </c>
      <c r="M10" s="12">
        <f>'增加值 (2001-2060, 2020RMB)'!M10*$B$73</f>
        <v>4876.1561524196823</v>
      </c>
      <c r="N10" s="12">
        <f>'增加值 (2001-2060, 2020RMB)'!N10*$B$73</f>
        <v>5486.7901884874836</v>
      </c>
      <c r="O10" s="12">
        <f>'增加值 (2001-2060, 2020RMB)'!O10*$B$73</f>
        <v>5851.371938180193</v>
      </c>
      <c r="P10" s="13">
        <f>'增加值 (2001-2060, 2020RMB)'!P10*$B$73</f>
        <v>6538.4570630046546</v>
      </c>
      <c r="Q10" s="11">
        <f>'增加值 (2001-2060, 2020RMB)'!Q10*$B$73</f>
        <v>7564.3096872579927</v>
      </c>
      <c r="R10" s="12">
        <f>'增加值 (2001-2060, 2020RMB)'!R10*$B$73</f>
        <v>8287.0354913464689</v>
      </c>
      <c r="S10" s="12">
        <f>'增加值 (2001-2060, 2020RMB)'!S10*$B$73</f>
        <v>9059.7216461973221</v>
      </c>
      <c r="T10" s="12">
        <f>'增加值 (2001-2060, 2020RMB)'!T10*$B$73</f>
        <v>9754.9959835948321</v>
      </c>
      <c r="U10" s="13">
        <f>'增加值 (2001-2060, 2020RMB)'!U10*$B$73</f>
        <v>10114.073347389278</v>
      </c>
      <c r="V10" s="11">
        <f>'增加值 (2001-2060, 2020RMB)'!V10*$B$73</f>
        <v>10213.975076695173</v>
      </c>
      <c r="W10" s="12">
        <f>'增加值 (2001-2060, 2020RMB)'!W10*$B$73</f>
        <v>9508.7032670198314</v>
      </c>
      <c r="X10" s="67">
        <f>'增加值 (2001-2060, 2020RMB)'!X10*$B$73</f>
        <v>10068.274728782359</v>
      </c>
      <c r="Y10" s="67">
        <f>'增加值 (2001-2060, 2020RMB)'!Y10*$B$73</f>
        <v>10624.149716729269</v>
      </c>
      <c r="Z10" s="71">
        <f>'增加值 (2001-2060, 2020RMB)'!Z10*$B$73</f>
        <v>11170.984957660745</v>
      </c>
      <c r="AA10" s="69">
        <f>'增加值 (2001-2060, 2020RMB)'!AA10*$B$73</f>
        <v>11703.067498202092</v>
      </c>
      <c r="AB10" s="67">
        <f>'增加值 (2001-2060, 2020RMB)'!AB10*$B$73</f>
        <v>12214.387918515718</v>
      </c>
      <c r="AC10" s="67">
        <f>'增加值 (2001-2060, 2020RMB)'!AC10*$B$73</f>
        <v>12698.729185814178</v>
      </c>
      <c r="AD10" s="67">
        <f>'增加值 (2001-2060, 2020RMB)'!AD10*$B$73</f>
        <v>13149.770286387398</v>
      </c>
      <c r="AE10" s="70">
        <f>'增加值 (2001-2060, 2020RMB)'!AE10*$B$73</f>
        <v>13561.203116147675</v>
      </c>
      <c r="AF10" s="69">
        <f>'增加值 (2001-2060, 2020RMB)'!AF10*$B$73</f>
        <v>13929.684802355883</v>
      </c>
      <c r="AG10" s="67">
        <f>'增加值 (2001-2060, 2020RMB)'!AG10*$B$73</f>
        <v>14263.972779857408</v>
      </c>
      <c r="AH10" s="67">
        <f>'增加值 (2001-2060, 2020RMB)'!AH10*$B$73</f>
        <v>14577.298675938589</v>
      </c>
      <c r="AI10" s="67">
        <f>'增加值 (2001-2060, 2020RMB)'!AI10*$B$73</f>
        <v>14884.427576747839</v>
      </c>
      <c r="AJ10" s="71">
        <f>'增加值 (2001-2060, 2020RMB)'!AJ10*$B$73</f>
        <v>15201.51779192001</v>
      </c>
      <c r="AK10" s="69">
        <f>'增加值 (2001-2060, 2020RMB)'!AK10*$B$73</f>
        <v>15542.58333216231</v>
      </c>
      <c r="AL10" s="67">
        <f>'增加值 (2001-2060, 2020RMB)'!AL10*$B$73</f>
        <v>15908.332191210809</v>
      </c>
      <c r="AM10" s="67">
        <f>'增加值 (2001-2060, 2020RMB)'!AM10*$B$73</f>
        <v>16295.795314002175</v>
      </c>
      <c r="AN10" s="67">
        <f>'增加值 (2001-2060, 2020RMB)'!AN10*$B$73</f>
        <v>16701.681712855021</v>
      </c>
      <c r="AO10" s="70">
        <f>'增加值 (2001-2060, 2020RMB)'!AO10*$B$73</f>
        <v>17122.329334708182</v>
      </c>
      <c r="AP10" s="69">
        <f>'增加值 (2001-2060, 2020RMB)'!AP10*$B$73</f>
        <v>17553.663117892815</v>
      </c>
      <c r="AQ10" s="67">
        <f>'增加值 (2001-2060, 2020RMB)'!AQ10*$B$73</f>
        <v>17991.161892935273</v>
      </c>
      <c r="AR10" s="67">
        <f>'增加值 (2001-2060, 2020RMB)'!AR10*$B$73</f>
        <v>18429.836050836391</v>
      </c>
      <c r="AS10" s="67">
        <f>'增加值 (2001-2060, 2020RMB)'!AS10*$B$73</f>
        <v>18864.218105690197</v>
      </c>
      <c r="AT10" s="70">
        <f>'增加值 (2001-2060, 2020RMB)'!AT10*$B$73</f>
        <v>19288.368395240916</v>
      </c>
      <c r="AU10" s="69">
        <f>'增加值 (2001-2060, 2020RMB)'!AU10*$B$73</f>
        <v>19695.898169576947</v>
      </c>
      <c r="AV10" s="67">
        <f>'增加值 (2001-2060, 2020RMB)'!AV10*$B$73</f>
        <v>20080.012190327565</v>
      </c>
      <c r="AW10" s="67">
        <f>'增加值 (2001-2060, 2020RMB)'!AW10*$B$73</f>
        <v>20433.572677276316</v>
      </c>
      <c r="AX10" s="67">
        <f>'增加值 (2001-2060, 2020RMB)'!AX10*$B$73</f>
        <v>20749.185976517496</v>
      </c>
      <c r="AY10" s="71">
        <f>'增加值 (2001-2060, 2020RMB)'!AY10*$B$73</f>
        <v>21019.312670718486</v>
      </c>
      <c r="AZ10" s="69">
        <f>'增加值 (2001-2060, 2020RMB)'!AZ10*$B$73</f>
        <v>21236.4010035397</v>
      </c>
      <c r="BA10" s="67">
        <f>'增加值 (2001-2060, 2020RMB)'!BA10*$B$73</f>
        <v>21393.042455021816</v>
      </c>
      <c r="BB10" s="67">
        <f>'增加值 (2001-2060, 2020RMB)'!BB10*$B$73</f>
        <v>21482.14710616575</v>
      </c>
      <c r="BC10" s="67">
        <f>'增加值 (2001-2060, 2020RMB)'!BC10*$B$73</f>
        <v>21497.135109835428</v>
      </c>
      <c r="BD10" s="70">
        <f>'增加值 (2001-2060, 2020RMB)'!BD10*$B$73</f>
        <v>21432.139200967886</v>
      </c>
      <c r="BE10" s="69">
        <f>'增加值 (2001-2060, 2020RMB)'!BE10*$B$73</f>
        <v>21282.211809765755</v>
      </c>
      <c r="BF10" s="67">
        <f>'增加值 (2001-2060, 2020RMB)'!BF10*$B$73</f>
        <v>21043.529081339217</v>
      </c>
      <c r="BG10" s="67">
        <f>'增加值 (2001-2060, 2020RMB)'!BG10*$B$73</f>
        <v>20713.583060657169</v>
      </c>
      <c r="BH10" s="67">
        <f>'增加值 (2001-2060, 2020RMB)'!BH10*$B$73</f>
        <v>20291.352584985445</v>
      </c>
      <c r="BI10" s="71">
        <f>'增加值 (2001-2060, 2020RMB)'!BI10*$B$73</f>
        <v>19777.443146865728</v>
      </c>
    </row>
    <row r="11" spans="1:65" x14ac:dyDescent="0.2">
      <c r="A11" s="15" t="s">
        <v>9</v>
      </c>
      <c r="B11" s="16">
        <f>'增加值 (2001-2060, 2020RMB)'!B11*$B$73</f>
        <v>4399.2839520758689</v>
      </c>
      <c r="C11" s="17">
        <f>'增加值 (2001-2060, 2020RMB)'!C11*$B$73</f>
        <v>5101.6409305548195</v>
      </c>
      <c r="D11" s="17">
        <f>'增加值 (2001-2060, 2020RMB)'!D11*$B$73</f>
        <v>5706.6329485801625</v>
      </c>
      <c r="E11" s="17">
        <f>'增加值 (2001-2060, 2020RMB)'!E11*$B$73</f>
        <v>6273.0917975100583</v>
      </c>
      <c r="F11" s="18">
        <f>'增加值 (2001-2060, 2020RMB)'!F11*$B$73</f>
        <v>7163.2289874958215</v>
      </c>
      <c r="G11" s="16">
        <f>'增加值 (2001-2060, 2020RMB)'!G11*$B$73</f>
        <v>8013.4462092884878</v>
      </c>
      <c r="H11" s="17">
        <f>'增加值 (2001-2060, 2020RMB)'!H11*$B$73</f>
        <v>8976.197423395437</v>
      </c>
      <c r="I11" s="17">
        <f>'增加值 (2001-2060, 2020RMB)'!I11*$B$73</f>
        <v>9940.0554716686747</v>
      </c>
      <c r="J11" s="17">
        <f>'增加值 (2001-2060, 2020RMB)'!J11*$B$73</f>
        <v>11241.233719102325</v>
      </c>
      <c r="K11" s="18">
        <f>'增加值 (2001-2060, 2020RMB)'!K11*$B$73</f>
        <v>12030.154213327729</v>
      </c>
      <c r="L11" s="16">
        <f>'增加值 (2001-2060, 2020RMB)'!L11*$B$73</f>
        <v>13152.04700770911</v>
      </c>
      <c r="M11" s="17">
        <f>'增加值 (2001-2060, 2020RMB)'!M11*$B$73</f>
        <v>14753.084208486993</v>
      </c>
      <c r="N11" s="17">
        <f>'增加值 (2001-2060, 2020RMB)'!N11*$B$73</f>
        <v>16433.371640329231</v>
      </c>
      <c r="O11" s="17">
        <f>'增加值 (2001-2060, 2020RMB)'!O11*$B$73</f>
        <v>18377.487349479274</v>
      </c>
      <c r="P11" s="18">
        <f>'增加值 (2001-2060, 2020RMB)'!P11*$B$73</f>
        <v>21018.334023345262</v>
      </c>
      <c r="Q11" s="16">
        <f>'增加值 (2001-2060, 2020RMB)'!Q11*$B$73</f>
        <v>23727.769933448726</v>
      </c>
      <c r="R11" s="17">
        <f>'增加值 (2001-2060, 2020RMB)'!R11*$B$73</f>
        <v>25997.521706091175</v>
      </c>
      <c r="S11" s="17">
        <f>'增加值 (2001-2060, 2020RMB)'!S11*$B$73</f>
        <v>28619.820921456478</v>
      </c>
      <c r="T11" s="17">
        <f>'增加值 (2001-2060, 2020RMB)'!T11*$B$73</f>
        <v>31533.437732821782</v>
      </c>
      <c r="U11" s="18">
        <f>'增加值 (2001-2060, 2020RMB)'!U11*$B$73</f>
        <v>32759.587336583696</v>
      </c>
      <c r="V11" s="16">
        <f>'增加值 (2001-2060, 2020RMB)'!V11*$B$73</f>
        <v>34240.431142295572</v>
      </c>
      <c r="W11" s="17">
        <f>'增加值 (2001-2060, 2020RMB)'!W11*$B$73</f>
        <v>36055.461019772934</v>
      </c>
      <c r="X11" s="72">
        <f>'增加值 (2001-2060, 2020RMB)'!X11*$B$73</f>
        <v>39403.900608234646</v>
      </c>
      <c r="Y11" s="72">
        <f>'增加值 (2001-2060, 2020RMB)'!Y11*$B$73</f>
        <v>43087.610081427338</v>
      </c>
      <c r="Z11" s="73">
        <f>'增加值 (2001-2060, 2020RMB)'!Z11*$B$73</f>
        <v>47113.024348143437</v>
      </c>
      <c r="AA11" s="74">
        <f>'增加值 (2001-2060, 2020RMB)'!AA11*$B$73</f>
        <v>51479.219619136544</v>
      </c>
      <c r="AB11" s="72">
        <f>'增加值 (2001-2060, 2020RMB)'!AB11*$B$73</f>
        <v>56175.703976004872</v>
      </c>
      <c r="AC11" s="72">
        <f>'增加值 (2001-2060, 2020RMB)'!AC11*$B$73</f>
        <v>61180.041015429306</v>
      </c>
      <c r="AD11" s="72">
        <f>'增加值 (2001-2060, 2020RMB)'!AD11*$B$73</f>
        <v>66455.419290612452</v>
      </c>
      <c r="AE11" s="75">
        <f>'增加值 (2001-2060, 2020RMB)'!AE11*$B$73</f>
        <v>71948.331229665971</v>
      </c>
      <c r="AF11" s="74">
        <f>'增加值 (2001-2060, 2020RMB)'!AF11*$B$73</f>
        <v>77601.920828222559</v>
      </c>
      <c r="AG11" s="72">
        <f>'增加值 (2001-2060, 2020RMB)'!AG11*$B$73</f>
        <v>83409.911037274069</v>
      </c>
      <c r="AH11" s="72">
        <f>'增加值 (2001-2060, 2020RMB)'!AH11*$B$73</f>
        <v>89386.725293049501</v>
      </c>
      <c r="AI11" s="72">
        <f>'增加值 (2001-2060, 2020RMB)'!AI11*$B$73</f>
        <v>95555.249075604326</v>
      </c>
      <c r="AJ11" s="73">
        <f>'增加值 (2001-2060, 2020RMB)'!AJ11*$B$73</f>
        <v>101947.72278133531</v>
      </c>
      <c r="AK11" s="74">
        <f>'增加值 (2001-2060, 2020RMB)'!AK11*$B$73</f>
        <v>108596.68273016407</v>
      </c>
      <c r="AL11" s="72">
        <f>'增加值 (2001-2060, 2020RMB)'!AL11*$B$73</f>
        <v>115501.02941991569</v>
      </c>
      <c r="AM11" s="72">
        <f>'增加值 (2001-2060, 2020RMB)'!AM11*$B$73</f>
        <v>122648.16254652115</v>
      </c>
      <c r="AN11" s="72">
        <f>'增加值 (2001-2060, 2020RMB)'!AN11*$B$73</f>
        <v>130022.77882917422</v>
      </c>
      <c r="AO11" s="75">
        <f>'增加值 (2001-2060, 2020RMB)'!AO11*$B$73</f>
        <v>137606.81815068144</v>
      </c>
      <c r="AP11" s="74">
        <f>'增加值 (2001-2060, 2020RMB)'!AP11*$B$73</f>
        <v>145379.44158697283</v>
      </c>
      <c r="AQ11" s="72">
        <f>'增加值 (2001-2060, 2020RMB)'!AQ11*$B$73</f>
        <v>153317.0445550294</v>
      </c>
      <c r="AR11" s="72">
        <f>'增加值 (2001-2060, 2020RMB)'!AR11*$B$73</f>
        <v>161393.30798209272</v>
      </c>
      <c r="AS11" s="72">
        <f>'增加值 (2001-2060, 2020RMB)'!AS11*$B$73</f>
        <v>169579.28997535855</v>
      </c>
      <c r="AT11" s="75">
        <f>'增加值 (2001-2060, 2020RMB)'!AT11*$B$73</f>
        <v>177843.55994818627</v>
      </c>
      <c r="AU11" s="74">
        <f>'增加值 (2001-2060, 2020RMB)'!AU11*$B$73</f>
        <v>186152.37653631062</v>
      </c>
      <c r="AV11" s="72">
        <f>'增加值 (2001-2060, 2020RMB)'!AV11*$B$73</f>
        <v>194469.90991869476</v>
      </c>
      <c r="AW11" s="72">
        <f>'增加值 (2001-2060, 2020RMB)'!AW11*$B$73</f>
        <v>202758.50834878767</v>
      </c>
      <c r="AX11" s="72">
        <f>'增加值 (2001-2060, 2020RMB)'!AX11*$B$73</f>
        <v>210979.00781291959</v>
      </c>
      <c r="AY11" s="73">
        <f>'增加值 (2001-2060, 2020RMB)'!AY11*$B$73</f>
        <v>219091.0827771826</v>
      </c>
      <c r="AZ11" s="74">
        <f>'增加值 (2001-2060, 2020RMB)'!AZ11*$B$73</f>
        <v>227053.63498005609</v>
      </c>
      <c r="BA11" s="72">
        <f>'增加值 (2001-2060, 2020RMB)'!BA11*$B$73</f>
        <v>234825.21619703533</v>
      </c>
      <c r="BB11" s="72">
        <f>'增加值 (2001-2060, 2020RMB)'!BB11*$B$73</f>
        <v>242364.47987104781</v>
      </c>
      <c r="BC11" s="72">
        <f>'增加值 (2001-2060, 2020RMB)'!BC11*$B$73</f>
        <v>249630.6554974413</v>
      </c>
      <c r="BD11" s="75">
        <f>'增加值 (2001-2060, 2020RMB)'!BD11*$B$73</f>
        <v>256584.03870648824</v>
      </c>
      <c r="BE11" s="74">
        <f>'增加值 (2001-2060, 2020RMB)'!BE11*$B$73</f>
        <v>263186.48913339892</v>
      </c>
      <c r="BF11" s="72">
        <f>'增加值 (2001-2060, 2020RMB)'!BF11*$B$73</f>
        <v>269401.92744032753</v>
      </c>
      <c r="BG11" s="72">
        <f>'增加值 (2001-2060, 2020RMB)'!BG11*$B$73</f>
        <v>275196.82229116093</v>
      </c>
      <c r="BH11" s="72">
        <f>'增加值 (2001-2060, 2020RMB)'!BH11*$B$73</f>
        <v>280540.65771048563</v>
      </c>
      <c r="BI11" s="73">
        <f>'增加值 (2001-2060, 2020RMB)'!BI11*$B$73</f>
        <v>285406.3711123289</v>
      </c>
    </row>
    <row r="12" spans="1:65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2"/>
      <c r="X12" s="59"/>
      <c r="Y12" s="59"/>
      <c r="Z12" s="60"/>
      <c r="AA12" s="61"/>
      <c r="AB12" s="59"/>
      <c r="AC12" s="59"/>
      <c r="AD12" s="59"/>
      <c r="AE12" s="60"/>
      <c r="AF12" s="61"/>
      <c r="AG12" s="59"/>
      <c r="AH12" s="59"/>
      <c r="AI12" s="59"/>
      <c r="AJ12" s="60"/>
      <c r="AK12" s="61"/>
      <c r="AL12" s="59"/>
      <c r="AM12" s="59"/>
      <c r="AN12" s="59"/>
      <c r="AO12" s="60"/>
      <c r="AP12" s="61"/>
      <c r="AQ12" s="59"/>
      <c r="AR12" s="59"/>
      <c r="AS12" s="59"/>
      <c r="AT12" s="60"/>
      <c r="AU12" s="61"/>
      <c r="AV12" s="59"/>
      <c r="AW12" s="59"/>
      <c r="AX12" s="59"/>
      <c r="AY12" s="60"/>
      <c r="AZ12" s="61"/>
      <c r="BA12" s="59"/>
      <c r="BB12" s="59"/>
      <c r="BC12" s="59"/>
      <c r="BD12" s="60"/>
      <c r="BE12" s="61"/>
      <c r="BF12" s="59"/>
      <c r="BG12" s="59"/>
      <c r="BH12" s="59"/>
      <c r="BI12" s="60"/>
    </row>
    <row r="13" spans="1:65" s="9" customFormat="1" x14ac:dyDescent="0.2">
      <c r="A13" s="4" t="s">
        <v>2</v>
      </c>
      <c r="B13" s="6">
        <f>'增加值 (2001-2060, 2020RMB)'!B13*$B$73</f>
        <v>11360.305148771144</v>
      </c>
      <c r="C13" s="7">
        <f>'增加值 (2001-2060, 2020RMB)'!C13*$B$73</f>
        <v>12298.062693286282</v>
      </c>
      <c r="D13" s="7">
        <f>'增加值 (2001-2060, 2020RMB)'!D13*$B$73</f>
        <v>13884.790875628891</v>
      </c>
      <c r="E13" s="7">
        <f>'增加值 (2001-2060, 2020RMB)'!E13*$B$73</f>
        <v>15422.095104095906</v>
      </c>
      <c r="F13" s="8">
        <f>'增加值 (2001-2060, 2020RMB)'!F13*$B$73</f>
        <v>17592.823233998242</v>
      </c>
      <c r="G13" s="6">
        <f>'增加值 (2001-2060, 2020RMB)'!G13*$B$73</f>
        <v>20024.670878731729</v>
      </c>
      <c r="H13" s="7">
        <f>'增加值 (2001-2060, 2020RMB)'!H13*$B$73</f>
        <v>22498.315163918967</v>
      </c>
      <c r="I13" s="7">
        <f>'增加值 (2001-2060, 2020RMB)'!I13*$B$73</f>
        <v>24625.937654813672</v>
      </c>
      <c r="J13" s="7">
        <f>'增加值 (2001-2060, 2020RMB)'!J13*$B$73</f>
        <v>25871.065445139207</v>
      </c>
      <c r="K13" s="8">
        <f>'增加值 (2001-2060, 2020RMB)'!K13*$B$73</f>
        <v>28934.018460247236</v>
      </c>
      <c r="L13" s="6">
        <f>'增加值 (2001-2060, 2020RMB)'!L13*$B$73</f>
        <v>31652.799458352747</v>
      </c>
      <c r="M13" s="39">
        <f>'增加值 (2001-2060, 2020RMB)'!M13*$B$73</f>
        <v>33124.32229745431</v>
      </c>
      <c r="N13" s="39">
        <f>'增加值 (2001-2060, 2020RMB)'!N13*$B$73</f>
        <v>34518.444056519606</v>
      </c>
      <c r="O13" s="39">
        <f>'增加值 (2001-2060, 2020RMB)'!O13*$B$73</f>
        <v>35827.085847351853</v>
      </c>
      <c r="P13" s="40">
        <f>'增加值 (2001-2060, 2020RMB)'!P13*$B$73</f>
        <v>36086.373868234325</v>
      </c>
      <c r="Q13" s="38">
        <f>'增加值 (2001-2060, 2020RMB)'!Q13*$B$73</f>
        <v>37149.335570071082</v>
      </c>
      <c r="R13" s="39">
        <f>'增加值 (2001-2060, 2020RMB)'!R13*$B$73</f>
        <v>39938.398266727323</v>
      </c>
      <c r="S13" s="39">
        <f>'增加值 (2001-2060, 2020RMB)'!S13*$B$73</f>
        <v>42210.749247921012</v>
      </c>
      <c r="T13" s="39">
        <f>'增加值 (2001-2060, 2020RMB)'!T13*$B$73</f>
        <v>43185.307729585511</v>
      </c>
      <c r="U13" s="40">
        <f>'增加值 (2001-2060, 2020RMB)'!U13*$B$73</f>
        <v>43101.259119279217</v>
      </c>
      <c r="V13" s="38">
        <f>'增加值 (2001-2060, 2020RMB)'!V13*$B$73</f>
        <v>49064.409191140723</v>
      </c>
      <c r="W13" s="39">
        <f>'增加值 (2001-2060, 2020RMB)'!W13*$B$73</f>
        <v>51734.614096336591</v>
      </c>
      <c r="X13" s="81">
        <f>'增加值 (2001-2060, 2020RMB)'!X13*$B$73</f>
        <v>53402.036935695171</v>
      </c>
      <c r="Y13" s="81">
        <f>'增加值 (2001-2060, 2020RMB)'!Y13*$B$73</f>
        <v>55204.046334264836</v>
      </c>
      <c r="Z13" s="82">
        <f>'增加值 (2001-2060, 2020RMB)'!Z13*$B$73</f>
        <v>57130.168962910735</v>
      </c>
      <c r="AA13" s="83">
        <f>'增加值 (2001-2060, 2020RMB)'!AA13*$B$73</f>
        <v>59169.676231677942</v>
      </c>
      <c r="AB13" s="81">
        <f>'增加值 (2001-2060, 2020RMB)'!AB13*$B$73</f>
        <v>61310.88663789814</v>
      </c>
      <c r="AC13" s="81">
        <f>'增加值 (2001-2060, 2020RMB)'!AC13*$B$73</f>
        <v>63540.567147164518</v>
      </c>
      <c r="AD13" s="81">
        <f>'增加值 (2001-2060, 2020RMB)'!AD13*$B$73</f>
        <v>65843.477035301577</v>
      </c>
      <c r="AE13" s="84">
        <f>'增加值 (2001-2060, 2020RMB)'!AE13*$B$73</f>
        <v>68202.118967151138</v>
      </c>
      <c r="AF13" s="83">
        <f>'增加值 (2001-2060, 2020RMB)'!AF13*$B$73</f>
        <v>70596.032679186392</v>
      </c>
      <c r="AG13" s="81">
        <f>'增加值 (2001-2060, 2020RMB)'!AG13*$B$73</f>
        <v>72999.011854650817</v>
      </c>
      <c r="AH13" s="81">
        <f>'增加值 (2001-2060, 2020RMB)'!AH13*$B$73</f>
        <v>75379.907346201289</v>
      </c>
      <c r="AI13" s="81">
        <f>'增加值 (2001-2060, 2020RMB)'!AI13*$B$73</f>
        <v>77702.982104897106</v>
      </c>
      <c r="AJ13" s="104">
        <f>'增加值 (2001-2060, 2020RMB)'!AJ13*$B$73</f>
        <v>79927.883601729074</v>
      </c>
      <c r="AK13" s="83">
        <f>'增加值 (2001-2060, 2020RMB)'!AK13*$B$73</f>
        <v>82016.654137542428</v>
      </c>
      <c r="AL13" s="81">
        <f>'增加值 (2001-2060, 2020RMB)'!AL13*$B$73</f>
        <v>83956.504713510891</v>
      </c>
      <c r="AM13" s="81">
        <f>'增加值 (2001-2060, 2020RMB)'!AM13*$B$73</f>
        <v>85743.070782070179</v>
      </c>
      <c r="AN13" s="81">
        <f>'增加值 (2001-2060, 2020RMB)'!AN13*$B$73</f>
        <v>87374.121804855473</v>
      </c>
      <c r="AO13" s="84">
        <f>'增加值 (2001-2060, 2020RMB)'!AO13*$B$73</f>
        <v>88849.528813276367</v>
      </c>
      <c r="AP13" s="83">
        <f>'增加值 (2001-2060, 2020RMB)'!AP13*$B$73</f>
        <v>90171.194847867591</v>
      </c>
      <c r="AQ13" s="81">
        <f>'增加值 (2001-2060, 2020RMB)'!AQ13*$B$73</f>
        <v>91342.953933631914</v>
      </c>
      <c r="AR13" s="81">
        <f>'增加值 (2001-2060, 2020RMB)'!AR13*$B$73</f>
        <v>92370.444806549378</v>
      </c>
      <c r="AS13" s="81">
        <f>'增加值 (2001-2060, 2020RMB)'!AS13*$B$73</f>
        <v>93260.965872835644</v>
      </c>
      <c r="AT13" s="84">
        <f>'增加值 (2001-2060, 2020RMB)'!AT13*$B$73</f>
        <v>94023.317889715181</v>
      </c>
      <c r="AU13" s="83">
        <f>'增加值 (2001-2060, 2020RMB)'!AU13*$B$73</f>
        <v>94667.640646022614</v>
      </c>
      <c r="AV13" s="81">
        <f>'增加值 (2001-2060, 2020RMB)'!AV13*$B$73</f>
        <v>95205.249539855766</v>
      </c>
      <c r="AW13" s="81">
        <f>'增加值 (2001-2060, 2020RMB)'!AW13*$B$73</f>
        <v>95648.477447716388</v>
      </c>
      <c r="AX13" s="81">
        <f>'增加值 (2001-2060, 2020RMB)'!AX13*$B$73</f>
        <v>96010.526703212745</v>
      </c>
      <c r="AY13" s="84">
        <f>'增加值 (2001-2060, 2020RMB)'!AY13*$B$73</f>
        <v>96305.335398599913</v>
      </c>
      <c r="AZ13" s="83">
        <f>'增加值 (2001-2060, 2020RMB)'!AZ13*$B$73</f>
        <v>96547.46163006578</v>
      </c>
      <c r="BA13" s="81">
        <f>'增加值 (2001-2060, 2020RMB)'!BA13*$B$73</f>
        <v>96751.988763587273</v>
      </c>
      <c r="BB13" s="81">
        <f>'增加值 (2001-2060, 2020RMB)'!BB13*$B$73</f>
        <v>96934.454333211295</v>
      </c>
      <c r="BC13" s="81">
        <f>'增加值 (2001-2060, 2020RMB)'!BC13*$B$73</f>
        <v>97110.804824060746</v>
      </c>
      <c r="BD13" s="84">
        <f>'增加值 (2001-2060, 2020RMB)'!BD13*$B$73</f>
        <v>97297.378360987641</v>
      </c>
      <c r="BE13" s="83">
        <f>'增加值 (2001-2060, 2020RMB)'!BE13*$B$73</f>
        <v>97510.917241146672</v>
      </c>
      <c r="BF13" s="81">
        <f>'增加值 (2001-2060, 2020RMB)'!BF13*$B$73</f>
        <v>97768.612335043217</v>
      </c>
      <c r="BG13" s="81">
        <f>'增加值 (2001-2060, 2020RMB)'!BG13*$B$73</f>
        <v>98088.181657668363</v>
      </c>
      <c r="BH13" s="81">
        <f>'增加值 (2001-2060, 2020RMB)'!BH13*$B$73</f>
        <v>98487.985905403664</v>
      </c>
      <c r="BI13" s="104">
        <f>'增加值 (2001-2060, 2020RMB)'!BI13*$B$73</f>
        <v>98987.184499071693</v>
      </c>
    </row>
    <row r="14" spans="1:65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f>'增加值 (2001-2060, 2020RMB)'!I14*$B$73</f>
        <v>1608.2848584278597</v>
      </c>
      <c r="J14" s="23">
        <f>'增加值 (2001-2060, 2020RMB)'!J14*$B$73</f>
        <v>1651.0989121675054</v>
      </c>
      <c r="K14" s="24">
        <f>'增加值 (2001-2060, 2020RMB)'!K14*$B$73</f>
        <v>1879.1923219537205</v>
      </c>
      <c r="L14" s="22">
        <f>'增加值 (2001-2060, 2020RMB)'!L14*$B$73</f>
        <v>2105.4222125807664</v>
      </c>
      <c r="M14" s="23">
        <f>'增加值 (2001-2060, 2020RMB)'!M14*$B$73</f>
        <v>2200.7748797618237</v>
      </c>
      <c r="N14" s="23">
        <f>'增加值 (2001-2060, 2020RMB)'!N14*$B$73</f>
        <v>2209.8174876911885</v>
      </c>
      <c r="O14" s="23">
        <f>'增加值 (2001-2060, 2020RMB)'!O14*$B$73</f>
        <v>2171.579848017881</v>
      </c>
      <c r="P14" s="23">
        <f>'增加值 (2001-2060, 2020RMB)'!P14*$B$73</f>
        <v>2099.3377117375903</v>
      </c>
      <c r="Q14" s="22">
        <f>'增加值 (2001-2060, 2020RMB)'!Q14*$B$73</f>
        <v>2017.9816653801363</v>
      </c>
      <c r="R14" s="23">
        <f>'增加值 (2001-2060, 2020RMB)'!R14*$B$73</f>
        <v>1999.7266103568845</v>
      </c>
      <c r="S14" s="23">
        <f>'增加值 (2001-2060, 2020RMB)'!S14*$B$73</f>
        <v>2034.9296418416018</v>
      </c>
      <c r="T14" s="23">
        <f>'增加值 (2001-2060, 2020RMB)'!T14*$B$73</f>
        <v>2069.922408755594</v>
      </c>
      <c r="U14" s="24">
        <f>'增加值 (2001-2060, 2020RMB)'!U14*$B$73</f>
        <v>2036.4097192215513</v>
      </c>
      <c r="V14" s="23">
        <f>'增加值 (2001-2060, 2020RMB)'!V14*$B$73</f>
        <v>2262.3473207375118</v>
      </c>
      <c r="W14" s="23">
        <f>'增加值 (2001-2060, 2020RMB)'!W14*$B$73</f>
        <v>2479.7197729678542</v>
      </c>
      <c r="X14" s="98">
        <f>'增加值 (2001-2060, 2020RMB)'!X14*$B$73</f>
        <v>2492.4049558766719</v>
      </c>
      <c r="Y14" s="98">
        <f>'增加值 (2001-2060, 2020RMB)'!Y14*$B$73</f>
        <v>2519.173550837545</v>
      </c>
      <c r="Z14" s="98">
        <f>'增加值 (2001-2060, 2020RMB)'!Z14*$B$73</f>
        <v>2557.0371473623009</v>
      </c>
      <c r="AA14" s="100">
        <f>'增加值 (2001-2060, 2020RMB)'!AA14*$B$73</f>
        <v>2602.9836549160723</v>
      </c>
      <c r="AB14" s="98">
        <f>'增加值 (2001-2060, 2020RMB)'!AB14*$B$73</f>
        <v>2653.8555839903502</v>
      </c>
      <c r="AC14" s="98">
        <f>'增加值 (2001-2060, 2020RMB)'!AC14*$B$73</f>
        <v>2706.266483832404</v>
      </c>
      <c r="AD14" s="98">
        <f>'增加值 (2001-2060, 2020RMB)'!AD14*$B$73</f>
        <v>2756.5587114757245</v>
      </c>
      <c r="AE14" s="99">
        <f>'增加值 (2001-2060, 2020RMB)'!AE14*$B$73</f>
        <v>2800.8079886751261</v>
      </c>
      <c r="AF14" s="98">
        <f>'增加值 (2001-2060, 2020RMB)'!AF14*$B$73</f>
        <v>2835.6609362258469</v>
      </c>
      <c r="AG14" s="98">
        <f>'增加值 (2001-2060, 2020RMB)'!AG14*$B$73</f>
        <v>2860.8399021869832</v>
      </c>
      <c r="AH14" s="98">
        <f>'增加值 (2001-2060, 2020RMB)'!AH14*$B$73</f>
        <v>2876.9611713121399</v>
      </c>
      <c r="AI14" s="98">
        <f>'增加值 (2001-2060, 2020RMB)'!AI14*$B$73</f>
        <v>2884.7523769237118</v>
      </c>
      <c r="AJ14" s="105">
        <f>'增加值 (2001-2060, 2020RMB)'!AJ14*$B$73</f>
        <v>2885.0282777710927</v>
      </c>
      <c r="AK14" s="100">
        <f>'增加值 (2001-2060, 2020RMB)'!AK14*$B$73</f>
        <v>2878.5720179456594</v>
      </c>
      <c r="AL14" s="98">
        <f>'增加值 (2001-2060, 2020RMB)'!AL14*$B$73</f>
        <v>2865.830411044943</v>
      </c>
      <c r="AM14" s="98">
        <f>'增加值 (2001-2060, 2020RMB)'!AM14*$B$73</f>
        <v>2847.1916586672032</v>
      </c>
      <c r="AN14" s="98">
        <f>'增加值 (2001-2060, 2020RMB)'!AN14*$B$73</f>
        <v>2823.0736754670152</v>
      </c>
      <c r="AO14" s="99">
        <f>'增加值 (2001-2060, 2020RMB)'!AO14*$B$73</f>
        <v>2793.9168811215523</v>
      </c>
      <c r="AP14" s="98">
        <f>'增加值 (2001-2060, 2020RMB)'!AP14*$B$73</f>
        <v>2760.1772791557605</v>
      </c>
      <c r="AQ14" s="98">
        <f>'增加值 (2001-2060, 2020RMB)'!AQ14*$B$73</f>
        <v>2722.3199302684402</v>
      </c>
      <c r="AR14" s="98">
        <f>'增加值 (2001-2060, 2020RMB)'!AR14*$B$73</f>
        <v>2680.8129066986317</v>
      </c>
      <c r="AS14" s="98">
        <f>'增加值 (2001-2060, 2020RMB)'!AS14*$B$73</f>
        <v>2636.1217933237372</v>
      </c>
      <c r="AT14" s="98">
        <f>'增加值 (2001-2060, 2020RMB)'!AT14*$B$73</f>
        <v>2588.7047812037749</v>
      </c>
      <c r="AU14" s="100">
        <f>'增加值 (2001-2060, 2020RMB)'!AU14*$B$73</f>
        <v>2539.0083806779548</v>
      </c>
      <c r="AV14" s="98">
        <f>'增加值 (2001-2060, 2020RMB)'!AV14*$B$73</f>
        <v>2487.4637642595062</v>
      </c>
      <c r="AW14" s="98">
        <f>'增加值 (2001-2060, 2020RMB)'!AW14*$B$73</f>
        <v>2434.4837347230005</v>
      </c>
      <c r="AX14" s="98">
        <f>'增加值 (2001-2060, 2020RMB)'!AX14*$B$73</f>
        <v>2380.4603010912333</v>
      </c>
      <c r="AY14" s="99">
        <f>'增加值 (2001-2060, 2020RMB)'!AY14*$B$73</f>
        <v>2325.762834764304</v>
      </c>
      <c r="AZ14" s="100">
        <f>'增加值 (2001-2060, 2020RMB)'!AZ14*$B$73</f>
        <v>2270.7367697693903</v>
      </c>
      <c r="BA14" s="98">
        <f>'增加值 (2001-2060, 2020RMB)'!BA14*$B$73</f>
        <v>2215.7028049544692</v>
      </c>
      <c r="BB14" s="98">
        <f>'增加值 (2001-2060, 2020RMB)'!BB14*$B$73</f>
        <v>2160.9565617610074</v>
      </c>
      <c r="BC14" s="98">
        <f>'增加值 (2001-2060, 2020RMB)'!BC14*$B$73</f>
        <v>2106.7686488071504</v>
      </c>
      <c r="BD14" s="99">
        <f>'增加值 (2001-2060, 2020RMB)'!BD14*$B$73</f>
        <v>2053.3850836882157</v>
      </c>
      <c r="BE14" s="98">
        <f>'增加值 (2001-2060, 2020RMB)'!BE14*$B$73</f>
        <v>2001.0280229366265</v>
      </c>
      <c r="BF14" s="98">
        <f>'增加值 (2001-2060, 2020RMB)'!BF14*$B$73</f>
        <v>1949.8967527558409</v>
      </c>
      <c r="BG14" s="98">
        <f>'增加值 (2001-2060, 2020RMB)'!BG14*$B$73</f>
        <v>1900.1688957369006</v>
      </c>
      <c r="BH14" s="98">
        <f>'增加值 (2001-2060, 2020RMB)'!BH14*$B$73</f>
        <v>1852.0017920772125</v>
      </c>
      <c r="BI14" s="108">
        <f>'增加值 (2001-2060, 2020RMB)'!BI14*$B$73</f>
        <v>1805.5340176633558</v>
      </c>
    </row>
    <row r="15" spans="1:65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f>'增加值 (2001-2060, 2020RMB)'!I15*$B$73</f>
        <v>1691.9642035906934</v>
      </c>
      <c r="J15" s="20">
        <f>'增加值 (2001-2060, 2020RMB)'!J15*$B$73</f>
        <v>1680.8699560030407</v>
      </c>
      <c r="K15" s="21">
        <f>'增加值 (2001-2060, 2020RMB)'!K15*$B$73</f>
        <v>1629.0528811988204</v>
      </c>
      <c r="L15" s="19">
        <f>'增加值 (2001-2060, 2020RMB)'!L15*$B$73</f>
        <v>1645.1568841099402</v>
      </c>
      <c r="M15" s="20">
        <f>'增加值 (2001-2060, 2020RMB)'!M15*$B$73</f>
        <v>1616.2967364381511</v>
      </c>
      <c r="N15" s="20">
        <f>'增加值 (2001-2060, 2020RMB)'!N15*$B$73</f>
        <v>1570.7335794601238</v>
      </c>
      <c r="O15" s="20">
        <f>'增加值 (2001-2060, 2020RMB)'!O15*$B$73</f>
        <v>1558.6134131412034</v>
      </c>
      <c r="P15" s="20">
        <f>'增加值 (2001-2060, 2020RMB)'!P15*$B$73</f>
        <v>1540.772253083157</v>
      </c>
      <c r="Q15" s="19">
        <f>'增加值 (2001-2060, 2020RMB)'!Q15*$B$73</f>
        <v>1502.1130367157548</v>
      </c>
      <c r="R15" s="20">
        <f>'增加值 (2001-2060, 2020RMB)'!R15*$B$73</f>
        <v>1479.4019047376719</v>
      </c>
      <c r="S15" s="20">
        <f>'增加值 (2001-2060, 2020RMB)'!S15*$B$73</f>
        <v>1502.499103959708</v>
      </c>
      <c r="T15" s="20">
        <f>'增加值 (2001-2060, 2020RMB)'!T15*$B$73</f>
        <v>1502.2602870929002</v>
      </c>
      <c r="U15" s="21">
        <f>'增加值 (2001-2060, 2020RMB)'!U15*$B$73</f>
        <v>1460.4994252894223</v>
      </c>
      <c r="V15" s="20">
        <f>'增加值 (2001-2060, 2020RMB)'!V15*$B$73</f>
        <v>1579.9619826365199</v>
      </c>
      <c r="W15" s="20">
        <f>'增加值 (2001-2060, 2020RMB)'!W15*$B$73</f>
        <v>1694.8545592328228</v>
      </c>
      <c r="X15" s="90">
        <f>'增加值 (2001-2060, 2020RMB)'!X15*$B$73</f>
        <v>1684.9662713424757</v>
      </c>
      <c r="Y15" s="90">
        <f>'增加值 (2001-2060, 2020RMB)'!Y15*$B$73</f>
        <v>1683.3712458664331</v>
      </c>
      <c r="Z15" s="90">
        <f>'增加值 (2001-2060, 2020RMB)'!Z15*$B$73</f>
        <v>1688.2026882929301</v>
      </c>
      <c r="AA15" s="89">
        <f>'增加值 (2001-2060, 2020RMB)'!AA15*$B$73</f>
        <v>1697.662415139665</v>
      </c>
      <c r="AB15" s="90">
        <f>'增加值 (2001-2060, 2020RMB)'!AB15*$B$73</f>
        <v>1709.961045467908</v>
      </c>
      <c r="AC15" s="90">
        <f>'增加值 (2001-2060, 2020RMB)'!AC15*$B$73</f>
        <v>1723.2778657988538</v>
      </c>
      <c r="AD15" s="90">
        <f>'增加值 (2001-2060, 2020RMB)'!AD15*$B$73</f>
        <v>1735.740056919215</v>
      </c>
      <c r="AE15" s="101">
        <f>'增加值 (2001-2060, 2020RMB)'!AE15*$B$73</f>
        <v>1745.4218921941413</v>
      </c>
      <c r="AF15" s="90">
        <f>'增加值 (2001-2060, 2020RMB)'!AF15*$B$73</f>
        <v>1750.7608890881304</v>
      </c>
      <c r="AG15" s="90">
        <f>'增加值 (2001-2060, 2020RMB)'!AG15*$B$73</f>
        <v>1751.7869438206892</v>
      </c>
      <c r="AH15" s="90">
        <f>'增加值 (2001-2060, 2020RMB)'!AH15*$B$73</f>
        <v>1748.9579496128263</v>
      </c>
      <c r="AI15" s="90">
        <f>'增加值 (2001-2060, 2020RMB)'!AI15*$B$73</f>
        <v>1742.7563986383484</v>
      </c>
      <c r="AJ15" s="106">
        <f>'增加值 (2001-2060, 2020RMB)'!AJ15*$B$73</f>
        <v>1733.6796103272895</v>
      </c>
      <c r="AK15" s="89">
        <f>'增加值 (2001-2060, 2020RMB)'!AK15*$B$73</f>
        <v>1722.168603542216</v>
      </c>
      <c r="AL15" s="90">
        <f>'增加值 (2001-2060, 2020RMB)'!AL15*$B$73</f>
        <v>1708.4171436528507</v>
      </c>
      <c r="AM15" s="90">
        <f>'增加值 (2001-2060, 2020RMB)'!AM15*$B$73</f>
        <v>1692.5620140498565</v>
      </c>
      <c r="AN15" s="90">
        <f>'增加值 (2001-2060, 2020RMB)'!AN15*$B$73</f>
        <v>1674.7448946571133</v>
      </c>
      <c r="AO15" s="101">
        <f>'增加值 (2001-2060, 2020RMB)'!AO15*$B$73</f>
        <v>1655.1110079064017</v>
      </c>
      <c r="AP15" s="90">
        <f>'增加值 (2001-2060, 2020RMB)'!AP15*$B$73</f>
        <v>1633.8078246986572</v>
      </c>
      <c r="AQ15" s="90">
        <f>'增加值 (2001-2060, 2020RMB)'!AQ15*$B$73</f>
        <v>1610.9838413375167</v>
      </c>
      <c r="AR15" s="90">
        <f>'增加值 (2001-2060, 2020RMB)'!AR15*$B$73</f>
        <v>1586.7874364360327</v>
      </c>
      <c r="AS15" s="90">
        <f>'增加值 (2001-2060, 2020RMB)'!AS15*$B$73</f>
        <v>1561.365814851584</v>
      </c>
      <c r="AT15" s="90">
        <f>'增加值 (2001-2060, 2020RMB)'!AT15*$B$73</f>
        <v>1534.8640438313134</v>
      </c>
      <c r="AU15" s="89">
        <f>'增加值 (2001-2060, 2020RMB)'!AU15*$B$73</f>
        <v>1507.4241847784313</v>
      </c>
      <c r="AV15" s="90">
        <f>'增加值 (2001-2060, 2020RMB)'!AV15*$B$73</f>
        <v>1479.1845224019189</v>
      </c>
      <c r="AW15" s="90">
        <f>'增加值 (2001-2060, 2020RMB)'!AW15*$B$73</f>
        <v>1450.2788915055971</v>
      </c>
      <c r="AX15" s="90">
        <f>'增加值 (2001-2060, 2020RMB)'!AX15*$B$73</f>
        <v>1420.8361003197479</v>
      </c>
      <c r="AY15" s="101">
        <f>'增加值 (2001-2060, 2020RMB)'!AY15*$B$73</f>
        <v>1390.9794480875628</v>
      </c>
      <c r="AZ15" s="89">
        <f>'增加值 (2001-2060, 2020RMB)'!AZ15*$B$73</f>
        <v>1360.8263335924589</v>
      </c>
      <c r="BA15" s="90">
        <f>'增加值 (2001-2060, 2020RMB)'!BA15*$B$73</f>
        <v>1330.4879504510118</v>
      </c>
      <c r="BB15" s="90">
        <f>'增加值 (2001-2060, 2020RMB)'!BB15*$B$73</f>
        <v>1300.0690642957586</v>
      </c>
      <c r="BC15" s="90">
        <f>'增加值 (2001-2060, 2020RMB)'!BC15*$B$73</f>
        <v>1269.6678664259621</v>
      </c>
      <c r="BD15" s="101">
        <f>'增加值 (2001-2060, 2020RMB)'!BD15*$B$73</f>
        <v>1239.3758981040212</v>
      </c>
      <c r="BE15" s="90">
        <f>'增加值 (2001-2060, 2020RMB)'!BE15*$B$73</f>
        <v>1209.2780394097397</v>
      </c>
      <c r="BF15" s="90">
        <f>'增加值 (2001-2060, 2020RMB)'!BF15*$B$73</f>
        <v>1179.4525564223768</v>
      </c>
      <c r="BG15" s="90">
        <f>'增加值 (2001-2060, 2020RMB)'!BG15*$B$73</f>
        <v>1149.9712004686305</v>
      </c>
      <c r="BH15" s="90">
        <f>'增加值 (2001-2060, 2020RMB)'!BH15*$B$73</f>
        <v>1120.8993532401714</v>
      </c>
      <c r="BI15" s="109">
        <f>'增加值 (2001-2060, 2020RMB)'!BI15*$B$73</f>
        <v>1092.296211733885</v>
      </c>
    </row>
    <row r="16" spans="1:65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f>'增加值 (2001-2060, 2020RMB)'!I16*$B$73</f>
        <v>281.41760114748359</v>
      </c>
      <c r="J16" s="20">
        <f>'增加值 (2001-2060, 2020RMB)'!J16*$B$73</f>
        <v>334.25967698073606</v>
      </c>
      <c r="K16" s="21">
        <f>'增加值 (2001-2060, 2020RMB)'!K16*$B$73</f>
        <v>391.47300839708839</v>
      </c>
      <c r="L16" s="19">
        <f>'增加值 (2001-2060, 2020RMB)'!L16*$B$73</f>
        <v>451.39057847242503</v>
      </c>
      <c r="M16" s="20">
        <f>'增加值 (2001-2060, 2020RMB)'!M16*$B$73</f>
        <v>518.24351654025588</v>
      </c>
      <c r="N16" s="20">
        <f>'增加值 (2001-2060, 2020RMB)'!N16*$B$73</f>
        <v>566.15782799022406</v>
      </c>
      <c r="O16" s="20">
        <f>'增加值 (2001-2060, 2020RMB)'!O16*$B$73</f>
        <v>600.32741241287295</v>
      </c>
      <c r="P16" s="20">
        <f>'增加值 (2001-2060, 2020RMB)'!P16*$B$73</f>
        <v>583.77347861042574</v>
      </c>
      <c r="Q16" s="19">
        <f>'增加值 (2001-2060, 2020RMB)'!Q16*$B$73</f>
        <v>554.88373631663364</v>
      </c>
      <c r="R16" s="20">
        <f>'增加值 (2001-2060, 2020RMB)'!R16*$B$73</f>
        <v>545.93253708691338</v>
      </c>
      <c r="S16" s="20">
        <f>'增加值 (2001-2060, 2020RMB)'!S16*$B$73</f>
        <v>518.03577854326159</v>
      </c>
      <c r="T16" s="20">
        <f>'增加值 (2001-2060, 2020RMB)'!T16*$B$73</f>
        <v>534.93551856059025</v>
      </c>
      <c r="U16" s="21">
        <f>'增加值 (2001-2060, 2020RMB)'!U16*$B$73</f>
        <v>509.19798397796114</v>
      </c>
      <c r="V16" s="103">
        <f>'增加值 (2001-2060, 2020RMB)'!V16*$B$73</f>
        <v>548.19732663518835</v>
      </c>
      <c r="W16" s="103">
        <f>'增加值 (2001-2060, 2020RMB)'!W16*$B$73</f>
        <v>629.2703042869897</v>
      </c>
      <c r="X16" s="90">
        <f>'增加值 (2001-2060, 2020RMB)'!X16*$B$73</f>
        <v>622.40488206689622</v>
      </c>
      <c r="Y16" s="90">
        <f>'增加值 (2001-2060, 2020RMB)'!Y16*$B$73</f>
        <v>618.38948914947787</v>
      </c>
      <c r="Z16" s="90">
        <f>'增加值 (2001-2060, 2020RMB)'!Z16*$B$73</f>
        <v>616.59052576048066</v>
      </c>
      <c r="AA16" s="89">
        <f>'增加值 (2001-2060, 2020RMB)'!AA16*$B$73</f>
        <v>616.4097769096179</v>
      </c>
      <c r="AB16" s="90">
        <f>'增加值 (2001-2060, 2020RMB)'!AB16*$B$73</f>
        <v>617.26605759078211</v>
      </c>
      <c r="AC16" s="90">
        <f>'增加值 (2001-2060, 2020RMB)'!AC16*$B$73</f>
        <v>618.58269325486094</v>
      </c>
      <c r="AD16" s="90">
        <f>'增加值 (2001-2060, 2020RMB)'!AD16*$B$73</f>
        <v>619.78050000115593</v>
      </c>
      <c r="AE16" s="101">
        <f>'增加值 (2001-2060, 2020RMB)'!AE16*$B$73</f>
        <v>620.27618761624183</v>
      </c>
      <c r="AF16" s="90">
        <f>'增加值 (2001-2060, 2020RMB)'!AF16*$B$73</f>
        <v>619.58827885037874</v>
      </c>
      <c r="AG16" s="90">
        <f>'增加值 (2001-2060, 2020RMB)'!AG16*$B$73</f>
        <v>617.64958468279019</v>
      </c>
      <c r="AH16" s="90">
        <f>'增加值 (2001-2060, 2020RMB)'!AH16*$B$73</f>
        <v>614.5023164584702</v>
      </c>
      <c r="AI16" s="90">
        <f>'增加值 (2001-2060, 2020RMB)'!AI16*$B$73</f>
        <v>610.19527373476421</v>
      </c>
      <c r="AJ16" s="106">
        <f>'增加值 (2001-2060, 2020RMB)'!AJ16*$B$73</f>
        <v>604.78308132750374</v>
      </c>
      <c r="AK16" s="89">
        <f>'增加值 (2001-2060, 2020RMB)'!AK16*$B$73</f>
        <v>598.32835401454099</v>
      </c>
      <c r="AL16" s="90">
        <f>'增加值 (2001-2060, 2020RMB)'!AL16*$B$73</f>
        <v>590.90946208902358</v>
      </c>
      <c r="AM16" s="90">
        <f>'增加值 (2001-2060, 2020RMB)'!AM16*$B$73</f>
        <v>582.61023650201651</v>
      </c>
      <c r="AN16" s="90">
        <f>'增加值 (2001-2060, 2020RMB)'!AN16*$B$73</f>
        <v>573.51592372679522</v>
      </c>
      <c r="AO16" s="101">
        <f>'增加值 (2001-2060, 2020RMB)'!AO16*$B$73</f>
        <v>563.71222077863342</v>
      </c>
      <c r="AP16" s="90">
        <f>'增加值 (2001-2060, 2020RMB)'!AP16*$B$73</f>
        <v>553.28438789412178</v>
      </c>
      <c r="AQ16" s="90">
        <f>'增加值 (2001-2060, 2020RMB)'!AQ16*$B$73</f>
        <v>542.31644585590038</v>
      </c>
      <c r="AR16" s="90">
        <f>'增加值 (2001-2060, 2020RMB)'!AR16*$B$73</f>
        <v>530.89046256048482</v>
      </c>
      <c r="AS16" s="90">
        <f>'增加值 (2001-2060, 2020RMB)'!AS16*$B$73</f>
        <v>519.08593121571562</v>
      </c>
      <c r="AT16" s="90">
        <f>'增加值 (2001-2060, 2020RMB)'!AT16*$B$73</f>
        <v>506.97924055496895</v>
      </c>
      <c r="AU16" s="89">
        <f>'增加值 (2001-2060, 2020RMB)'!AU16*$B$73</f>
        <v>494.64323569191515</v>
      </c>
      <c r="AV16" s="90">
        <f>'增加值 (2001-2060, 2020RMB)'!AV16*$B$73</f>
        <v>482.14686672585992</v>
      </c>
      <c r="AW16" s="90">
        <f>'增加值 (2001-2060, 2020RMB)'!AW16*$B$73</f>
        <v>469.55492094856885</v>
      </c>
      <c r="AX16" s="90">
        <f>'增加值 (2001-2060, 2020RMB)'!AX16*$B$73</f>
        <v>456.92783349574455</v>
      </c>
      <c r="AY16" s="101">
        <f>'增加值 (2001-2060, 2020RMB)'!AY16*$B$73</f>
        <v>444.3215705202378</v>
      </c>
      <c r="AZ16" s="89">
        <f>'增加值 (2001-2060, 2020RMB)'!AZ16*$B$73</f>
        <v>431.78757842496418</v>
      </c>
      <c r="BA16" s="90">
        <f>'增加值 (2001-2060, 2020RMB)'!BA16*$B$73</f>
        <v>419.37279236204807</v>
      </c>
      <c r="BB16" s="90">
        <f>'增加值 (2001-2060, 2020RMB)'!BB16*$B$73</f>
        <v>407.11969705968102</v>
      </c>
      <c r="BC16" s="90">
        <f>'增加值 (2001-2060, 2020RMB)'!BC16*$B$73</f>
        <v>395.06643305589881</v>
      </c>
      <c r="BD16" s="101">
        <f>'增加值 (2001-2060, 2020RMB)'!BD16*$B$73</f>
        <v>383.24694157511891</v>
      </c>
      <c r="BE16" s="90">
        <f>'增加值 (2001-2060, 2020RMB)'!BE16*$B$73</f>
        <v>371.69114155492025</v>
      </c>
      <c r="BF16" s="90">
        <f>'增加值 (2001-2060, 2020RMB)'!BF16*$B$73</f>
        <v>360.42513269415224</v>
      </c>
      <c r="BG16" s="90">
        <f>'增加值 (2001-2060, 2020RMB)'!BG16*$B$73</f>
        <v>349.47141882737787</v>
      </c>
      <c r="BH16" s="90">
        <f>'增加值 (2001-2060, 2020RMB)'!BH16*$B$73</f>
        <v>338.84914641502837</v>
      </c>
      <c r="BI16" s="109">
        <f>'增加值 (2001-2060, 2020RMB)'!BI16*$B$73</f>
        <v>328.57435345558378</v>
      </c>
    </row>
    <row r="17" spans="1:61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f>'增加值 (2001-2060, 2020RMB)'!I17*$B$73</f>
        <v>180.55744315966231</v>
      </c>
      <c r="J17" s="20">
        <f>'增加值 (2001-2060, 2020RMB)'!J17*$B$73</f>
        <v>205.04721531755015</v>
      </c>
      <c r="K17" s="21">
        <f>'增加值 (2001-2060, 2020RMB)'!K17*$B$73</f>
        <v>221.42629294097941</v>
      </c>
      <c r="L17" s="19">
        <f>'增加值 (2001-2060, 2020RMB)'!L17*$B$73</f>
        <v>245.74268226384467</v>
      </c>
      <c r="M17" s="20">
        <f>'增加值 (2001-2060, 2020RMB)'!M17*$B$73</f>
        <v>269.73914786371449</v>
      </c>
      <c r="N17" s="20">
        <f>'增加值 (2001-2060, 2020RMB)'!N17*$B$73</f>
        <v>280.58464392128678</v>
      </c>
      <c r="O17" s="20">
        <f>'增加值 (2001-2060, 2020RMB)'!O17*$B$73</f>
        <v>288.91075657785944</v>
      </c>
      <c r="P17" s="20">
        <f>'增加值 (2001-2060, 2020RMB)'!P17*$B$73</f>
        <v>285.87774026638181</v>
      </c>
      <c r="Q17" s="19">
        <f>'增加值 (2001-2060, 2020RMB)'!Q17*$B$73</f>
        <v>285.95841694819694</v>
      </c>
      <c r="R17" s="20">
        <f>'增加值 (2001-2060, 2020RMB)'!R17*$B$73</f>
        <v>279.02983095396297</v>
      </c>
      <c r="S17" s="20">
        <f>'增加值 (2001-2060, 2020RMB)'!S17*$B$73</f>
        <v>281.99704316943155</v>
      </c>
      <c r="T17" s="20">
        <f>'增加值 (2001-2060, 2020RMB)'!T17*$B$73</f>
        <v>280.04897528340433</v>
      </c>
      <c r="U17" s="21">
        <f>'增加值 (2001-2060, 2020RMB)'!U17*$B$73</f>
        <v>270.36761575125257</v>
      </c>
      <c r="V17" s="103">
        <f>'增加值 (2001-2060, 2020RMB)'!V17*$B$73</f>
        <v>276.71830453233645</v>
      </c>
      <c r="W17" s="103">
        <f>'增加值 (2001-2060, 2020RMB)'!W17*$B$73</f>
        <v>295.71646681740617</v>
      </c>
      <c r="X17" s="90">
        <f>'增加值 (2001-2060, 2020RMB)'!X17*$B$73</f>
        <v>290.81707738401587</v>
      </c>
      <c r="Y17" s="90">
        <f>'增加值 (2001-2060, 2020RMB)'!Y17*$B$73</f>
        <v>286.9366223459395</v>
      </c>
      <c r="Z17" s="90">
        <f>'增加值 (2001-2060, 2020RMB)'!Z17*$B$73</f>
        <v>283.86983459688014</v>
      </c>
      <c r="AA17" s="89">
        <f>'增加值 (2001-2060, 2020RMB)'!AA17*$B$73</f>
        <v>281.42663781815037</v>
      </c>
      <c r="AB17" s="90">
        <f>'增加值 (2001-2060, 2020RMB)'!AB17*$B$73</f>
        <v>279.42763947709653</v>
      </c>
      <c r="AC17" s="90">
        <f>'增加值 (2001-2060, 2020RMB)'!AC17*$B$73</f>
        <v>277.70086442734578</v>
      </c>
      <c r="AD17" s="90">
        <f>'增加值 (2001-2060, 2020RMB)'!AD17*$B$73</f>
        <v>276.07960115282566</v>
      </c>
      <c r="AE17" s="101">
        <f>'增加值 (2001-2060, 2020RMB)'!AE17*$B$73</f>
        <v>274.40127904649614</v>
      </c>
      <c r="AF17" s="90">
        <f>'增加值 (2001-2060, 2020RMB)'!AF17*$B$73</f>
        <v>272.52515930241503</v>
      </c>
      <c r="AG17" s="90">
        <f>'增加值 (2001-2060, 2020RMB)'!AG17*$B$73</f>
        <v>270.38547982588489</v>
      </c>
      <c r="AH17" s="90">
        <f>'增加值 (2001-2060, 2020RMB)'!AH17*$B$73</f>
        <v>267.93687080145588</v>
      </c>
      <c r="AI17" s="90">
        <f>'增加值 (2001-2060, 2020RMB)'!AI17*$B$73</f>
        <v>265.13679867276272</v>
      </c>
      <c r="AJ17" s="106">
        <f>'增加值 (2001-2060, 2020RMB)'!AJ17*$B$73</f>
        <v>261.9461421586102</v>
      </c>
      <c r="AK17" s="89">
        <f>'增加值 (2001-2060, 2020RMB)'!AK17*$B$73</f>
        <v>258.3418616704227</v>
      </c>
      <c r="AL17" s="90">
        <f>'增加值 (2001-2060, 2020RMB)'!AL17*$B$73</f>
        <v>254.3522865023325</v>
      </c>
      <c r="AM17" s="90">
        <f>'增加值 (2001-2060, 2020RMB)'!AM17*$B$73</f>
        <v>250.01849837307017</v>
      </c>
      <c r="AN17" s="90">
        <f>'增加值 (2001-2060, 2020RMB)'!AN17*$B$73</f>
        <v>245.38150518398632</v>
      </c>
      <c r="AO17" s="101">
        <f>'增加值 (2001-2060, 2020RMB)'!AO17*$B$73</f>
        <v>240.48181954171119</v>
      </c>
      <c r="AP17" s="90">
        <f>'增加值 (2001-2060, 2020RMB)'!AP17*$B$73</f>
        <v>235.35908333019671</v>
      </c>
      <c r="AQ17" s="90">
        <f>'增加值 (2001-2060, 2020RMB)'!AQ17*$B$73</f>
        <v>230.05173994107645</v>
      </c>
      <c r="AR17" s="90">
        <f>'增加值 (2001-2060, 2020RMB)'!AR17*$B$73</f>
        <v>224.59675463194458</v>
      </c>
      <c r="AS17" s="90">
        <f>'增加值 (2001-2060, 2020RMB)'!AS17*$B$73</f>
        <v>219.02938247434136</v>
      </c>
      <c r="AT17" s="90">
        <f>'增加值 (2001-2060, 2020RMB)'!AT17*$B$73</f>
        <v>213.38298248637528</v>
      </c>
      <c r="AU17" s="89">
        <f>'增加值 (2001-2060, 2020RMB)'!AU17*$B$73</f>
        <v>207.68887582286075</v>
      </c>
      <c r="AV17" s="90">
        <f>'增加值 (2001-2060, 2020RMB)'!AV17*$B$73</f>
        <v>201.97624531756085</v>
      </c>
      <c r="AW17" s="90">
        <f>'增加值 (2001-2060, 2020RMB)'!AW17*$B$73</f>
        <v>196.27207323244019</v>
      </c>
      <c r="AX17" s="90">
        <f>'增加值 (2001-2060, 2020RMB)'!AX17*$B$73</f>
        <v>190.60111375931214</v>
      </c>
      <c r="AY17" s="101">
        <f>'增加值 (2001-2060, 2020RMB)'!AY17*$B$73</f>
        <v>184.98589662903859</v>
      </c>
      <c r="AZ17" s="89">
        <f>'增加值 (2001-2060, 2020RMB)'!AZ17*$B$73</f>
        <v>179.44675809986123</v>
      </c>
      <c r="BA17" s="90">
        <f>'增加值 (2001-2060, 2020RMB)'!BA17*$B$73</f>
        <v>174.00189560586816</v>
      </c>
      <c r="BB17" s="90">
        <f>'增加值 (2001-2060, 2020RMB)'!BB17*$B$73</f>
        <v>168.6674424349892</v>
      </c>
      <c r="BC17" s="90">
        <f>'增加值 (2001-2060, 2020RMB)'!BC17*$B$73</f>
        <v>163.45755895924583</v>
      </c>
      <c r="BD17" s="101">
        <f>'增加值 (2001-2060, 2020RMB)'!BD17*$B$73</f>
        <v>158.38453714485036</v>
      </c>
      <c r="BE17" s="90">
        <f>'增加值 (2001-2060, 2020RMB)'!BE17*$B$73</f>
        <v>153.45891531351731</v>
      </c>
      <c r="BF17" s="90">
        <f>'增加值 (2001-2060, 2020RMB)'!BF17*$B$73</f>
        <v>148.68960039751445</v>
      </c>
      <c r="BG17" s="90">
        <f>'增加值 (2001-2060, 2020RMB)'!BG17*$B$73</f>
        <v>144.08399521927754</v>
      </c>
      <c r="BH17" s="90">
        <f>'增加值 (2001-2060, 2020RMB)'!BH17*$B$73</f>
        <v>139.64812862293067</v>
      </c>
      <c r="BI17" s="109">
        <f>'增加值 (2001-2060, 2020RMB)'!BI17*$B$73</f>
        <v>135.38678658225831</v>
      </c>
    </row>
    <row r="18" spans="1:61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f>'增加值 (2001-2060, 2020RMB)'!I18*$B$73</f>
        <v>102.03795037952338</v>
      </c>
      <c r="J18" s="20">
        <f>'增加值 (2001-2060, 2020RMB)'!J18*$B$73</f>
        <v>116.26469469947607</v>
      </c>
      <c r="K18" s="21">
        <f>'增加值 (2001-2060, 2020RMB)'!K18*$B$73</f>
        <v>140.90712934413563</v>
      </c>
      <c r="L18" s="19">
        <f>'增加值 (2001-2060, 2020RMB)'!L18*$B$73</f>
        <v>167.34812806775255</v>
      </c>
      <c r="M18" s="20">
        <f>'增加值 (2001-2060, 2020RMB)'!M18*$B$73</f>
        <v>175.564430846253</v>
      </c>
      <c r="N18" s="20">
        <f>'增加值 (2001-2060, 2020RMB)'!N18*$B$73</f>
        <v>186.79289546330421</v>
      </c>
      <c r="O18" s="20">
        <f>'增加值 (2001-2060, 2020RMB)'!O18*$B$73</f>
        <v>193.05215160489129</v>
      </c>
      <c r="P18" s="20">
        <f>'增加值 (2001-2060, 2020RMB)'!P18*$B$73</f>
        <v>195.23791970177572</v>
      </c>
      <c r="Q18" s="19">
        <f>'增加值 (2001-2060, 2020RMB)'!Q18*$B$73</f>
        <v>198.72255310909739</v>
      </c>
      <c r="R18" s="20">
        <f>'增加值 (2001-2060, 2020RMB)'!R18*$B$73</f>
        <v>200.34440319082623</v>
      </c>
      <c r="S18" s="20">
        <f>'增加值 (2001-2060, 2020RMB)'!S18*$B$73</f>
        <v>202.27538939889473</v>
      </c>
      <c r="T18" s="20">
        <f>'增加值 (2001-2060, 2020RMB)'!T18*$B$73</f>
        <v>195.41728536645851</v>
      </c>
      <c r="U18" s="21">
        <f>'增加值 (2001-2060, 2020RMB)'!U18*$B$73</f>
        <v>187.90550446643661</v>
      </c>
      <c r="V18" s="20">
        <f>'增加值 (2001-2060, 2020RMB)'!V18*$B$73</f>
        <v>210.31859201206336</v>
      </c>
      <c r="W18" s="20">
        <f>'增加值 (2001-2060, 2020RMB)'!W18*$B$73</f>
        <v>211.08457143053002</v>
      </c>
      <c r="X18" s="90">
        <f>'增加值 (2001-2060, 2020RMB)'!X18*$B$73</f>
        <v>207.67015565467474</v>
      </c>
      <c r="Y18" s="90">
        <f>'增加值 (2001-2060, 2020RMB)'!Y18*$B$73</f>
        <v>205.14395159422943</v>
      </c>
      <c r="Z18" s="90">
        <f>'增加值 (2001-2060, 2020RMB)'!Z18*$B$73</f>
        <v>203.31645644435801</v>
      </c>
      <c r="AA18" s="89">
        <f>'增加值 (2001-2060, 2020RMB)'!AA18*$B$73</f>
        <v>202.01224211442087</v>
      </c>
      <c r="AB18" s="90">
        <f>'增加值 (2001-2060, 2020RMB)'!AB18*$B$73</f>
        <v>201.06493752540879</v>
      </c>
      <c r="AC18" s="90">
        <f>'增加值 (2001-2060, 2020RMB)'!AC18*$B$73</f>
        <v>200.31369890682492</v>
      </c>
      <c r="AD18" s="90">
        <f>'增加值 (2001-2060, 2020RMB)'!AD18*$B$73</f>
        <v>199.60102450081857</v>
      </c>
      <c r="AE18" s="101">
        <f>'增加值 (2001-2060, 2020RMB)'!AE18*$B$73</f>
        <v>198.77183424961967</v>
      </c>
      <c r="AF18" s="90">
        <f>'增加值 (2001-2060, 2020RMB)'!AF18*$B$73</f>
        <v>197.69675447423324</v>
      </c>
      <c r="AG18" s="90">
        <f>'增加值 (2001-2060, 2020RMB)'!AG18*$B$73</f>
        <v>196.34121935269343</v>
      </c>
      <c r="AH18" s="90">
        <f>'增加值 (2001-2060, 2020RMB)'!AH18*$B$73</f>
        <v>194.69545270558305</v>
      </c>
      <c r="AI18" s="90">
        <f>'增加值 (2001-2060, 2020RMB)'!AI18*$B$73</f>
        <v>192.75144555336615</v>
      </c>
      <c r="AJ18" s="106">
        <f>'增加值 (2001-2060, 2020RMB)'!AJ18*$B$73</f>
        <v>190.50313228910832</v>
      </c>
      <c r="AK18" s="89">
        <f>'增加值 (2001-2060, 2020RMB)'!AK18*$B$73</f>
        <v>187.95165436314019</v>
      </c>
      <c r="AL18" s="90">
        <f>'增加值 (2001-2060, 2020RMB)'!AL18*$B$73</f>
        <v>185.12018836187218</v>
      </c>
      <c r="AM18" s="90">
        <f>'增加值 (2001-2060, 2020RMB)'!AM18*$B$73</f>
        <v>182.03749043455187</v>
      </c>
      <c r="AN18" s="90">
        <f>'增加值 (2001-2060, 2020RMB)'!AN18*$B$73</f>
        <v>178.73234275008528</v>
      </c>
      <c r="AO18" s="101">
        <f>'增加值 (2001-2060, 2020RMB)'!AO18*$B$73</f>
        <v>175.23325771855158</v>
      </c>
      <c r="AP18" s="90">
        <f>'增加值 (2001-2060, 2020RMB)'!AP18*$B$73</f>
        <v>171.56821273464931</v>
      </c>
      <c r="AQ18" s="90">
        <f>'增加值 (2001-2060, 2020RMB)'!AQ18*$B$73</f>
        <v>167.76441675065527</v>
      </c>
      <c r="AR18" s="90">
        <f>'增加值 (2001-2060, 2020RMB)'!AR18*$B$73</f>
        <v>163.84810921618589</v>
      </c>
      <c r="AS18" s="90">
        <f>'增加值 (2001-2060, 2020RMB)'!AS18*$B$73</f>
        <v>159.84439123373602</v>
      </c>
      <c r="AT18" s="90">
        <f>'增加值 (2001-2060, 2020RMB)'!AT18*$B$73</f>
        <v>155.77708817995818</v>
      </c>
      <c r="AU18" s="89">
        <f>'增加值 (2001-2060, 2020RMB)'!AU18*$B$73</f>
        <v>151.66864253657192</v>
      </c>
      <c r="AV18" s="90">
        <f>'增加值 (2001-2060, 2020RMB)'!AV18*$B$73</f>
        <v>147.54003526205398</v>
      </c>
      <c r="AW18" s="90">
        <f>'增加值 (2001-2060, 2020RMB)'!AW18*$B$73</f>
        <v>143.41073371349523</v>
      </c>
      <c r="AX18" s="90">
        <f>'增加值 (2001-2060, 2020RMB)'!AX18*$B$73</f>
        <v>139.29866389261318</v>
      </c>
      <c r="AY18" s="101">
        <f>'增加值 (2001-2060, 2020RMB)'!AY18*$B$73</f>
        <v>135.22020463451156</v>
      </c>
      <c r="AZ18" s="89">
        <f>'增加值 (2001-2060, 2020RMB)'!AZ18*$B$73</f>
        <v>131.19020127472407</v>
      </c>
      <c r="BA18" s="90">
        <f>'增加值 (2001-2060, 2020RMB)'!BA18*$B$73</f>
        <v>127.22199631095243</v>
      </c>
      <c r="BB18" s="90">
        <f>'增加值 (2001-2060, 2020RMB)'!BB18*$B$73</f>
        <v>123.32747461176868</v>
      </c>
      <c r="BC18" s="90">
        <f>'增加值 (2001-2060, 2020RMB)'!BC18*$B$73</f>
        <v>119.51712080647255</v>
      </c>
      <c r="BD18" s="101">
        <f>'增加值 (2001-2060, 2020RMB)'!BD18*$B$73</f>
        <v>115.80008660949198</v>
      </c>
      <c r="BE18" s="90">
        <f>'增加值 (2001-2060, 2020RMB)'!BE18*$B$73</f>
        <v>112.18426598087819</v>
      </c>
      <c r="BF18" s="90">
        <f>'增加值 (2001-2060, 2020RMB)'!BF18*$B$73</f>
        <v>108.67637619386129</v>
      </c>
      <c r="BG18" s="90">
        <f>'增加值 (2001-2060, 2020RMB)'!BG18*$B$73</f>
        <v>105.28204306414328</v>
      </c>
      <c r="BH18" s="90">
        <f>'增加值 (2001-2060, 2020RMB)'!BH18*$B$73</f>
        <v>102.00588878745512</v>
      </c>
      <c r="BI18" s="109">
        <f>'增加值 (2001-2060, 2020RMB)'!BI18*$B$73</f>
        <v>98.851621026608839</v>
      </c>
    </row>
    <row r="19" spans="1:61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f>'增加值 (2001-2060, 2020RMB)'!I19*$B$73</f>
        <v>85.717112951651657</v>
      </c>
      <c r="J19" s="20">
        <f>'增加值 (2001-2060, 2020RMB)'!J19*$B$73</f>
        <v>97.654765552391325</v>
      </c>
      <c r="K19" s="21">
        <f>'增加值 (2001-2060, 2020RMB)'!K19*$B$73</f>
        <v>109.73871815817594</v>
      </c>
      <c r="L19" s="19">
        <f>'增加值 (2001-2060, 2020RMB)'!L19*$B$73</f>
        <v>123.65277982158658</v>
      </c>
      <c r="M19" s="20">
        <f>'增加值 (2001-2060, 2020RMB)'!M19*$B$73</f>
        <v>134.43243577545192</v>
      </c>
      <c r="N19" s="20">
        <f>'增加值 (2001-2060, 2020RMB)'!N19*$B$73</f>
        <v>134.21856221675833</v>
      </c>
      <c r="O19" s="20">
        <f>'增加值 (2001-2060, 2020RMB)'!O19*$B$73</f>
        <v>124.43271801437129</v>
      </c>
      <c r="P19" s="20">
        <f>'增加值 (2001-2060, 2020RMB)'!P19*$B$73</f>
        <v>104.00226953853614</v>
      </c>
      <c r="Q19" s="19">
        <f>'增加值 (2001-2060, 2020RMB)'!Q19*$B$73</f>
        <v>86.777594969769794</v>
      </c>
      <c r="R19" s="20">
        <f>'增加值 (2001-2060, 2020RMB)'!R19*$B$73</f>
        <v>105.31676501870939</v>
      </c>
      <c r="S19" s="20">
        <f>'增加值 (2001-2060, 2020RMB)'!S19*$B$73</f>
        <v>129.92618703400919</v>
      </c>
      <c r="T19" s="20">
        <f>'增加值 (2001-2060, 2020RMB)'!T19*$B$73</f>
        <v>152.45423045719491</v>
      </c>
      <c r="U19" s="21">
        <f>'增加值 (2001-2060, 2020RMB)'!U19*$B$73</f>
        <v>128.89647919768316</v>
      </c>
      <c r="V19" s="20">
        <f>'增加值 (2001-2060, 2020RMB)'!V19*$B$73</f>
        <v>141.72115138199769</v>
      </c>
      <c r="W19" s="20">
        <f>'增加值 (2001-2060, 2020RMB)'!W19*$B$73</f>
        <v>157.64154113199345</v>
      </c>
      <c r="X19" s="90">
        <f>'增加值 (2001-2060, 2020RMB)'!X19*$B$73</f>
        <v>167.30693673595414</v>
      </c>
      <c r="Y19" s="90">
        <f>'增加值 (2001-2060, 2020RMB)'!Y19*$B$73</f>
        <v>176.90939012714108</v>
      </c>
      <c r="Z19" s="90">
        <f>'增加值 (2001-2060, 2020RMB)'!Z19*$B$73</f>
        <v>186.41293441061705</v>
      </c>
      <c r="AA19" s="89">
        <f>'增加值 (2001-2060, 2020RMB)'!AA19*$B$73</f>
        <v>195.78705712203953</v>
      </c>
      <c r="AB19" s="90">
        <f>'增加值 (2001-2060, 2020RMB)'!AB19*$B$73</f>
        <v>205.00726427095356</v>
      </c>
      <c r="AC19" s="90">
        <f>'增加值 (2001-2060, 2020RMB)'!AC19*$B$73</f>
        <v>214.05551220892769</v>
      </c>
      <c r="AD19" s="90">
        <f>'增加值 (2001-2060, 2020RMB)'!AD19*$B$73</f>
        <v>222.92051301840587</v>
      </c>
      <c r="AE19" s="101">
        <f>'增加值 (2001-2060, 2020RMB)'!AE19*$B$73</f>
        <v>231.59792387724474</v>
      </c>
      <c r="AF19" s="90">
        <f>'增加值 (2001-2060, 2020RMB)'!AF19*$B$73</f>
        <v>240.07651911308434</v>
      </c>
      <c r="AG19" s="90">
        <f>'增加值 (2001-2060, 2020RMB)'!AG19*$B$73</f>
        <v>248.29261358874248</v>
      </c>
      <c r="AH19" s="90">
        <f>'增加值 (2001-2060, 2020RMB)'!AH19*$B$73</f>
        <v>256.16543419336989</v>
      </c>
      <c r="AI19" s="90">
        <f>'增加值 (2001-2060, 2020RMB)'!AI19*$B$73</f>
        <v>263.6109164601308</v>
      </c>
      <c r="AJ19" s="106">
        <f>'增加值 (2001-2060, 2020RMB)'!AJ19*$B$73</f>
        <v>270.54275768906945</v>
      </c>
      <c r="AK19" s="89">
        <f>'增加值 (2001-2060, 2020RMB)'!AK19*$B$73</f>
        <v>276.88442036507718</v>
      </c>
      <c r="AL19" s="90">
        <f>'增加值 (2001-2060, 2020RMB)'!AL19*$B$73</f>
        <v>282.6046211693963</v>
      </c>
      <c r="AM19" s="90">
        <f>'增加值 (2001-2060, 2020RMB)'!AM19*$B$73</f>
        <v>287.68888470045067</v>
      </c>
      <c r="AN19" s="90">
        <f>'增加值 (2001-2060, 2020RMB)'!AN19*$B$73</f>
        <v>292.12918124715441</v>
      </c>
      <c r="AO19" s="101">
        <f>'增加值 (2001-2060, 2020RMB)'!AO19*$B$73</f>
        <v>295.92372665702544</v>
      </c>
      <c r="AP19" s="90">
        <f>'增加值 (2001-2060, 2020RMB)'!AP19*$B$73</f>
        <v>299.07669468593366</v>
      </c>
      <c r="AQ19" s="90">
        <f>'增加值 (2001-2060, 2020RMB)'!AQ19*$B$73</f>
        <v>301.59785424166267</v>
      </c>
      <c r="AR19" s="90">
        <f>'增加值 (2001-2060, 2020RMB)'!AR19*$B$73</f>
        <v>303.50214467919704</v>
      </c>
      <c r="AS19" s="90">
        <f>'增加值 (2001-2060, 2020RMB)'!AS19*$B$73</f>
        <v>304.80920261300218</v>
      </c>
      <c r="AT19" s="90">
        <f>'增加值 (2001-2060, 2020RMB)'!AT19*$B$73</f>
        <v>305.54285361838998</v>
      </c>
      <c r="AU19" s="89">
        <f>'增加值 (2001-2060, 2020RMB)'!AU19*$B$73</f>
        <v>305.73058174811626</v>
      </c>
      <c r="AV19" s="90">
        <f>'增加值 (2001-2060, 2020RMB)'!AV19*$B$73</f>
        <v>305.40298904625331</v>
      </c>
      <c r="AW19" s="90">
        <f>'增加值 (2001-2060, 2020RMB)'!AW19*$B$73</f>
        <v>304.59325625742758</v>
      </c>
      <c r="AX19" s="90">
        <f>'增加值 (2001-2060, 2020RMB)'!AX19*$B$73</f>
        <v>303.33661476500441</v>
      </c>
      <c r="AY19" s="101">
        <f>'增加值 (2001-2060, 2020RMB)'!AY19*$B$73</f>
        <v>301.66983850450197</v>
      </c>
      <c r="AZ19" s="89">
        <f>'增加值 (2001-2060, 2020RMB)'!AZ19*$B$73</f>
        <v>299.6307632428194</v>
      </c>
      <c r="BA19" s="90">
        <f>'增加值 (2001-2060, 2020RMB)'!BA19*$B$73</f>
        <v>297.25783923896699</v>
      </c>
      <c r="BB19" s="90">
        <f>'增加值 (2001-2060, 2020RMB)'!BB19*$B$73</f>
        <v>294.58972195117929</v>
      </c>
      <c r="BC19" s="90">
        <f>'增加值 (2001-2060, 2020RMB)'!BC19*$B$73</f>
        <v>291.66490416483742</v>
      </c>
      <c r="BD19" s="101">
        <f>'增加值 (2001-2060, 2020RMB)'!BD19*$B$73</f>
        <v>288.52139171490256</v>
      </c>
      <c r="BE19" s="90">
        <f>'增加值 (2001-2060, 2020RMB)'!BE19*$B$73</f>
        <v>285.19642388778078</v>
      </c>
      <c r="BF19" s="90">
        <f>'增加值 (2001-2060, 2020RMB)'!BF19*$B$73</f>
        <v>281.72623862625164</v>
      </c>
      <c r="BG19" s="90">
        <f>'增加值 (2001-2060, 2020RMB)'!BG19*$B$73</f>
        <v>278.14588183677284</v>
      </c>
      <c r="BH19" s="90">
        <f>'增加值 (2001-2060, 2020RMB)'!BH19*$B$73</f>
        <v>274.48905941495269</v>
      </c>
      <c r="BI19" s="109">
        <f>'增加值 (2001-2060, 2020RMB)'!BI19*$B$73</f>
        <v>270.78803006168778</v>
      </c>
    </row>
    <row r="20" spans="1:61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f>'增加值 (2001-2060, 2020RMB)'!I20*$B$73</f>
        <v>0.57954863718673966</v>
      </c>
      <c r="J20" s="20">
        <f>'增加值 (2001-2060, 2020RMB)'!J20*$B$73</f>
        <v>0.78396292295007353</v>
      </c>
      <c r="K20" s="21">
        <f>'增加值 (2001-2060, 2020RMB)'!K20*$B$73</f>
        <v>0.91891072406341079</v>
      </c>
      <c r="L20" s="19">
        <f>'增加值 (2001-2060, 2020RMB)'!L20*$B$73</f>
        <v>1.0842791521723463</v>
      </c>
      <c r="M20" s="20">
        <f>'增加值 (2001-2060, 2020RMB)'!M20*$B$73</f>
        <v>1.0889994158201428</v>
      </c>
      <c r="N20" s="20">
        <f>'增加值 (2001-2060, 2020RMB)'!N20*$B$73</f>
        <v>1.1648549132551371</v>
      </c>
      <c r="O20" s="20">
        <f>'增加值 (2001-2060, 2020RMB)'!O20*$B$73</f>
        <v>1.0832759500273152</v>
      </c>
      <c r="P20" s="20">
        <f>'增加值 (2001-2060, 2020RMB)'!P20*$B$73</f>
        <v>1.0523770744126235</v>
      </c>
      <c r="Q20" s="19">
        <f>'增加值 (2001-2060, 2020RMB)'!Q20*$B$73</f>
        <v>0.91094818874093397</v>
      </c>
      <c r="R20" s="20">
        <f>'增加值 (2001-2060, 2020RMB)'!R20*$B$73</f>
        <v>1.0539272289753696</v>
      </c>
      <c r="S20" s="20">
        <f>'增加值 (2001-2060, 2020RMB)'!S20*$B$73</f>
        <v>1.0808756323636981</v>
      </c>
      <c r="T20" s="20">
        <f>'增加值 (2001-2060, 2020RMB)'!T20*$B$73</f>
        <v>1.0817459755270802</v>
      </c>
      <c r="U20" s="21">
        <f>'增加值 (2001-2060, 2020RMB)'!U20*$B$73</f>
        <v>1.0579535148456456</v>
      </c>
      <c r="V20" s="20">
        <f>'增加值 (2001-2060, 2020RMB)'!V20*$B$73</f>
        <v>0.98256465864026232</v>
      </c>
      <c r="W20" s="103">
        <f>'增加值 (2001-2060, 2020RMB)'!W20*$B$73</f>
        <v>1.2755981295838204</v>
      </c>
      <c r="X20" s="90">
        <f>'增加值 (2001-2060, 2020RMB)'!X20*$B$73</f>
        <v>1.3045109459699875</v>
      </c>
      <c r="Y20" s="90">
        <f>'增加值 (2001-2060, 2020RMB)'!Y20*$B$73</f>
        <v>1.3336113351269885</v>
      </c>
      <c r="Z20" s="90">
        <f>'增加值 (2001-2060, 2020RMB)'!Z20*$B$73</f>
        <v>1.3626557442800569</v>
      </c>
      <c r="AA20" s="89">
        <f>'增加值 (2001-2060, 2020RMB)'!AA20*$B$73</f>
        <v>1.3913806933860191</v>
      </c>
      <c r="AB20" s="90">
        <f>'增加值 (2001-2060, 2020RMB)'!AB20*$B$73</f>
        <v>1.4195031758101861</v>
      </c>
      <c r="AC20" s="90">
        <f>'增加值 (2001-2060, 2020RMB)'!AC20*$B$73</f>
        <v>1.4467215945869427</v>
      </c>
      <c r="AD20" s="90">
        <f>'增加值 (2001-2060, 2020RMB)'!AD20*$B$73</f>
        <v>1.4727172889491864</v>
      </c>
      <c r="AE20" s="101">
        <f>'增加值 (2001-2060, 2020RMB)'!AE20*$B$73</f>
        <v>1.4971566990069936</v>
      </c>
      <c r="AF20" s="90">
        <f>'增加值 (2001-2060, 2020RMB)'!AF20*$B$73</f>
        <v>1.5196955396584331</v>
      </c>
      <c r="AG20" s="90">
        <f>'增加值 (2001-2060, 2020RMB)'!AG20*$B$73</f>
        <v>1.5399864834178603</v>
      </c>
      <c r="AH20" s="90">
        <f>'增加值 (2001-2060, 2020RMB)'!AH20*$B$73</f>
        <v>1.5576795941324872</v>
      </c>
      <c r="AI20" s="90">
        <f>'增加值 (2001-2060, 2020RMB)'!AI20*$B$73</f>
        <v>1.5724258168580543</v>
      </c>
      <c r="AJ20" s="106">
        <f>'增加值 (2001-2060, 2020RMB)'!AJ20*$B$73</f>
        <v>1.5838823755408158</v>
      </c>
      <c r="AK20" s="89">
        <f>'增加值 (2001-2060, 2020RMB)'!AK20*$B$73</f>
        <v>1.5917868543138876</v>
      </c>
      <c r="AL20" s="90">
        <f>'增加值 (2001-2060, 2020RMB)'!AL20*$B$73</f>
        <v>1.596169421555284</v>
      </c>
      <c r="AM20" s="90">
        <f>'增加值 (2001-2060, 2020RMB)'!AM20*$B$73</f>
        <v>1.5971532605125951</v>
      </c>
      <c r="AN20" s="90">
        <f>'增加值 (2001-2060, 2020RMB)'!AN20*$B$73</f>
        <v>1.5948842852797314</v>
      </c>
      <c r="AO20" s="101">
        <f>'增加值 (2001-2060, 2020RMB)'!AO20*$B$73</f>
        <v>1.5895280407607653</v>
      </c>
      <c r="AP20" s="90">
        <f>'增加值 (2001-2060, 2020RMB)'!AP20*$B$73</f>
        <v>1.5812665518198159</v>
      </c>
      <c r="AQ20" s="90">
        <f>'增加值 (2001-2060, 2020RMB)'!AQ20*$B$73</f>
        <v>1.5702951849706066</v>
      </c>
      <c r="AR20" s="90">
        <f>'增加值 (2001-2060, 2020RMB)'!AR20*$B$73</f>
        <v>1.556819579386284</v>
      </c>
      <c r="AS20" s="90">
        <f>'增加值 (2001-2060, 2020RMB)'!AS20*$B$73</f>
        <v>1.5410526967070484</v>
      </c>
      <c r="AT20" s="90">
        <f>'增加值 (2001-2060, 2020RMB)'!AT20*$B$73</f>
        <v>1.5232120313950328</v>
      </c>
      <c r="AU20" s="89">
        <f>'增加值 (2001-2060, 2020RMB)'!AU20*$B$73</f>
        <v>1.5035170155121393</v>
      </c>
      <c r="AV20" s="90">
        <f>'增加值 (2001-2060, 2020RMB)'!AV20*$B$73</f>
        <v>1.4821866440236504</v>
      </c>
      <c r="AW20" s="90">
        <f>'增加值 (2001-2060, 2020RMB)'!AW20*$B$73</f>
        <v>1.4594373392686726</v>
      </c>
      <c r="AX20" s="90">
        <f>'增加值 (2001-2060, 2020RMB)'!AX20*$B$73</f>
        <v>1.4354810662582429</v>
      </c>
      <c r="AY20" s="101">
        <f>'增加值 (2001-2060, 2020RMB)'!AY20*$B$73</f>
        <v>1.410523704094927</v>
      </c>
      <c r="AZ20" s="89">
        <f>'增加值 (2001-2060, 2020RMB)'!AZ20*$B$73</f>
        <v>1.3847636731472679</v>
      </c>
      <c r="BA20" s="90">
        <f>'增加值 (2001-2060, 2020RMB)'!BA20*$B$73</f>
        <v>1.3583908127164968</v>
      </c>
      <c r="BB20" s="90">
        <f>'增加值 (2001-2060, 2020RMB)'!BB20*$B$73</f>
        <v>1.3315854998275825</v>
      </c>
      <c r="BC20" s="90">
        <f>'增加值 (2001-2060, 2020RMB)'!BC20*$B$73</f>
        <v>1.3045179964604852</v>
      </c>
      <c r="BD20" s="101">
        <f>'增加值 (2001-2060, 2020RMB)'!BD20*$B$73</f>
        <v>1.277348009985716</v>
      </c>
      <c r="BE20" s="90">
        <f>'增加值 (2001-2060, 2020RMB)'!BE20*$B$73</f>
        <v>1.2502244497379236</v>
      </c>
      <c r="BF20" s="90">
        <f>'增加值 (2001-2060, 2020RMB)'!BF20*$B$73</f>
        <v>1.2232853614953176</v>
      </c>
      <c r="BG20" s="90">
        <f>'增加值 (2001-2060, 2020RMB)'!BG20*$B$73</f>
        <v>1.1966580210647659</v>
      </c>
      <c r="BH20" s="90">
        <f>'增加值 (2001-2060, 2020RMB)'!BH20*$B$73</f>
        <v>1.1704591681300827</v>
      </c>
      <c r="BI20" s="109">
        <f>'增加值 (2001-2060, 2020RMB)'!BI20*$B$73</f>
        <v>1.1447953619300111</v>
      </c>
    </row>
    <row r="21" spans="1:61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f>'增加值 (2001-2060, 2020RMB)'!I21*$B$73</f>
        <v>833.39094027453166</v>
      </c>
      <c r="J21" s="20">
        <f>'增加值 (2001-2060, 2020RMB)'!J21*$B$73</f>
        <v>915.6170524396332</v>
      </c>
      <c r="K21" s="21">
        <f>'增加值 (2001-2060, 2020RMB)'!K21*$B$73</f>
        <v>1022.5445517944347</v>
      </c>
      <c r="L21" s="19">
        <f>'增加值 (2001-2060, 2020RMB)'!L21*$B$73</f>
        <v>1121.0818054996585</v>
      </c>
      <c r="M21" s="20">
        <f>'增加值 (2001-2060, 2020RMB)'!M21*$B$73</f>
        <v>1212.4105737013122</v>
      </c>
      <c r="N21" s="20">
        <f>'增加值 (2001-2060, 2020RMB)'!N21*$B$73</f>
        <v>1260.0066459506525</v>
      </c>
      <c r="O21" s="20">
        <f>'增加值 (2001-2060, 2020RMB)'!O21*$B$73</f>
        <v>1301.0202924060955</v>
      </c>
      <c r="P21" s="20">
        <f>'增加值 (2001-2060, 2020RMB)'!P21*$B$73</f>
        <v>1302.1734929795896</v>
      </c>
      <c r="Q21" s="19">
        <f>'增加值 (2001-2060, 2020RMB)'!Q21*$B$73</f>
        <v>1348.2887559727169</v>
      </c>
      <c r="R21" s="20">
        <f>'增加值 (2001-2060, 2020RMB)'!R21*$B$73</f>
        <v>1457.5547709704783</v>
      </c>
      <c r="S21" s="20">
        <f>'增加值 (2001-2060, 2020RMB)'!S21*$B$73</f>
        <v>1536.9110032013343</v>
      </c>
      <c r="T21" s="20">
        <f>'增加值 (2001-2060, 2020RMB)'!T21*$B$73</f>
        <v>1509.993620350115</v>
      </c>
      <c r="U21" s="21">
        <f>'增加值 (2001-2060, 2020RMB)'!U21*$B$73</f>
        <v>1438.8034978249595</v>
      </c>
      <c r="V21" s="20">
        <f>'增加值 (2001-2060, 2020RMB)'!V21*$B$73</f>
        <v>1613.4179608362692</v>
      </c>
      <c r="W21" s="20">
        <f>'增加值 (2001-2060, 2020RMB)'!W21*$B$73</f>
        <v>1650.4342918518221</v>
      </c>
      <c r="X21" s="90">
        <f>'增加值 (2001-2060, 2020RMB)'!X21*$B$73</f>
        <v>1658.8276377185862</v>
      </c>
      <c r="Y21" s="90">
        <f>'增加值 (2001-2060, 2020RMB)'!Y21*$B$73</f>
        <v>1669.1723523182698</v>
      </c>
      <c r="Z21" s="90">
        <f>'增加值 (2001-2060, 2020RMB)'!Z21*$B$73</f>
        <v>1680.9814148756786</v>
      </c>
      <c r="AA21" s="89">
        <f>'增加值 (2001-2060, 2020RMB)'!AA21*$B$73</f>
        <v>1693.7580156615165</v>
      </c>
      <c r="AB21" s="90">
        <f>'增加值 (2001-2060, 2020RMB)'!AB21*$B$73</f>
        <v>1706.9918620783528</v>
      </c>
      <c r="AC21" s="90">
        <f>'增加值 (2001-2060, 2020RMB)'!AC21*$B$73</f>
        <v>1720.1569974152455</v>
      </c>
      <c r="AD21" s="90">
        <f>'增加值 (2001-2060, 2020RMB)'!AD21*$B$73</f>
        <v>1732.7112054122142</v>
      </c>
      <c r="AE21" s="101">
        <f>'增加值 (2001-2060, 2020RMB)'!AE21*$B$73</f>
        <v>1744.0970856860197</v>
      </c>
      <c r="AF21" s="90">
        <f>'增加值 (2001-2060, 2020RMB)'!AF21*$B$73</f>
        <v>1753.7344557186575</v>
      </c>
      <c r="AG21" s="90">
        <f>'增加值 (2001-2060, 2020RMB)'!AG21*$B$73</f>
        <v>1760.993370755056</v>
      </c>
      <c r="AH21" s="90">
        <f>'增加值 (2001-2060, 2020RMB)'!AH21*$B$73</f>
        <v>1765.2317724638738</v>
      </c>
      <c r="AI21" s="90">
        <f>'增加值 (2001-2060, 2020RMB)'!AI21*$B$73</f>
        <v>1765.8153946660773</v>
      </c>
      <c r="AJ21" s="106">
        <f>'增加值 (2001-2060, 2020RMB)'!AJ21*$B$73</f>
        <v>1762.1295342453582</v>
      </c>
      <c r="AK21" s="89">
        <f>'增加值 (2001-2060, 2020RMB)'!AK21*$B$73</f>
        <v>1753.7417020408091</v>
      </c>
      <c r="AL21" s="90">
        <f>'增加值 (2001-2060, 2020RMB)'!AL21*$B$73</f>
        <v>1740.8546397829668</v>
      </c>
      <c r="AM21" s="90">
        <f>'增加值 (2001-2060, 2020RMB)'!AM21*$B$73</f>
        <v>1723.8487707168119</v>
      </c>
      <c r="AN21" s="90">
        <f>'增加值 (2001-2060, 2020RMB)'!AN21*$B$73</f>
        <v>1703.1240604380343</v>
      </c>
      <c r="AO21" s="101">
        <f>'增加值 (2001-2060, 2020RMB)'!AO21*$B$73</f>
        <v>1679.09227903281</v>
      </c>
      <c r="AP21" s="90">
        <f>'增加值 (2001-2060, 2020RMB)'!AP21*$B$73</f>
        <v>1652.1698665833228</v>
      </c>
      <c r="AQ21" s="90">
        <f>'增加值 (2001-2060, 2020RMB)'!AQ21*$B$73</f>
        <v>1622.7715083741855</v>
      </c>
      <c r="AR21" s="90">
        <f>'增加值 (2001-2060, 2020RMB)'!AR21*$B$73</f>
        <v>1591.3044914432521</v>
      </c>
      <c r="AS21" s="90">
        <f>'增加值 (2001-2060, 2020RMB)'!AS21*$B$73</f>
        <v>1558.1638820933549</v>
      </c>
      <c r="AT21" s="90">
        <f>'增加值 (2001-2060, 2020RMB)'!AT21*$B$73</f>
        <v>1523.7285354629169</v>
      </c>
      <c r="AU21" s="89">
        <f>'增加值 (2001-2060, 2020RMB)'!AU21*$B$73</f>
        <v>1488.35792378875</v>
      </c>
      <c r="AV21" s="90">
        <f>'增加值 (2001-2060, 2020RMB)'!AV21*$B$73</f>
        <v>1452.3897498615493</v>
      </c>
      <c r="AW21" s="90">
        <f>'增加值 (2001-2060, 2020RMB)'!AW21*$B$73</f>
        <v>1416.1382964180618</v>
      </c>
      <c r="AX21" s="90">
        <f>'增加值 (2001-2060, 2020RMB)'!AX21*$B$73</f>
        <v>1379.8934506873061</v>
      </c>
      <c r="AY21" s="101">
        <f>'增加值 (2001-2060, 2020RMB)'!AY21*$B$73</f>
        <v>1343.9203357203917</v>
      </c>
      <c r="AZ21" s="89">
        <f>'增加值 (2001-2060, 2020RMB)'!AZ21*$B$73</f>
        <v>1308.4594760866814</v>
      </c>
      <c r="BA21" s="90">
        <f>'增加值 (2001-2060, 2020RMB)'!BA21*$B$73</f>
        <v>1273.7274245540327</v>
      </c>
      <c r="BB21" s="90">
        <f>'增加值 (2001-2060, 2020RMB)'!BB21*$B$73</f>
        <v>1239.9177779966835</v>
      </c>
      <c r="BC21" s="90">
        <f>'增加值 (2001-2060, 2020RMB)'!BC21*$B$73</f>
        <v>1207.2025145009823</v>
      </c>
      <c r="BD21" s="101">
        <f>'增加值 (2001-2060, 2020RMB)'!BD21*$B$73</f>
        <v>1175.7335889990827</v>
      </c>
      <c r="BE21" s="90">
        <f>'增加值 (2001-2060, 2020RMB)'!BE21*$B$73</f>
        <v>1145.6447313270583</v>
      </c>
      <c r="BF21" s="90">
        <f>'增加值 (2001-2060, 2020RMB)'!BF21*$B$73</f>
        <v>1117.0533980027212</v>
      </c>
      <c r="BG21" s="90">
        <f>'增加值 (2001-2060, 2020RMB)'!BG21*$B$73</f>
        <v>1090.0628369361045</v>
      </c>
      <c r="BH21" s="90">
        <f>'增加值 (2001-2060, 2020RMB)'!BH21*$B$73</f>
        <v>1064.7642324734973</v>
      </c>
      <c r="BI21" s="109">
        <f>'增加值 (2001-2060, 2020RMB)'!BI21*$B$73</f>
        <v>1041.2389064503041</v>
      </c>
    </row>
    <row r="22" spans="1:61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f>'增加值 (2001-2060, 2020RMB)'!I22*$B$73</f>
        <v>391.28880568769222</v>
      </c>
      <c r="J22" s="20">
        <f>'增加值 (2001-2060, 2020RMB)'!J22*$B$73</f>
        <v>423.21858349686204</v>
      </c>
      <c r="K22" s="21">
        <f>'增加值 (2001-2060, 2020RMB)'!K22*$B$73</f>
        <v>473.46484150296209</v>
      </c>
      <c r="L22" s="19">
        <f>'增加值 (2001-2060, 2020RMB)'!L22*$B$73</f>
        <v>532.73845955027809</v>
      </c>
      <c r="M22" s="20">
        <f>'增加值 (2001-2060, 2020RMB)'!M22*$B$73</f>
        <v>567.00897566965182</v>
      </c>
      <c r="N22" s="20">
        <f>'增加值 (2001-2060, 2020RMB)'!N22*$B$73</f>
        <v>592.50008564898212</v>
      </c>
      <c r="O22" s="20">
        <f>'增加值 (2001-2060, 2020RMB)'!O22*$B$73</f>
        <v>616.898584911184</v>
      </c>
      <c r="P22" s="20">
        <f>'增加值 (2001-2060, 2020RMB)'!P22*$B$73</f>
        <v>629.15051844987215</v>
      </c>
      <c r="Q22" s="19">
        <f>'增加值 (2001-2060, 2020RMB)'!Q22*$B$73</f>
        <v>668.00872114290121</v>
      </c>
      <c r="R22" s="20">
        <f>'增加值 (2001-2060, 2020RMB)'!R22*$B$73</f>
        <v>737.69629270652126</v>
      </c>
      <c r="S22" s="20">
        <f>'增加值 (2001-2060, 2020RMB)'!S22*$B$73</f>
        <v>783.73618171684529</v>
      </c>
      <c r="T22" s="20">
        <f>'增加值 (2001-2060, 2020RMB)'!T22*$B$73</f>
        <v>795.70204914280976</v>
      </c>
      <c r="U22" s="21">
        <f>'增加值 (2001-2060, 2020RMB)'!U22*$B$73</f>
        <v>781.27991692211458</v>
      </c>
      <c r="V22" s="20">
        <f>'增加值 (2001-2060, 2020RMB)'!V22*$B$73</f>
        <v>878.53711842257519</v>
      </c>
      <c r="W22" s="103">
        <f>'增加值 (2001-2060, 2020RMB)'!W22*$B$73</f>
        <v>912.97236037763207</v>
      </c>
      <c r="X22" s="90">
        <f>'增加值 (2001-2060, 2020RMB)'!X22*$B$73</f>
        <v>930.7376413146435</v>
      </c>
      <c r="Y22" s="90">
        <f>'增加值 (2001-2060, 2020RMB)'!Y22*$B$73</f>
        <v>948.78861973458095</v>
      </c>
      <c r="Z22" s="90">
        <f>'增加值 (2001-2060, 2020RMB)'!Z22*$B$73</f>
        <v>966.93533206929169</v>
      </c>
      <c r="AA22" s="89">
        <f>'增加值 (2001-2060, 2020RMB)'!AA22*$B$73</f>
        <v>984.97316981636288</v>
      </c>
      <c r="AB22" s="90">
        <f>'增加值 (2001-2060, 2020RMB)'!AB22*$B$73</f>
        <v>1002.6829119498262</v>
      </c>
      <c r="AC22" s="90">
        <f>'增加值 (2001-2060, 2020RMB)'!AC22*$B$73</f>
        <v>1019.8312190369663</v>
      </c>
      <c r="AD22" s="90">
        <f>'增加值 (2001-2060, 2020RMB)'!AD22*$B$73</f>
        <v>1036.171639048448</v>
      </c>
      <c r="AE22" s="101">
        <f>'增加值 (2001-2060, 2020RMB)'!AE22*$B$73</f>
        <v>1051.4461701565922</v>
      </c>
      <c r="AF22" s="90">
        <f>'增加值 (2001-2060, 2020RMB)'!AF22*$B$73</f>
        <v>1065.3937739484707</v>
      </c>
      <c r="AG22" s="90">
        <f>'增加值 (2001-2060, 2020RMB)'!AG22*$B$73</f>
        <v>1077.772810522139</v>
      </c>
      <c r="AH22" s="90">
        <f>'增加值 (2001-2060, 2020RMB)'!AH22*$B$73</f>
        <v>1088.3461112560058</v>
      </c>
      <c r="AI22" s="90">
        <f>'增加值 (2001-2060, 2020RMB)'!AI22*$B$73</f>
        <v>1096.8780716573337</v>
      </c>
      <c r="AJ22" s="106">
        <f>'增加值 (2001-2060, 2020RMB)'!AJ22*$B$73</f>
        <v>1103.1383346788896</v>
      </c>
      <c r="AK22" s="89">
        <f>'增加值 (2001-2060, 2020RMB)'!AK22*$B$73</f>
        <v>1106.9535680535762</v>
      </c>
      <c r="AL22" s="90">
        <f>'增加值 (2001-2060, 2020RMB)'!AL22*$B$73</f>
        <v>1108.3554282697332</v>
      </c>
      <c r="AM22" s="90">
        <f>'增加值 (2001-2060, 2020RMB)'!AM22*$B$73</f>
        <v>1107.4396373250208</v>
      </c>
      <c r="AN22" s="90">
        <f>'增加值 (2001-2060, 2020RMB)'!AN22*$B$73</f>
        <v>1104.3165479242664</v>
      </c>
      <c r="AO22" s="101">
        <f>'增加值 (2001-2060, 2020RMB)'!AO22*$B$73</f>
        <v>1099.1089493922489</v>
      </c>
      <c r="AP22" s="90">
        <f>'增加值 (2001-2060, 2020RMB)'!AP22*$B$73</f>
        <v>1091.9498633101593</v>
      </c>
      <c r="AQ22" s="90">
        <f>'增加值 (2001-2060, 2020RMB)'!AQ22*$B$73</f>
        <v>1082.9803706591158</v>
      </c>
      <c r="AR22" s="90">
        <f>'增加值 (2001-2060, 2020RMB)'!AR22*$B$73</f>
        <v>1072.347507361362</v>
      </c>
      <c r="AS22" s="90">
        <f>'增加值 (2001-2060, 2020RMB)'!AS22*$B$73</f>
        <v>1060.2022598241456</v>
      </c>
      <c r="AT22" s="90">
        <f>'增加值 (2001-2060, 2020RMB)'!AT22*$B$73</f>
        <v>1046.6976866163207</v>
      </c>
      <c r="AU22" s="89">
        <f>'增加值 (2001-2060, 2020RMB)'!AU22*$B$73</f>
        <v>1031.9871869264371</v>
      </c>
      <c r="AV22" s="90">
        <f>'增加值 (2001-2060, 2020RMB)'!AV22*$B$73</f>
        <v>1016.2229311221012</v>
      </c>
      <c r="AW22" s="90">
        <f>'增加值 (2001-2060, 2020RMB)'!AW22*$B$73</f>
        <v>999.55446368562059</v>
      </c>
      <c r="AX22" s="90">
        <f>'增加值 (2001-2060, 2020RMB)'!AX22*$B$73</f>
        <v>982.12748414473606</v>
      </c>
      <c r="AY22" s="101">
        <f>'增加值 (2001-2060, 2020RMB)'!AY22*$B$73</f>
        <v>964.08280742719262</v>
      </c>
      <c r="AZ22" s="89">
        <f>'增加值 (2001-2060, 2020RMB)'!AZ22*$B$73</f>
        <v>945.55550139541299</v>
      </c>
      <c r="BA22" s="90">
        <f>'增加值 (2001-2060, 2020RMB)'!BA22*$B$73</f>
        <v>926.67419619116765</v>
      </c>
      <c r="BB22" s="90">
        <f>'增加值 (2001-2060, 2020RMB)'!BB22*$B$73</f>
        <v>907.56055744735215</v>
      </c>
      <c r="BC22" s="90">
        <f>'增加值 (2001-2060, 2020RMB)'!BC22*$B$73</f>
        <v>888.32891339453204</v>
      </c>
      <c r="BD22" s="101">
        <f>'增加值 (2001-2060, 2020RMB)'!BD22*$B$73</f>
        <v>869.08602437955801</v>
      </c>
      <c r="BE22" s="90">
        <f>'增加值 (2001-2060, 2020RMB)'!BE22*$B$73</f>
        <v>849.93098228638632</v>
      </c>
      <c r="BF22" s="90">
        <f>'增加值 (2001-2060, 2020RMB)'!BF22*$B$73</f>
        <v>830.9552267615536</v>
      </c>
      <c r="BG22" s="90">
        <f>'增加值 (2001-2060, 2020RMB)'!BG22*$B$73</f>
        <v>812.24266494953611</v>
      </c>
      <c r="BH22" s="90">
        <f>'增加值 (2001-2060, 2020RMB)'!BH22*$B$73</f>
        <v>793.86988158465078</v>
      </c>
      <c r="BI22" s="109">
        <f>'增加值 (2001-2060, 2020RMB)'!BI22*$B$73</f>
        <v>775.90642671400622</v>
      </c>
    </row>
    <row r="23" spans="1:61" x14ac:dyDescent="0.2">
      <c r="A23" s="30" t="s">
        <v>81</v>
      </c>
      <c r="B23" s="19"/>
      <c r="C23" s="20"/>
      <c r="D23" s="20"/>
      <c r="E23" s="20"/>
      <c r="F23" s="21"/>
      <c r="G23" s="19"/>
      <c r="H23" s="20"/>
      <c r="I23" s="20">
        <f>'增加值 (2001-2060, 2020RMB)'!I23*$B$73</f>
        <v>416.04114103076466</v>
      </c>
      <c r="J23" s="20">
        <f>'增加值 (2001-2060, 2020RMB)'!J23*$B$73</f>
        <v>451.96266195450079</v>
      </c>
      <c r="K23" s="21">
        <f>'增加值 (2001-2060, 2020RMB)'!K23*$B$73</f>
        <v>502.98809016179717</v>
      </c>
      <c r="L23" s="19">
        <f>'增加值 (2001-2060, 2020RMB)'!L23*$B$73</f>
        <v>574.6573651611958</v>
      </c>
      <c r="M23" s="20">
        <f>'增加值 (2001-2060, 2020RMB)'!M23*$B$73</f>
        <v>615.45397266684449</v>
      </c>
      <c r="N23" s="20">
        <f>'增加值 (2001-2060, 2020RMB)'!N23*$B$73</f>
        <v>644.29234645209567</v>
      </c>
      <c r="O23" s="20">
        <f>'增加值 (2001-2060, 2020RMB)'!O23*$B$73</f>
        <v>657.85186687048679</v>
      </c>
      <c r="P23" s="20">
        <f>'增加值 (2001-2060, 2020RMB)'!P23*$B$73</f>
        <v>672.16537230123561</v>
      </c>
      <c r="Q23" s="19">
        <f>'增加值 (2001-2060, 2020RMB)'!Q23*$B$73</f>
        <v>708.43265072745317</v>
      </c>
      <c r="R23" s="20">
        <f>'增加值 (2001-2060, 2020RMB)'!R23*$B$73</f>
        <v>782.33730119535221</v>
      </c>
      <c r="S23" s="20">
        <f>'增加值 (2001-2060, 2020RMB)'!S23*$B$73</f>
        <v>835.83708420068547</v>
      </c>
      <c r="T23" s="20">
        <f>'增加值 (2001-2060, 2020RMB)'!T23*$B$73</f>
        <v>855.85139170274385</v>
      </c>
      <c r="U23" s="21">
        <f>'增加值 (2001-2060, 2020RMB)'!U23*$B$73</f>
        <v>805.56639983284151</v>
      </c>
      <c r="V23" s="20">
        <f>'增加值 (2001-2060, 2020RMB)'!V23*$B$73</f>
        <v>927.65431597354814</v>
      </c>
      <c r="W23" s="20">
        <f>'增加值 (2001-2060, 2020RMB)'!W23*$B$73</f>
        <v>1001.7083980576186</v>
      </c>
      <c r="X23" s="90">
        <f>'增加值 (2001-2060, 2020RMB)'!X23*$B$73</f>
        <v>1025.7200963152241</v>
      </c>
      <c r="Y23" s="90">
        <f>'增加值 (2001-2060, 2020RMB)'!Y23*$B$73</f>
        <v>1049.8167958893721</v>
      </c>
      <c r="Z23" s="90">
        <f>'增加值 (2001-2060, 2020RMB)'!Z23*$B$73</f>
        <v>1073.8131724103159</v>
      </c>
      <c r="AA23" s="89">
        <f>'增加值 (2001-2060, 2020RMB)'!AA23*$B$73</f>
        <v>1097.5086487530036</v>
      </c>
      <c r="AB23" s="90">
        <f>'增加值 (2001-2060, 2020RMB)'!AB23*$B$73</f>
        <v>1120.6878019025414</v>
      </c>
      <c r="AC23" s="90">
        <f>'增加值 (2001-2060, 2020RMB)'!AC23*$B$73</f>
        <v>1143.1211587231455</v>
      </c>
      <c r="AD23" s="90">
        <f>'增加值 (2001-2060, 2020RMB)'!AD23*$B$73</f>
        <v>1164.5664184169468</v>
      </c>
      <c r="AE23" s="101">
        <f>'增加值 (2001-2060, 2020RMB)'!AE23*$B$73</f>
        <v>1184.7701341783754</v>
      </c>
      <c r="AF23" s="90">
        <f>'增加值 (2001-2060, 2020RMB)'!AF23*$B$73</f>
        <v>1203.468455047411</v>
      </c>
      <c r="AG23" s="90">
        <f>'增加值 (2001-2060, 2020RMB)'!AG23*$B$73</f>
        <v>1220.3853588074201</v>
      </c>
      <c r="AH23" s="90">
        <f>'增加值 (2001-2060, 2020RMB)'!AH23*$B$73</f>
        <v>1235.2398755768988</v>
      </c>
      <c r="AI23" s="90">
        <f>'增加值 (2001-2060, 2020RMB)'!AI23*$B$73</f>
        <v>1247.751286878271</v>
      </c>
      <c r="AJ23" s="106">
        <f>'增加值 (2001-2060, 2020RMB)'!AJ23*$B$73</f>
        <v>1257.6434452569054</v>
      </c>
      <c r="AK23" s="89">
        <f>'增加值 (2001-2060, 2020RMB)'!AK23*$B$73</f>
        <v>1264.7035107470745</v>
      </c>
      <c r="AL23" s="90">
        <f>'增加值 (2001-2060, 2020RMB)'!AL23*$B$73</f>
        <v>1268.9503854876816</v>
      </c>
      <c r="AM23" s="90">
        <f>'增加值 (2001-2060, 2020RMB)'!AM23*$B$73</f>
        <v>1270.4771439886085</v>
      </c>
      <c r="AN23" s="90">
        <f>'增加值 (2001-2060, 2020RMB)'!AN23*$B$73</f>
        <v>1269.3954540219393</v>
      </c>
      <c r="AO23" s="101">
        <f>'增加值 (2001-2060, 2020RMB)'!AO23*$B$73</f>
        <v>1265.8331353158619</v>
      </c>
      <c r="AP23" s="90">
        <f>'增加值 (2001-2060, 2020RMB)'!AP23*$B$73</f>
        <v>1259.931666025192</v>
      </c>
      <c r="AQ23" s="90">
        <f>'增加值 (2001-2060, 2020RMB)'!AQ23*$B$73</f>
        <v>1251.8436882982035</v>
      </c>
      <c r="AR23" s="90">
        <f>'增加值 (2001-2060, 2020RMB)'!AR23*$B$73</f>
        <v>1241.7305592041839</v>
      </c>
      <c r="AS23" s="90">
        <f>'增加值 (2001-2060, 2020RMB)'!AS23*$B$73</f>
        <v>1229.7599875967367</v>
      </c>
      <c r="AT23" s="90">
        <f>'增加值 (2001-2060, 2020RMB)'!AT23*$B$73</f>
        <v>1216.1037914104202</v>
      </c>
      <c r="AU23" s="89">
        <f>'增加值 (2001-2060, 2020RMB)'!AU23*$B$73</f>
        <v>1200.9358036493729</v>
      </c>
      <c r="AV23" s="90">
        <f>'增加值 (2001-2060, 2020RMB)'!AV23*$B$73</f>
        <v>1184.4299491279262</v>
      </c>
      <c r="AW23" s="90">
        <f>'增加值 (2001-2060, 2020RMB)'!AW23*$B$73</f>
        <v>1166.7585080380281</v>
      </c>
      <c r="AX23" s="90">
        <f>'增加值 (2001-2060, 2020RMB)'!AX23*$B$73</f>
        <v>1148.0905767889678</v>
      </c>
      <c r="AY23" s="101">
        <f>'增加值 (2001-2060, 2020RMB)'!AY23*$B$73</f>
        <v>1128.5907314021069</v>
      </c>
      <c r="AZ23" s="89">
        <f>'增加值 (2001-2060, 2020RMB)'!AZ23*$B$73</f>
        <v>1108.4178941278938</v>
      </c>
      <c r="BA23" s="90">
        <f>'增加值 (2001-2060, 2020RMB)'!BA23*$B$73</f>
        <v>1087.7243999359293</v>
      </c>
      <c r="BB23" s="90">
        <f>'增加值 (2001-2060, 2020RMB)'!BB23*$B$73</f>
        <v>1066.6552561372669</v>
      </c>
      <c r="BC23" s="90">
        <f>'增加值 (2001-2060, 2020RMB)'!BC23*$B$73</f>
        <v>1045.3475856345251</v>
      </c>
      <c r="BD23" s="101">
        <f>'增加值 (2001-2060, 2020RMB)'!BD23*$B$73</f>
        <v>1023.9302421441897</v>
      </c>
      <c r="BE23" s="90">
        <f>'增加值 (2001-2060, 2020RMB)'!BE23*$B$73</f>
        <v>1002.523584164718</v>
      </c>
      <c r="BF23" s="90">
        <f>'增加值 (2001-2060, 2020RMB)'!BF23*$B$73</f>
        <v>981.23939343156928</v>
      </c>
      <c r="BG23" s="90">
        <f>'增加值 (2001-2060, 2020RMB)'!BG23*$B$73</f>
        <v>960.18092305377081</v>
      </c>
      <c r="BH23" s="90">
        <f>'增加值 (2001-2060, 2020RMB)'!BH23*$B$73</f>
        <v>939.44306041029051</v>
      </c>
      <c r="BI23" s="109">
        <f>'增加值 (2001-2060, 2020RMB)'!BI23*$B$73</f>
        <v>919.1125901391913</v>
      </c>
    </row>
    <row r="24" spans="1:61" x14ac:dyDescent="0.2">
      <c r="A24" s="30" t="s">
        <v>82</v>
      </c>
      <c r="B24" s="19"/>
      <c r="C24" s="20"/>
      <c r="D24" s="20"/>
      <c r="E24" s="20"/>
      <c r="F24" s="21"/>
      <c r="G24" s="19"/>
      <c r="H24" s="20"/>
      <c r="I24" s="20">
        <f>'增加值 (2001-2060, 2020RMB)'!I24*$B$73</f>
        <v>814.11627430874023</v>
      </c>
      <c r="J24" s="20">
        <f>'增加值 (2001-2060, 2020RMB)'!J24*$B$73</f>
        <v>835.01707948040792</v>
      </c>
      <c r="K24" s="21">
        <f>'增加值 (2001-2060, 2020RMB)'!K24*$B$73</f>
        <v>907.39414275234458</v>
      </c>
      <c r="L24" s="19">
        <f>'增加值 (2001-2060, 2020RMB)'!L24*$B$73</f>
        <v>981.75649437877132</v>
      </c>
      <c r="M24" s="20">
        <f>'增加值 (2001-2060, 2020RMB)'!M24*$B$73</f>
        <v>1021.5462277456062</v>
      </c>
      <c r="N24" s="20">
        <f>'增加值 (2001-2060, 2020RMB)'!N24*$B$73</f>
        <v>1040.3000235379272</v>
      </c>
      <c r="O24" s="20">
        <f>'增加值 (2001-2060, 2020RMB)'!O24*$B$73</f>
        <v>1079.148969615429</v>
      </c>
      <c r="P24" s="20">
        <f>'增加值 (2001-2060, 2020RMB)'!P24*$B$73</f>
        <v>1058.6057770282716</v>
      </c>
      <c r="Q24" s="19">
        <f>'增加值 (2001-2060, 2020RMB)'!Q24*$B$73</f>
        <v>947.33214392277785</v>
      </c>
      <c r="R24" s="20">
        <f>'增加值 (2001-2060, 2020RMB)'!R24*$B$73</f>
        <v>992.46075246780401</v>
      </c>
      <c r="S24" s="20">
        <f>'增加值 (2001-2060, 2020RMB)'!S24*$B$73</f>
        <v>1047.4832402189634</v>
      </c>
      <c r="T24" s="20">
        <f>'增加值 (2001-2060, 2020RMB)'!T24*$B$73</f>
        <v>1062.4659761973628</v>
      </c>
      <c r="U24" s="21">
        <f>'增加值 (2001-2060, 2020RMB)'!U24*$B$73</f>
        <v>1060.6811984790204</v>
      </c>
      <c r="V24" s="20">
        <f>'增加值 (2001-2060, 2020RMB)'!V24*$B$73</f>
        <v>1143.0228686473731</v>
      </c>
      <c r="W24" s="20">
        <f>'增加值 (2001-2060, 2020RMB)'!W24*$B$73</f>
        <v>1242.3975261070618</v>
      </c>
      <c r="X24" s="90">
        <f>'增加值 (2001-2060, 2020RMB)'!X24*$B$73</f>
        <v>1259.8128392247438</v>
      </c>
      <c r="Y24" s="90">
        <f>'增加值 (2001-2060, 2020RMB)'!Y24*$B$73</f>
        <v>1278.019077029157</v>
      </c>
      <c r="Z24" s="90">
        <f>'增加值 (2001-2060, 2020RMB)'!Z24*$B$73</f>
        <v>1296.7107740462775</v>
      </c>
      <c r="AA24" s="89">
        <f>'增加值 (2001-2060, 2020RMB)'!AA24*$B$73</f>
        <v>1315.5640588480358</v>
      </c>
      <c r="AB24" s="90">
        <f>'增加值 (2001-2060, 2020RMB)'!AB24*$B$73</f>
        <v>1334.2358348461744</v>
      </c>
      <c r="AC24" s="90">
        <f>'增加值 (2001-2060, 2020RMB)'!AC24*$B$73</f>
        <v>1352.3638189396793</v>
      </c>
      <c r="AD24" s="90">
        <f>'增加值 (2001-2060, 2020RMB)'!AD24*$B$73</f>
        <v>1369.5675239659943</v>
      </c>
      <c r="AE24" s="101">
        <f>'增加值 (2001-2060, 2020RMB)'!AE24*$B$73</f>
        <v>1385.4502670046361</v>
      </c>
      <c r="AF24" s="90">
        <f>'增加值 (2001-2060, 2020RMB)'!AF24*$B$73</f>
        <v>1399.6228123111537</v>
      </c>
      <c r="AG24" s="90">
        <f>'增加值 (2001-2060, 2020RMB)'!AG24*$B$73</f>
        <v>1411.7706556334397</v>
      </c>
      <c r="AH24" s="90">
        <f>'增加值 (2001-2060, 2020RMB)'!AH24*$B$73</f>
        <v>1421.5993447108672</v>
      </c>
      <c r="AI24" s="90">
        <f>'增加值 (2001-2060, 2020RMB)'!AI24*$B$73</f>
        <v>1428.8184961993786</v>
      </c>
      <c r="AJ24" s="106">
        <f>'增加值 (2001-2060, 2020RMB)'!AJ24*$B$73</f>
        <v>1433.146398788826</v>
      </c>
      <c r="AK24" s="89">
        <f>'增加值 (2001-2060, 2020RMB)'!AK24*$B$73</f>
        <v>1434.377662286329</v>
      </c>
      <c r="AL24" s="90">
        <f>'增加值 (2001-2060, 2020RMB)'!AL24*$B$73</f>
        <v>1432.5757407919282</v>
      </c>
      <c r="AM24" s="90">
        <f>'增加值 (2001-2060, 2020RMB)'!AM24*$B$73</f>
        <v>1427.8855997811957</v>
      </c>
      <c r="AN24" s="90">
        <f>'增加值 (2001-2060, 2020RMB)'!AN24*$B$73</f>
        <v>1420.4684635171134</v>
      </c>
      <c r="AO24" s="101">
        <f>'增加值 (2001-2060, 2020RMB)'!AO24*$B$73</f>
        <v>1410.4989237480365</v>
      </c>
      <c r="AP24" s="90">
        <f>'增加值 (2001-2060, 2020RMB)'!AP24*$B$73</f>
        <v>1398.1620879766913</v>
      </c>
      <c r="AQ24" s="90">
        <f>'增加值 (2001-2060, 2020RMB)'!AQ24*$B$73</f>
        <v>1383.6508158428639</v>
      </c>
      <c r="AR24" s="90">
        <f>'增加值 (2001-2060, 2020RMB)'!AR24*$B$73</f>
        <v>1367.1630852757346</v>
      </c>
      <c r="AS24" s="90">
        <f>'增加值 (2001-2060, 2020RMB)'!AS24*$B$73</f>
        <v>1348.8995229202953</v>
      </c>
      <c r="AT24" s="90">
        <f>'增加值 (2001-2060, 2020RMB)'!AT24*$B$73</f>
        <v>1329.061126167127</v>
      </c>
      <c r="AU24" s="89">
        <f>'增加值 (2001-2060, 2020RMB)'!AU24*$B$73</f>
        <v>1307.8471971246247</v>
      </c>
      <c r="AV24" s="90">
        <f>'增加值 (2001-2060, 2020RMB)'!AV24*$B$73</f>
        <v>1285.4535022428747</v>
      </c>
      <c r="AW24" s="90">
        <f>'增加值 (2001-2060, 2020RMB)'!AW24*$B$73</f>
        <v>1262.07066516747</v>
      </c>
      <c r="AX24" s="90">
        <f>'增加值 (2001-2060, 2020RMB)'!AX24*$B$73</f>
        <v>1237.8827948732428</v>
      </c>
      <c r="AY24" s="101">
        <f>'增加值 (2001-2060, 2020RMB)'!AY24*$B$73</f>
        <v>1213.0663462723562</v>
      </c>
      <c r="AZ24" s="89">
        <f>'增加值 (2001-2060, 2020RMB)'!AZ24*$B$73</f>
        <v>1187.7892063475845</v>
      </c>
      <c r="BA24" s="90">
        <f>'增加值 (2001-2060, 2020RMB)'!BA24*$B$73</f>
        <v>1162.209995441485</v>
      </c>
      <c r="BB24" s="90">
        <f>'增加值 (2001-2060, 2020RMB)'!BB24*$B$73</f>
        <v>1136.4775706243013</v>
      </c>
      <c r="BC24" s="90">
        <f>'增加值 (2001-2060, 2020RMB)'!BC24*$B$73</f>
        <v>1110.7307160366081</v>
      </c>
      <c r="BD24" s="101">
        <f>'增加值 (2001-2060, 2020RMB)'!BD24*$B$73</f>
        <v>1085.0980037114493</v>
      </c>
      <c r="BE24" s="90">
        <f>'增加值 (2001-2060, 2020RMB)'!BE24*$B$73</f>
        <v>1059.6978075680265</v>
      </c>
      <c r="BF24" s="90">
        <f>'增加值 (2001-2060, 2020RMB)'!BF24*$B$73</f>
        <v>1034.6384529709148</v>
      </c>
      <c r="BG24" s="90">
        <f>'增加值 (2001-2060, 2020RMB)'!BG24*$B$73</f>
        <v>1010.0184843975867</v>
      </c>
      <c r="BH24" s="90">
        <f>'增加值 (2001-2060, 2020RMB)'!BH24*$B$73</f>
        <v>985.92703428362654</v>
      </c>
      <c r="BI24" s="109">
        <f>'增加值 (2001-2060, 2020RMB)'!BI24*$B$73</f>
        <v>962.44427695254717</v>
      </c>
    </row>
    <row r="25" spans="1:61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f>'增加值 (2001-2060, 2020RMB)'!I25*$B$73</f>
        <v>777.95991739521935</v>
      </c>
      <c r="J25" s="20">
        <f>'增加值 (2001-2060, 2020RMB)'!J25*$B$73</f>
        <v>800.14486261054606</v>
      </c>
      <c r="K25" s="21">
        <f>'增加值 (2001-2060, 2020RMB)'!K25*$B$73</f>
        <v>867.16819741371125</v>
      </c>
      <c r="L25" s="19">
        <f>'增加值 (2001-2060, 2020RMB)'!L25*$B$73</f>
        <v>902.40443183874095</v>
      </c>
      <c r="M25" s="20">
        <f>'增加值 (2001-2060, 2020RMB)'!M25*$B$73</f>
        <v>963.89151239458693</v>
      </c>
      <c r="N25" s="20">
        <f>'增加值 (2001-2060, 2020RMB)'!N25*$B$73</f>
        <v>995.32175969285993</v>
      </c>
      <c r="O25" s="20">
        <f>'增加值 (2001-2060, 2020RMB)'!O25*$B$73</f>
        <v>1018.1773917073065</v>
      </c>
      <c r="P25" s="20">
        <f>'增加值 (2001-2060, 2020RMB)'!P25*$B$73</f>
        <v>1033.569172982455</v>
      </c>
      <c r="Q25" s="19">
        <f>'增加值 (2001-2060, 2020RMB)'!Q25*$B$73</f>
        <v>1064.120195424287</v>
      </c>
      <c r="R25" s="20">
        <f>'增加值 (2001-2060, 2020RMB)'!R25*$B$73</f>
        <v>1120.1978705238769</v>
      </c>
      <c r="S25" s="20">
        <f>'增加值 (2001-2060, 2020RMB)'!S25*$B$73</f>
        <v>1126.5331937839655</v>
      </c>
      <c r="T25" s="20">
        <f>'增加值 (2001-2060, 2020RMB)'!T25*$B$73</f>
        <v>1100.2861515096881</v>
      </c>
      <c r="U25" s="21">
        <f>'增加值 (2001-2060, 2020RMB)'!U25*$B$73</f>
        <v>1071.8283979331518</v>
      </c>
      <c r="V25" s="20">
        <f>'增加值 (2001-2060, 2020RMB)'!V25*$B$73</f>
        <v>1131.5999339945606</v>
      </c>
      <c r="W25" s="20">
        <f>'增加值 (2001-2060, 2020RMB)'!W25*$B$73</f>
        <v>1118.4784851316513</v>
      </c>
      <c r="X25" s="90">
        <f>'增加值 (2001-2060, 2020RMB)'!X25*$B$73</f>
        <v>1101.7319468013463</v>
      </c>
      <c r="Y25" s="90">
        <f>'增加值 (2001-2060, 2020RMB)'!Y25*$B$73</f>
        <v>1088.0994359251829</v>
      </c>
      <c r="Z25" s="90">
        <f>'增加值 (2001-2060, 2020RMB)'!Z25*$B$73</f>
        <v>1076.9603501257441</v>
      </c>
      <c r="AA25" s="89">
        <f>'增加值 (2001-2060, 2020RMB)'!AA25*$B$73</f>
        <v>1067.73501079686</v>
      </c>
      <c r="AB25" s="90">
        <f>'增加值 (2001-2060, 2020RMB)'!AB25*$B$73</f>
        <v>1059.873527552862</v>
      </c>
      <c r="AC25" s="90">
        <f>'增加值 (2001-2060, 2020RMB)'!AC25*$B$73</f>
        <v>1052.8476979373481</v>
      </c>
      <c r="AD25" s="90">
        <f>'增加值 (2001-2060, 2020RMB)'!AD25*$B$73</f>
        <v>1046.1456585414826</v>
      </c>
      <c r="AE25" s="101">
        <f>'增加值 (2001-2060, 2020RMB)'!AE25*$B$73</f>
        <v>1039.2690965304882</v>
      </c>
      <c r="AF25" s="90">
        <f>'增加值 (2001-2060, 2020RMB)'!AF25*$B$73</f>
        <v>1031.7766381432493</v>
      </c>
      <c r="AG25" s="90">
        <f>'增加值 (2001-2060, 2020RMB)'!AG25*$B$73</f>
        <v>1023.4141636092279</v>
      </c>
      <c r="AH25" s="90">
        <f>'增加值 (2001-2060, 2020RMB)'!AH25*$B$73</f>
        <v>1013.9811100114247</v>
      </c>
      <c r="AI25" s="90">
        <f>'增加值 (2001-2060, 2020RMB)'!AI25*$B$73</f>
        <v>1003.2881115903443</v>
      </c>
      <c r="AJ25" s="106">
        <f>'增加值 (2001-2060, 2020RMB)'!AJ25*$B$73</f>
        <v>991.15934631538744</v>
      </c>
      <c r="AK25" s="89">
        <f>'增加值 (2001-2060, 2020RMB)'!AK25*$B$73</f>
        <v>977.48458676364362</v>
      </c>
      <c r="AL25" s="90">
        <f>'增加值 (2001-2060, 2020RMB)'!AL25*$B$73</f>
        <v>962.36411686887141</v>
      </c>
      <c r="AM25" s="90">
        <f>'增加值 (2001-2060, 2020RMB)'!AM25*$B$73</f>
        <v>945.95045704228005</v>
      </c>
      <c r="AN25" s="90">
        <f>'增加值 (2001-2060, 2020RMB)'!AN25*$B$73</f>
        <v>928.39593256923661</v>
      </c>
      <c r="AO25" s="101">
        <f>'增加值 (2001-2060, 2020RMB)'!AO25*$B$73</f>
        <v>909.8511228827507</v>
      </c>
      <c r="AP25" s="90">
        <f>'增加值 (2001-2060, 2020RMB)'!AP25*$B$73</f>
        <v>890.46347695913892</v>
      </c>
      <c r="AQ25" s="90">
        <f>'增加值 (2001-2060, 2020RMB)'!AQ25*$B$73</f>
        <v>870.37610099369294</v>
      </c>
      <c r="AR25" s="90">
        <f>'增加值 (2001-2060, 2020RMB)'!AR25*$B$73</f>
        <v>849.72672041543694</v>
      </c>
      <c r="AS25" s="90">
        <f>'增加值 (2001-2060, 2020RMB)'!AS25*$B$73</f>
        <v>828.64681466015361</v>
      </c>
      <c r="AT25" s="90">
        <f>'增加值 (2001-2060, 2020RMB)'!AT25*$B$73</f>
        <v>807.26091997523201</v>
      </c>
      <c r="AU25" s="89">
        <f>'增加值 (2001-2060, 2020RMB)'!AU25*$B$73</f>
        <v>785.6860928945265</v>
      </c>
      <c r="AV25" s="90">
        <f>'增加值 (2001-2060, 2020RMB)'!AV25*$B$73</f>
        <v>764.03152489459944</v>
      </c>
      <c r="AW25" s="90">
        <f>'增加值 (2001-2060, 2020RMB)'!AW25*$B$73</f>
        <v>742.39829710942251</v>
      </c>
      <c r="AX25" s="90">
        <f>'增加值 (2001-2060, 2020RMB)'!AX25*$B$73</f>
        <v>720.87926281080263</v>
      </c>
      <c r="AY25" s="101">
        <f>'增加值 (2001-2060, 2020RMB)'!AY25*$B$73</f>
        <v>699.55904461963553</v>
      </c>
      <c r="AZ25" s="89">
        <f>'增加值 (2001-2060, 2020RMB)'!AZ25*$B$73</f>
        <v>678.5141330551503</v>
      </c>
      <c r="BA25" s="90">
        <f>'增加值 (2001-2060, 2020RMB)'!BA25*$B$73</f>
        <v>657.81307300833441</v>
      </c>
      <c r="BB25" s="90">
        <f>'增加值 (2001-2060, 2020RMB)'!BB25*$B$73</f>
        <v>637.5167249925255</v>
      </c>
      <c r="BC25" s="90">
        <f>'增加值 (2001-2060, 2020RMB)'!BC25*$B$73</f>
        <v>617.67858852974325</v>
      </c>
      <c r="BD25" s="101">
        <f>'增加值 (2001-2060, 2020RMB)'!BD25*$B$73</f>
        <v>598.34517572778759</v>
      </c>
      <c r="BE25" s="90">
        <f>'增加值 (2001-2060, 2020RMB)'!BE25*$B$73</f>
        <v>579.55642394600284</v>
      </c>
      <c r="BF25" s="90">
        <f>'增加值 (2001-2060, 2020RMB)'!BF25*$B$73</f>
        <v>561.34613739520341</v>
      </c>
      <c r="BG25" s="90">
        <f>'增加值 (2001-2060, 2020RMB)'!BG25*$B$73</f>
        <v>543.74244853281459</v>
      </c>
      <c r="BH25" s="90">
        <f>'增加值 (2001-2060, 2020RMB)'!BH25*$B$73</f>
        <v>526.76829116533474</v>
      </c>
      <c r="BI25" s="109">
        <f>'增加值 (2001-2060, 2020RMB)'!BI25*$B$73</f>
        <v>510.4418782290781</v>
      </c>
    </row>
    <row r="26" spans="1:61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f>'增加值 (2001-2060, 2020RMB)'!I26*$B$73</f>
        <v>476.7254918794149</v>
      </c>
      <c r="J26" s="20">
        <f>'增加值 (2001-2060, 2020RMB)'!J26*$B$73</f>
        <v>496.64690042756814</v>
      </c>
      <c r="K26" s="21">
        <f>'增加值 (2001-2060, 2020RMB)'!K26*$B$73</f>
        <v>554.64626925052289</v>
      </c>
      <c r="L26" s="19">
        <f>'增加值 (2001-2060, 2020RMB)'!L26*$B$73</f>
        <v>616.08885280120433</v>
      </c>
      <c r="M26" s="20">
        <f>'增加值 (2001-2060, 2020RMB)'!M26*$B$73</f>
        <v>628.74162899988778</v>
      </c>
      <c r="N26" s="20">
        <f>'增加值 (2001-2060, 2020RMB)'!N26*$B$73</f>
        <v>640.28422178339451</v>
      </c>
      <c r="O26" s="20">
        <f>'增加值 (2001-2060, 2020RMB)'!O26*$B$73</f>
        <v>658.05639887173447</v>
      </c>
      <c r="P26" s="20">
        <f>'增加值 (2001-2060, 2020RMB)'!P26*$B$73</f>
        <v>651.77235477871579</v>
      </c>
      <c r="Q26" s="19">
        <f>'增加值 (2001-2060, 2020RMB)'!Q26*$B$73</f>
        <v>660.22500337453687</v>
      </c>
      <c r="R26" s="20">
        <f>'增加值 (2001-2060, 2020RMB)'!R26*$B$73</f>
        <v>707.04711262930834</v>
      </c>
      <c r="S26" s="20">
        <f>'增加值 (2001-2060, 2020RMB)'!S26*$B$73</f>
        <v>734.98204225344136</v>
      </c>
      <c r="T26" s="20">
        <f>'增加值 (2001-2060, 2020RMB)'!T26*$B$73</f>
        <v>715.02314991124069</v>
      </c>
      <c r="U26" s="21">
        <f>'增加值 (2001-2060, 2020RMB)'!U26*$B$73</f>
        <v>629.43608541742412</v>
      </c>
      <c r="V26" s="20">
        <f>'增加值 (2001-2060, 2020RMB)'!V26*$B$73</f>
        <v>711.06790152819349</v>
      </c>
      <c r="W26" s="20">
        <f>'增加值 (2001-2060, 2020RMB)'!W26*$B$73</f>
        <v>708.60132920643639</v>
      </c>
      <c r="X26" s="90">
        <f>'增加值 (2001-2060, 2020RMB)'!X26*$B$73</f>
        <v>699.80280827049455</v>
      </c>
      <c r="Y26" s="90">
        <f>'增加值 (2001-2060, 2020RMB)'!Y26*$B$73</f>
        <v>692.6229439771331</v>
      </c>
      <c r="Z26" s="90">
        <f>'增加值 (2001-2060, 2020RMB)'!Z26*$B$73</f>
        <v>686.73575005985822</v>
      </c>
      <c r="AA26" s="89">
        <f>'增加值 (2001-2060, 2020RMB)'!AA26*$B$73</f>
        <v>681.83319829823279</v>
      </c>
      <c r="AB26" s="90">
        <f>'增加值 (2001-2060, 2020RMB)'!AB26*$B$73</f>
        <v>677.62036333367371</v>
      </c>
      <c r="AC26" s="90">
        <f>'增加值 (2001-2060, 2020RMB)'!AC26*$B$73</f>
        <v>673.81191709981829</v>
      </c>
      <c r="AD26" s="90">
        <f>'增加值 (2001-2060, 2020RMB)'!AD26*$B$73</f>
        <v>670.12986795732104</v>
      </c>
      <c r="AE26" s="101">
        <f>'增加值 (2001-2060, 2020RMB)'!AE26*$B$73</f>
        <v>666.30247335830995</v>
      </c>
      <c r="AF26" s="90">
        <f>'增加值 (2001-2060, 2020RMB)'!AF26*$B$73</f>
        <v>662.0836530988056</v>
      </c>
      <c r="AG26" s="90">
        <f>'增加值 (2001-2060, 2020RMB)'!AG26*$B$73</f>
        <v>657.31110299661862</v>
      </c>
      <c r="AH26" s="90">
        <f>'增加值 (2001-2060, 2020RMB)'!AH26*$B$73</f>
        <v>651.84767352473864</v>
      </c>
      <c r="AI26" s="90">
        <f>'增加值 (2001-2060, 2020RMB)'!AI26*$B$73</f>
        <v>645.56311054556204</v>
      </c>
      <c r="AJ26" s="106">
        <f>'增加值 (2001-2060, 2020RMB)'!AJ26*$B$73</f>
        <v>638.33566606223758</v>
      </c>
      <c r="AK26" s="89">
        <f>'增加值 (2001-2060, 2020RMB)'!AK26*$B$73</f>
        <v>630.08673823859544</v>
      </c>
      <c r="AL26" s="90">
        <f>'增加值 (2001-2060, 2020RMB)'!AL26*$B$73</f>
        <v>620.87742049487122</v>
      </c>
      <c r="AM26" s="90">
        <f>'增加值 (2001-2060, 2020RMB)'!AM26*$B$73</f>
        <v>610.80387887436871</v>
      </c>
      <c r="AN26" s="90">
        <f>'增加值 (2001-2060, 2020RMB)'!AN26*$B$73</f>
        <v>599.96262093707583</v>
      </c>
      <c r="AO26" s="101">
        <f>'增加值 (2001-2060, 2020RMB)'!AO26*$B$73</f>
        <v>588.44947822366498</v>
      </c>
      <c r="AP26" s="90">
        <f>'增加值 (2001-2060, 2020RMB)'!AP26*$B$73</f>
        <v>576.35869010988301</v>
      </c>
      <c r="AQ26" s="90">
        <f>'增加值 (2001-2060, 2020RMB)'!AQ26*$B$73</f>
        <v>563.78209409290116</v>
      </c>
      <c r="AR26" s="90">
        <f>'增加值 (2001-2060, 2020RMB)'!AR26*$B$73</f>
        <v>550.80842488922326</v>
      </c>
      <c r="AS26" s="90">
        <f>'增加值 (2001-2060, 2020RMB)'!AS26*$B$73</f>
        <v>537.52272233223528</v>
      </c>
      <c r="AT26" s="90">
        <f>'增加值 (2001-2060, 2020RMB)'!AT26*$B$73</f>
        <v>524.00584596410602</v>
      </c>
      <c r="AU26" s="89">
        <f>'增加值 (2001-2060, 2020RMB)'!AU26*$B$73</f>
        <v>510.33409243650169</v>
      </c>
      <c r="AV26" s="90">
        <f>'增加值 (2001-2060, 2020RMB)'!AV26*$B$73</f>
        <v>496.57891037109164</v>
      </c>
      <c r="AW26" s="90">
        <f>'增加值 (2001-2060, 2020RMB)'!AW26*$B$73</f>
        <v>482.80670617782232</v>
      </c>
      <c r="AX26" s="90">
        <f>'增加值 (2001-2060, 2020RMB)'!AX26*$B$73</f>
        <v>469.07873347241951</v>
      </c>
      <c r="AY26" s="101">
        <f>'增加值 (2001-2060, 2020RMB)'!AY26*$B$73</f>
        <v>455.45105815394226</v>
      </c>
      <c r="AZ26" s="89">
        <f>'增加值 (2001-2060, 2020RMB)'!AZ26*$B$73</f>
        <v>441.97459087329997</v>
      </c>
      <c r="BA26" s="90">
        <f>'增加值 (2001-2060, 2020RMB)'!BA26*$B$73</f>
        <v>428.695178516358</v>
      </c>
      <c r="BB26" s="90">
        <f>'增加值 (2001-2060, 2020RMB)'!BB26*$B$73</f>
        <v>415.65374641045531</v>
      </c>
      <c r="BC26" s="90">
        <f>'增加值 (2001-2060, 2020RMB)'!BC26*$B$73</f>
        <v>402.88648321054484</v>
      </c>
      <c r="BD26" s="101">
        <f>'增加值 (2001-2060, 2020RMB)'!BD26*$B$73</f>
        <v>390.42506080072582</v>
      </c>
      <c r="BE26" s="90">
        <f>'增加值 (2001-2060, 2020RMB)'!BE26*$B$73</f>
        <v>378.29688203013785</v>
      </c>
      <c r="BF26" s="90">
        <f>'增加值 (2001-2060, 2020RMB)'!BF26*$B$73</f>
        <v>366.52534966243741</v>
      </c>
      <c r="BG26" s="90">
        <f>'增加值 (2001-2060, 2020RMB)'!BG26*$B$73</f>
        <v>355.13015053120569</v>
      </c>
      <c r="BH26" s="90">
        <f>'增加值 (2001-2060, 2020RMB)'!BH26*$B$73</f>
        <v>344.12754953831882</v>
      </c>
      <c r="BI26" s="109">
        <f>'增加值 (2001-2060, 2020RMB)'!BI26*$B$73</f>
        <v>333.53068878999176</v>
      </c>
    </row>
    <row r="27" spans="1:61" ht="13.9" customHeight="1" x14ac:dyDescent="0.2">
      <c r="A27" s="30" t="s">
        <v>85</v>
      </c>
      <c r="B27" s="19"/>
      <c r="C27" s="20"/>
      <c r="D27" s="20"/>
      <c r="E27" s="20"/>
      <c r="F27" s="21"/>
      <c r="G27" s="19"/>
      <c r="H27" s="20"/>
      <c r="I27" s="20">
        <f>'增加值 (2001-2060, 2020RMB)'!I27*$B$73</f>
        <v>317.40570200504726</v>
      </c>
      <c r="J27" s="20">
        <f>'增加值 (2001-2060, 2020RMB)'!J27*$B$73</f>
        <v>328.86416119741517</v>
      </c>
      <c r="K27" s="21">
        <f>'增加值 (2001-2060, 2020RMB)'!K27*$B$73</f>
        <v>372.06001518974961</v>
      </c>
      <c r="L27" s="19">
        <f>'增加值 (2001-2060, 2020RMB)'!L27*$B$73</f>
        <v>404.33843438097756</v>
      </c>
      <c r="M27" s="20">
        <f>'增加值 (2001-2060, 2020RMB)'!M27*$B$73</f>
        <v>414.56707567507476</v>
      </c>
      <c r="N27" s="20">
        <f>'增加值 (2001-2060, 2020RMB)'!N27*$B$73</f>
        <v>425.72220273226264</v>
      </c>
      <c r="O27" s="20">
        <f>'增加值 (2001-2060, 2020RMB)'!O27*$B$73</f>
        <v>433.45732712865822</v>
      </c>
      <c r="P27" s="20">
        <f>'增加值 (2001-2060, 2020RMB)'!P27*$B$73</f>
        <v>431.37419054235727</v>
      </c>
      <c r="Q27" s="19">
        <f>'增加值 (2001-2060, 2020RMB)'!Q27*$B$73</f>
        <v>435.28467205973448</v>
      </c>
      <c r="R27" s="20">
        <f>'增加值 (2001-2060, 2020RMB)'!R27*$B$73</f>
        <v>460.86717494499976</v>
      </c>
      <c r="S27" s="20">
        <f>'增加值 (2001-2060, 2020RMB)'!S27*$B$73</f>
        <v>480.45236428562674</v>
      </c>
      <c r="T27" s="20">
        <f>'增加值 (2001-2060, 2020RMB)'!T27*$B$73</f>
        <v>472.96421799246747</v>
      </c>
      <c r="U27" s="21">
        <f>'增加值 (2001-2060, 2020RMB)'!U27*$B$73</f>
        <v>403.99792185347974</v>
      </c>
      <c r="V27" s="20">
        <f>'增加值 (2001-2060, 2020RMB)'!V27*$B$73</f>
        <v>456.8132112388443</v>
      </c>
      <c r="W27" s="20">
        <f>'增加值 (2001-2060, 2020RMB)'!W27*$B$73</f>
        <v>462.18928676227665</v>
      </c>
      <c r="X27" s="90">
        <f>'增加值 (2001-2060, 2020RMB)'!X27*$B$73</f>
        <v>456.10510537685781</v>
      </c>
      <c r="Y27" s="90">
        <f>'增加值 (2001-2060, 2020RMB)'!Y27*$B$73</f>
        <v>451.43055902284033</v>
      </c>
      <c r="Z27" s="90">
        <f>'增加值 (2001-2060, 2020RMB)'!Z27*$B$73</f>
        <v>447.87805808434035</v>
      </c>
      <c r="AA27" s="89">
        <f>'增加值 (2001-2060, 2020RMB)'!AA27*$B$73</f>
        <v>445.17757249838877</v>
      </c>
      <c r="AB27" s="90">
        <f>'增加值 (2001-2060, 2020RMB)'!AB27*$B$73</f>
        <v>443.07094790300994</v>
      </c>
      <c r="AC27" s="90">
        <f>'增加值 (2001-2060, 2020RMB)'!AC27*$B$73</f>
        <v>441.30782357210711</v>
      </c>
      <c r="AD27" s="90">
        <f>'增加值 (2001-2060, 2020RMB)'!AD27*$B$73</f>
        <v>439.64301994659525</v>
      </c>
      <c r="AE27" s="101">
        <f>'增加值 (2001-2060, 2020RMB)'!AE27*$B$73</f>
        <v>437.8353164596445</v>
      </c>
      <c r="AF27" s="90">
        <f>'增加值 (2001-2060, 2020RMB)'!AF27*$B$73</f>
        <v>435.67355389120235</v>
      </c>
      <c r="AG27" s="90">
        <f>'增加值 (2001-2060, 2020RMB)'!AG27*$B$73</f>
        <v>433.05471144833808</v>
      </c>
      <c r="AH27" s="90">
        <f>'增加值 (2001-2060, 2020RMB)'!AH27*$B$73</f>
        <v>429.90526042747842</v>
      </c>
      <c r="AI27" s="90">
        <f>'增加值 (2001-2060, 2020RMB)'!AI27*$B$73</f>
        <v>426.15582945813418</v>
      </c>
      <c r="AJ27" s="106">
        <f>'增加值 (2001-2060, 2020RMB)'!AJ27*$B$73</f>
        <v>421.74219300110332</v>
      </c>
      <c r="AK27" s="89">
        <f>'增加值 (2001-2060, 2020RMB)'!AK27*$B$73</f>
        <v>416.62562935718967</v>
      </c>
      <c r="AL27" s="90">
        <f>'增加值 (2001-2060, 2020RMB)'!AL27*$B$73</f>
        <v>410.84974617066308</v>
      </c>
      <c r="AM27" s="90">
        <f>'增加值 (2001-2060, 2020RMB)'!AM27*$B$73</f>
        <v>404.47909186961806</v>
      </c>
      <c r="AN27" s="90">
        <f>'增加值 (2001-2060, 2020RMB)'!AN27*$B$73</f>
        <v>397.57864541358089</v>
      </c>
      <c r="AO27" s="101">
        <f>'增加值 (2001-2060, 2020RMB)'!AO27*$B$73</f>
        <v>390.21309973896626</v>
      </c>
      <c r="AP27" s="90">
        <f>'增加值 (2001-2060, 2020RMB)'!AP27*$B$73</f>
        <v>382.44621499432463</v>
      </c>
      <c r="AQ27" s="90">
        <f>'增加值 (2001-2060, 2020RMB)'!AQ27*$B$73</f>
        <v>374.34024550784682</v>
      </c>
      <c r="AR27" s="90">
        <f>'增加值 (2001-2060, 2020RMB)'!AR27*$B$73</f>
        <v>365.9554424932154</v>
      </c>
      <c r="AS27" s="90">
        <f>'增加值 (2001-2060, 2020RMB)'!AS27*$B$73</f>
        <v>357.34963275585949</v>
      </c>
      <c r="AT27" s="90">
        <f>'增加值 (2001-2060, 2020RMB)'!AT27*$B$73</f>
        <v>348.57787213187856</v>
      </c>
      <c r="AU27" s="89">
        <f>'增加值 (2001-2060, 2020RMB)'!AU27*$B$73</f>
        <v>339.69217108832549</v>
      </c>
      <c r="AV27" s="90">
        <f>'增加值 (2001-2060, 2020RMB)'!AV27*$B$73</f>
        <v>330.74128883979967</v>
      </c>
      <c r="AW27" s="90">
        <f>'增加值 (2001-2060, 2020RMB)'!AW27*$B$73</f>
        <v>321.77059148845075</v>
      </c>
      <c r="AX27" s="90">
        <f>'增加值 (2001-2060, 2020RMB)'!AX27*$B$73</f>
        <v>312.82196906266506</v>
      </c>
      <c r="AY27" s="101">
        <f>'增加值 (2001-2060, 2020RMB)'!AY27*$B$73</f>
        <v>303.93380589908566</v>
      </c>
      <c r="AZ27" s="89">
        <f>'增加值 (2001-2060, 2020RMB)'!AZ27*$B$73</f>
        <v>295.14099856503549</v>
      </c>
      <c r="BA27" s="90">
        <f>'增加值 (2001-2060, 2020RMB)'!BA27*$B$73</f>
        <v>286.47501543317247</v>
      </c>
      <c r="BB27" s="90">
        <f>'增加值 (2001-2060, 2020RMB)'!BB27*$B$73</f>
        <v>277.96399207544528</v>
      </c>
      <c r="BC27" s="90">
        <f>'增加值 (2001-2060, 2020RMB)'!BC27*$B$73</f>
        <v>269.63285681681873</v>
      </c>
      <c r="BD27" s="101">
        <f>'增加值 (2001-2060, 2020RMB)'!BD27*$B$73</f>
        <v>261.50348105888457</v>
      </c>
      <c r="BE27" s="90">
        <f>'增加值 (2001-2060, 2020RMB)'!BE27*$B$73</f>
        <v>253.59484932846129</v>
      </c>
      <c r="BF27" s="90">
        <f>'增加值 (2001-2060, 2020RMB)'!BF27*$B$73</f>
        <v>245.92324440724047</v>
      </c>
      <c r="BG27" s="90">
        <f>'增加值 (2001-2060, 2020RMB)'!BG27*$B$73</f>
        <v>238.50244333780114</v>
      </c>
      <c r="BH27" s="90">
        <f>'增加值 (2001-2060, 2020RMB)'!BH27*$B$73</f>
        <v>231.34392056344836</v>
      </c>
      <c r="BI27" s="109">
        <f>'增加值 (2001-2060, 2020RMB)'!BI27*$B$73</f>
        <v>224.45705493089886</v>
      </c>
    </row>
    <row r="28" spans="1:61" ht="13.9" customHeight="1" x14ac:dyDescent="0.2">
      <c r="A28" s="30" t="s">
        <v>86</v>
      </c>
      <c r="B28" s="19"/>
      <c r="C28" s="20"/>
      <c r="D28" s="20"/>
      <c r="E28" s="20"/>
      <c r="F28" s="21"/>
      <c r="G28" s="19"/>
      <c r="H28" s="20"/>
      <c r="I28" s="20">
        <f>'增加值 (2001-2060, 2020RMB)'!I28*$B$73</f>
        <v>183.06258888169535</v>
      </c>
      <c r="J28" s="20">
        <f>'增加值 (2001-2060, 2020RMB)'!J28*$B$73</f>
        <v>204.24795840987005</v>
      </c>
      <c r="K28" s="21">
        <f>'增加值 (2001-2060, 2020RMB)'!K28*$B$73</f>
        <v>242.7781894886572</v>
      </c>
      <c r="L28" s="19">
        <f>'增加值 (2001-2060, 2020RMB)'!L28*$B$73</f>
        <v>282.2698285326012</v>
      </c>
      <c r="M28" s="20">
        <f>'增加值 (2001-2060, 2020RMB)'!M28*$B$73</f>
        <v>302.04027033522306</v>
      </c>
      <c r="N28" s="20">
        <f>'增加值 (2001-2060, 2020RMB)'!N28*$B$73</f>
        <v>320.49689172431061</v>
      </c>
      <c r="O28" s="20">
        <f>'增加值 (2001-2060, 2020RMB)'!O28*$B$73</f>
        <v>336.46002467903793</v>
      </c>
      <c r="P28" s="20">
        <f>'增加值 (2001-2060, 2020RMB)'!P28*$B$73</f>
        <v>339.31187379870977</v>
      </c>
      <c r="Q28" s="19">
        <f>'增加值 (2001-2060, 2020RMB)'!Q28*$B$73</f>
        <v>353.64619395247428</v>
      </c>
      <c r="R28" s="20">
        <f>'增加值 (2001-2060, 2020RMB)'!R28*$B$73</f>
        <v>380.15807784697552</v>
      </c>
      <c r="S28" s="20">
        <f>'增加值 (2001-2060, 2020RMB)'!S28*$B$73</f>
        <v>389.12148812811552</v>
      </c>
      <c r="T28" s="20">
        <f>'增加值 (2001-2060, 2020RMB)'!T28*$B$73</f>
        <v>383.43196789554264</v>
      </c>
      <c r="U28" s="21">
        <f>'增加值 (2001-2060, 2020RMB)'!U28*$B$73</f>
        <v>363.87101977345213</v>
      </c>
      <c r="V28" s="20">
        <f>'增加值 (2001-2060, 2020RMB)'!V28*$B$73</f>
        <v>418.25991064157745</v>
      </c>
      <c r="W28" s="20">
        <f>'增加值 (2001-2060, 2020RMB)'!W28*$B$73</f>
        <v>422.75738400977508</v>
      </c>
      <c r="X28" s="90">
        <f>'增加值 (2001-2060, 2020RMB)'!X28*$B$73</f>
        <v>423.56573475856169</v>
      </c>
      <c r="Y28" s="90">
        <f>'增加值 (2001-2060, 2020RMB)'!Y28*$B$73</f>
        <v>425.0282952031759</v>
      </c>
      <c r="Z28" s="90">
        <f>'增加值 (2001-2060, 2020RMB)'!Z28*$B$73</f>
        <v>426.98757164493151</v>
      </c>
      <c r="AA28" s="89">
        <f>'增加值 (2001-2060, 2020RMB)'!AA28*$B$73</f>
        <v>429.28523856671404</v>
      </c>
      <c r="AB28" s="90">
        <f>'增加值 (2001-2060, 2020RMB)'!AB28*$B$73</f>
        <v>431.76055951695264</v>
      </c>
      <c r="AC28" s="90">
        <f>'增加值 (2001-2060, 2020RMB)'!AC28*$B$73</f>
        <v>434.24940764202421</v>
      </c>
      <c r="AD28" s="90">
        <f>'增加值 (2001-2060, 2020RMB)'!AD28*$B$73</f>
        <v>436.58390161150959</v>
      </c>
      <c r="AE28" s="101">
        <f>'增加值 (2001-2060, 2020RMB)'!AE28*$B$73</f>
        <v>438.5926798334732</v>
      </c>
      <c r="AF28" s="90">
        <f>'增加值 (2001-2060, 2020RMB)'!AF28*$B$73</f>
        <v>440.11697336559376</v>
      </c>
      <c r="AG28" s="90">
        <f>'增加值 (2001-2060, 2020RMB)'!AG28*$B$73</f>
        <v>441.05787561018411</v>
      </c>
      <c r="AH28" s="90">
        <f>'增加值 (2001-2060, 2020RMB)'!AH28*$B$73</f>
        <v>441.33295118743854</v>
      </c>
      <c r="AI28" s="90">
        <f>'增加值 (2001-2060, 2020RMB)'!AI28*$B$73</f>
        <v>440.86236006287373</v>
      </c>
      <c r="AJ28" s="106">
        <f>'增加值 (2001-2060, 2020RMB)'!AJ28*$B$73</f>
        <v>439.57012316440813</v>
      </c>
      <c r="AK28" s="89">
        <f>'增加值 (2001-2060, 2020RMB)'!AK28*$B$73</f>
        <v>437.4051067045304</v>
      </c>
      <c r="AL28" s="90">
        <f>'增加值 (2001-2060, 2020RMB)'!AL28*$B$73</f>
        <v>434.40020944330081</v>
      </c>
      <c r="AM28" s="90">
        <f>'增加值 (2001-2060, 2020RMB)'!AM28*$B$73</f>
        <v>430.61200013278966</v>
      </c>
      <c r="AN28" s="90">
        <f>'增加值 (2001-2060, 2020RMB)'!AN28*$B$73</f>
        <v>426.10005257457755</v>
      </c>
      <c r="AO28" s="101">
        <f>'增加值 (2001-2060, 2020RMB)'!AO28*$B$73</f>
        <v>420.92608056505634</v>
      </c>
      <c r="AP28" s="90">
        <f>'增加值 (2001-2060, 2020RMB)'!AP28*$B$73</f>
        <v>415.15311678706729</v>
      </c>
      <c r="AQ28" s="90">
        <f>'增加值 (2001-2060, 2020RMB)'!AQ28*$B$73</f>
        <v>408.84474599970935</v>
      </c>
      <c r="AR28" s="90">
        <f>'增加值 (2001-2060, 2020RMB)'!AR28*$B$73</f>
        <v>402.06440062829199</v>
      </c>
      <c r="AS28" s="90">
        <f>'增加值 (2001-2060, 2020RMB)'!AS28*$B$73</f>
        <v>394.87472467431138</v>
      </c>
      <c r="AT28" s="90">
        <f>'增加值 (2001-2060, 2020RMB)'!AT28*$B$73</f>
        <v>387.33700980403881</v>
      </c>
      <c r="AU28" s="89">
        <f>'增加值 (2001-2060, 2020RMB)'!AU28*$B$73</f>
        <v>379.51070557551867</v>
      </c>
      <c r="AV28" s="90">
        <f>'增加值 (2001-2060, 2020RMB)'!AV28*$B$73</f>
        <v>371.45300405829943</v>
      </c>
      <c r="AW28" s="90">
        <f>'增加值 (2001-2060, 2020RMB)'!AW28*$B$73</f>
        <v>363.21849760853297</v>
      </c>
      <c r="AX28" s="90">
        <f>'增加值 (2001-2060, 2020RMB)'!AX28*$B$73</f>
        <v>354.85890729506662</v>
      </c>
      <c r="AY28" s="101">
        <f>'增加值 (2001-2060, 2020RMB)'!AY28*$B$73</f>
        <v>346.42287843239433</v>
      </c>
      <c r="AZ28" s="89">
        <f>'增加值 (2001-2060, 2020RMB)'!AZ28*$B$73</f>
        <v>337.95583885915954</v>
      </c>
      <c r="BA28" s="90">
        <f>'增加值 (2001-2060, 2020RMB)'!BA28*$B$73</f>
        <v>329.49991499583746</v>
      </c>
      <c r="BB28" s="90">
        <f>'增加值 (2001-2060, 2020RMB)'!BB28*$B$73</f>
        <v>321.09390030723205</v>
      </c>
      <c r="BC28" s="90">
        <f>'增加值 (2001-2060, 2020RMB)'!BC28*$B$73</f>
        <v>312.77327056613655</v>
      </c>
      <c r="BD28" s="101">
        <f>'增加值 (2001-2060, 2020RMB)'!BD28*$B$73</f>
        <v>304.57024024346379</v>
      </c>
      <c r="BE28" s="90">
        <f>'增加值 (2001-2060, 2020RMB)'!BE28*$B$73</f>
        <v>296.51385441565083</v>
      </c>
      <c r="BF28" s="90">
        <f>'增加值 (2001-2060, 2020RMB)'!BF28*$B$73</f>
        <v>288.6301107604649</v>
      </c>
      <c r="BG28" s="90">
        <f>'增加值 (2001-2060, 2020RMB)'!BG28*$B$73</f>
        <v>280.94210648598471</v>
      </c>
      <c r="BH28" s="90">
        <f>'增加值 (2001-2060, 2020RMB)'!BH28*$B$73</f>
        <v>273.47020538446941</v>
      </c>
      <c r="BI28" s="109">
        <f>'增加值 (2001-2060, 2020RMB)'!BI28*$B$73</f>
        <v>266.23222060422711</v>
      </c>
    </row>
    <row r="29" spans="1:61" ht="13.9" customHeight="1" x14ac:dyDescent="0.2">
      <c r="A29" s="30" t="s">
        <v>87</v>
      </c>
      <c r="B29" s="19"/>
      <c r="C29" s="20"/>
      <c r="D29" s="20"/>
      <c r="E29" s="20"/>
      <c r="F29" s="21"/>
      <c r="G29" s="19"/>
      <c r="H29" s="20"/>
      <c r="I29" s="20">
        <f>'增加值 (2001-2060, 2020RMB)'!I29*$B$73</f>
        <v>129.81889472982971</v>
      </c>
      <c r="J29" s="20">
        <f>'增加值 (2001-2060, 2020RMB)'!J29*$B$73</f>
        <v>133.8900994239722</v>
      </c>
      <c r="K29" s="21">
        <f>'增加值 (2001-2060, 2020RMB)'!K29*$B$73</f>
        <v>155.6371038995149</v>
      </c>
      <c r="L29" s="19">
        <f>'增加值 (2001-2060, 2020RMB)'!L29*$B$73</f>
        <v>172.28007045156349</v>
      </c>
      <c r="M29" s="20">
        <f>'增加值 (2001-2060, 2020RMB)'!M29*$B$73</f>
        <v>182.37861258806183</v>
      </c>
      <c r="N29" s="20">
        <f>'增加值 (2001-2060, 2020RMB)'!N29*$B$73</f>
        <v>190.92434116214173</v>
      </c>
      <c r="O29" s="20">
        <f>'增加值 (2001-2060, 2020RMB)'!O29*$B$73</f>
        <v>198.96943926643203</v>
      </c>
      <c r="P29" s="20">
        <f>'增加值 (2001-2060, 2020RMB)'!P29*$B$73</f>
        <v>201.78849524439579</v>
      </c>
      <c r="Q29" s="19">
        <f>'增加值 (2001-2060, 2020RMB)'!Q29*$B$73</f>
        <v>209.91925901214057</v>
      </c>
      <c r="R29" s="20">
        <f>'增加值 (2001-2060, 2020RMB)'!R29*$B$73</f>
        <v>233.30569642673959</v>
      </c>
      <c r="S29" s="20">
        <f>'增加值 (2001-2060, 2020RMB)'!S29*$B$73</f>
        <v>245.31106464866127</v>
      </c>
      <c r="T29" s="20">
        <f>'增加值 (2001-2060, 2020RMB)'!T29*$B$73</f>
        <v>242.43382368782244</v>
      </c>
      <c r="U29" s="21">
        <f>'增加值 (2001-2060, 2020RMB)'!U29*$B$73</f>
        <v>224.20291022259102</v>
      </c>
      <c r="V29" s="20">
        <f>'增加值 (2001-2060, 2020RMB)'!V29*$B$73</f>
        <v>261.91706865328678</v>
      </c>
      <c r="W29" s="20">
        <f>'增加值 (2001-2060, 2020RMB)'!W29*$B$73</f>
        <v>248.2374641170465</v>
      </c>
      <c r="X29" s="90">
        <f>'增加值 (2001-2060, 2020RMB)'!X29*$B$73</f>
        <v>248.40206976590792</v>
      </c>
      <c r="Y29" s="90">
        <f>'增加值 (2001-2060, 2020RMB)'!Y29*$B$73</f>
        <v>248.97786664965847</v>
      </c>
      <c r="Z29" s="90">
        <f>'增加值 (2001-2060, 2020RMB)'!Z29*$B$73</f>
        <v>249.86824518637289</v>
      </c>
      <c r="AA29" s="89">
        <f>'增加值 (2001-2060, 2020RMB)'!AA29*$B$73</f>
        <v>250.9766589106749</v>
      </c>
      <c r="AB29" s="90">
        <f>'增加值 (2001-2060, 2020RMB)'!AB29*$B$73</f>
        <v>252.20557868900246</v>
      </c>
      <c r="AC29" s="90">
        <f>'增加值 (2001-2060, 2020RMB)'!AC29*$B$73</f>
        <v>253.4558267008768</v>
      </c>
      <c r="AD29" s="90">
        <f>'增加值 (2001-2060, 2020RMB)'!AD29*$B$73</f>
        <v>254.62629653959064</v>
      </c>
      <c r="AE29" s="101">
        <f>'增加值 (2001-2060, 2020RMB)'!AE29*$B$73</f>
        <v>255.61407100663251</v>
      </c>
      <c r="AF29" s="90">
        <f>'增加值 (2001-2060, 2020RMB)'!AF29*$B$73</f>
        <v>256.32429448619519</v>
      </c>
      <c r="AG29" s="90">
        <f>'增加值 (2001-2060, 2020RMB)'!AG29*$B$73</f>
        <v>256.69925295436013</v>
      </c>
      <c r="AH29" s="90">
        <f>'增加值 (2001-2060, 2020RMB)'!AH29*$B$73</f>
        <v>256.69144977944279</v>
      </c>
      <c r="AI29" s="90">
        <f>'增加值 (2001-2060, 2020RMB)'!AI29*$B$73</f>
        <v>256.25497655340234</v>
      </c>
      <c r="AJ29" s="106">
        <f>'增加值 (2001-2060, 2020RMB)'!AJ29*$B$73</f>
        <v>255.34623840163934</v>
      </c>
      <c r="AK29" s="89">
        <f>'增加值 (2001-2060, 2020RMB)'!AK29*$B$73</f>
        <v>253.93615659870559</v>
      </c>
      <c r="AL29" s="90">
        <f>'增加值 (2001-2060, 2020RMB)'!AL29*$B$73</f>
        <v>252.04455566484492</v>
      </c>
      <c r="AM29" s="90">
        <f>'增加值 (2001-2060, 2020RMB)'!AM29*$B$73</f>
        <v>249.70492459434686</v>
      </c>
      <c r="AN29" s="90">
        <f>'增加值 (2001-2060, 2020RMB)'!AN29*$B$73</f>
        <v>246.95237593201523</v>
      </c>
      <c r="AO29" s="101">
        <f>'增加值 (2001-2060, 2020RMB)'!AO29*$B$73</f>
        <v>243.8231467835177</v>
      </c>
      <c r="AP29" s="90">
        <f>'增加值 (2001-2060, 2020RMB)'!AP29*$B$73</f>
        <v>240.35412702811959</v>
      </c>
      <c r="AQ29" s="90">
        <f>'增加值 (2001-2060, 2020RMB)'!AQ29*$B$73</f>
        <v>236.58242045500933</v>
      </c>
      <c r="AR29" s="90">
        <f>'增加值 (2001-2060, 2020RMB)'!AR29*$B$73</f>
        <v>232.54494323916271</v>
      </c>
      <c r="AS29" s="90">
        <f>'增加值 (2001-2060, 2020RMB)'!AS29*$B$73</f>
        <v>228.27806291467658</v>
      </c>
      <c r="AT29" s="90">
        <f>'增加值 (2001-2060, 2020RMB)'!AT29*$B$73</f>
        <v>223.81727982204211</v>
      </c>
      <c r="AU29" s="89">
        <f>'增加值 (2001-2060, 2020RMB)'!AU29*$B$73</f>
        <v>219.19695192378816</v>
      </c>
      <c r="AV29" s="90">
        <f>'增加值 (2001-2060, 2020RMB)'!AV29*$B$73</f>
        <v>214.45006291681881</v>
      </c>
      <c r="AW29" s="90">
        <f>'增加值 (2001-2060, 2020RMB)'!AW29*$B$73</f>
        <v>209.60803273018948</v>
      </c>
      <c r="AX29" s="90">
        <f>'增加值 (2001-2060, 2020RMB)'!AX29*$B$73</f>
        <v>204.70056878919237</v>
      </c>
      <c r="AY29" s="101">
        <f>'增加值 (2001-2060, 2020RMB)'!AY29*$B$73</f>
        <v>199.75555585092252</v>
      </c>
      <c r="AZ29" s="89">
        <f>'增加值 (2001-2060, 2020RMB)'!AZ29*$B$73</f>
        <v>194.79898176938264</v>
      </c>
      <c r="BA29" s="90">
        <f>'增加值 (2001-2060, 2020RMB)'!BA29*$B$73</f>
        <v>189.85489622292329</v>
      </c>
      <c r="BB29" s="90">
        <f>'增加值 (2001-2060, 2020RMB)'!BB29*$B$73</f>
        <v>184.94539922406867</v>
      </c>
      <c r="BC29" s="90">
        <f>'增加值 (2001-2060, 2020RMB)'!BC29*$B$73</f>
        <v>180.09065612055949</v>
      </c>
      <c r="BD29" s="101">
        <f>'增加值 (2001-2060, 2020RMB)'!BD29*$B$73</f>
        <v>175.30893577455078</v>
      </c>
      <c r="BE29" s="90">
        <f>'增加值 (2001-2060, 2020RMB)'!BE29*$B$73</f>
        <v>170.61666866168287</v>
      </c>
      <c r="BF29" s="90">
        <f>'增加值 (2001-2060, 2020RMB)'!BF29*$B$73</f>
        <v>166.02852175046019</v>
      </c>
      <c r="BG29" s="90">
        <f>'增加值 (2001-2060, 2020RMB)'!BG29*$B$73</f>
        <v>161.55748719271651</v>
      </c>
      <c r="BH29" s="90">
        <f>'增加值 (2001-2060, 2020RMB)'!BH29*$B$73</f>
        <v>157.21498206629221</v>
      </c>
      <c r="BI29" s="109">
        <f>'增加值 (2001-2060, 2020RMB)'!BI29*$B$73</f>
        <v>153.01095665074556</v>
      </c>
    </row>
    <row r="30" spans="1:61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f>'增加值 (2001-2060, 2020RMB)'!I30*$B$73</f>
        <v>330.51097925239907</v>
      </c>
      <c r="J30" s="20">
        <f>'增加值 (2001-2060, 2020RMB)'!J30*$B$73</f>
        <v>346.82881592155036</v>
      </c>
      <c r="K30" s="21">
        <f>'增加值 (2001-2060, 2020RMB)'!K30*$B$73</f>
        <v>391.37387085407408</v>
      </c>
      <c r="L30" s="19">
        <f>'增加值 (2001-2060, 2020RMB)'!L30*$B$73</f>
        <v>430.21670812444341</v>
      </c>
      <c r="M30" s="20">
        <f>'增加值 (2001-2060, 2020RMB)'!M30*$B$73</f>
        <v>445.60519760051397</v>
      </c>
      <c r="N30" s="20">
        <f>'增加值 (2001-2060, 2020RMB)'!N30*$B$73</f>
        <v>458.865417905372</v>
      </c>
      <c r="O30" s="20">
        <f>'增加值 (2001-2060, 2020RMB)'!O30*$B$73</f>
        <v>468.52251694999666</v>
      </c>
      <c r="P30" s="20">
        <f>'增加值 (2001-2060, 2020RMB)'!P30*$B$73</f>
        <v>468.04882510911114</v>
      </c>
      <c r="Q30" s="19">
        <f>'增加值 (2001-2060, 2020RMB)'!Q30*$B$73</f>
        <v>483.71081514868058</v>
      </c>
      <c r="R30" s="20">
        <f>'增加值 (2001-2060, 2020RMB)'!R30*$B$73</f>
        <v>510.18094586861395</v>
      </c>
      <c r="S30" s="20">
        <f>'增加值 (2001-2060, 2020RMB)'!S30*$B$73</f>
        <v>513.06629433986552</v>
      </c>
      <c r="T30" s="20">
        <f>'增加值 (2001-2060, 2020RMB)'!T30*$B$73</f>
        <v>515.4581519234448</v>
      </c>
      <c r="U30" s="21">
        <f>'增加值 (2001-2060, 2020RMB)'!U30*$B$73</f>
        <v>504.61954407507056</v>
      </c>
      <c r="V30" s="20">
        <f>'增加值 (2001-2060, 2020RMB)'!V30*$B$73</f>
        <v>558.50495491767742</v>
      </c>
      <c r="W30" s="20">
        <f>'增加值 (2001-2060, 2020RMB)'!W30*$B$73</f>
        <v>563.9431107539109</v>
      </c>
      <c r="X30" s="90">
        <f>'增加值 (2001-2060, 2020RMB)'!X30*$B$73</f>
        <v>562.49331488630628</v>
      </c>
      <c r="Y30" s="90">
        <f>'增加值 (2001-2060, 2020RMB)'!Y30*$B$73</f>
        <v>561.30003763427897</v>
      </c>
      <c r="Z30" s="90">
        <f>'增加值 (2001-2060, 2020RMB)'!Z30*$B$73</f>
        <v>560.28232249060045</v>
      </c>
      <c r="AA30" s="89">
        <f>'增加值 (2001-2060, 2020RMB)'!AA30*$B$73</f>
        <v>559.36001536177446</v>
      </c>
      <c r="AB30" s="90">
        <f>'增加值 (2001-2060, 2020RMB)'!AB30*$B$73</f>
        <v>558.45357165286214</v>
      </c>
      <c r="AC30" s="90">
        <f>'增加值 (2001-2060, 2020RMB)'!AC30*$B$73</f>
        <v>557.48397722619927</v>
      </c>
      <c r="AD30" s="90">
        <f>'增加值 (2001-2060, 2020RMB)'!AD30*$B$73</f>
        <v>556.37278173111372</v>
      </c>
      <c r="AE30" s="101">
        <f>'增加值 (2001-2060, 2020RMB)'!AE30*$B$73</f>
        <v>555.04224289325953</v>
      </c>
      <c r="AF30" s="90">
        <f>'增加值 (2001-2060, 2020RMB)'!AF30*$B$73</f>
        <v>553.40403234195981</v>
      </c>
      <c r="AG30" s="90">
        <f>'增加值 (2001-2060, 2020RMB)'!AG30*$B$73</f>
        <v>551.32529305935884</v>
      </c>
      <c r="AH30" s="90">
        <f>'增加值 (2001-2060, 2020RMB)'!AH30*$B$73</f>
        <v>548.66463027250995</v>
      </c>
      <c r="AI30" s="90">
        <f>'增加值 (2001-2060, 2020RMB)'!AI30*$B$73</f>
        <v>545.28505482523383</v>
      </c>
      <c r="AJ30" s="106">
        <f>'增加值 (2001-2060, 2020RMB)'!AJ30*$B$73</f>
        <v>541.05565678234609</v>
      </c>
      <c r="AK30" s="89">
        <f>'增加值 (2001-2060, 2020RMB)'!AK30*$B$73</f>
        <v>535.88458980407427</v>
      </c>
      <c r="AL30" s="90">
        <f>'增加值 (2001-2060, 2020RMB)'!AL30*$B$73</f>
        <v>529.81146368137524</v>
      </c>
      <c r="AM30" s="90">
        <f>'增加值 (2001-2060, 2020RMB)'!AM30*$B$73</f>
        <v>522.91017852114146</v>
      </c>
      <c r="AN30" s="90">
        <f>'增加值 (2001-2060, 2020RMB)'!AN30*$B$73</f>
        <v>515.25641514234246</v>
      </c>
      <c r="AO30" s="101">
        <f>'增加值 (2001-2060, 2020RMB)'!AO30*$B$73</f>
        <v>506.92673125489688</v>
      </c>
      <c r="AP30" s="90">
        <f>'增加值 (2001-2060, 2020RMB)'!AP30*$B$73</f>
        <v>497.99772351633129</v>
      </c>
      <c r="AQ30" s="90">
        <f>'增加值 (2001-2060, 2020RMB)'!AQ30*$B$73</f>
        <v>488.54526300733704</v>
      </c>
      <c r="AR30" s="90">
        <f>'增加值 (2001-2060, 2020RMB)'!AR30*$B$73</f>
        <v>478.64380942405393</v>
      </c>
      <c r="AS30" s="90">
        <f>'增加值 (2001-2060, 2020RMB)'!AS30*$B$73</f>
        <v>468.36580718286729</v>
      </c>
      <c r="AT30" s="90">
        <f>'增加值 (2001-2060, 2020RMB)'!AT30*$B$73</f>
        <v>457.78116470992978</v>
      </c>
      <c r="AU30" s="89">
        <f>'增加值 (2001-2060, 2020RMB)'!AU30*$B$73</f>
        <v>446.95681646973202</v>
      </c>
      <c r="AV30" s="90">
        <f>'增加值 (2001-2060, 2020RMB)'!AV30*$B$73</f>
        <v>435.95636579202983</v>
      </c>
      <c r="AW30" s="90">
        <f>'增加值 (2001-2060, 2020RMB)'!AW30*$B$73</f>
        <v>424.83980529280382</v>
      </c>
      <c r="AX30" s="90">
        <f>'增加值 (2001-2060, 2020RMB)'!AX30*$B$73</f>
        <v>413.66331065331798</v>
      </c>
      <c r="AY30" s="101">
        <f>'增加值 (2001-2060, 2020RMB)'!AY30*$B$73</f>
        <v>402.47910271564746</v>
      </c>
      <c r="AZ30" s="89">
        <f>'增加值 (2001-2060, 2020RMB)'!AZ30*$B$73</f>
        <v>391.33537226182955</v>
      </c>
      <c r="BA30" s="90">
        <f>'增加值 (2001-2060, 2020RMB)'!BA30*$B$73</f>
        <v>380.27626145137526</v>
      </c>
      <c r="BB30" s="90">
        <f>'增加值 (2001-2060, 2020RMB)'!BB30*$B$73</f>
        <v>369.34189567947914</v>
      </c>
      <c r="BC30" s="90">
        <f>'增加值 (2001-2060, 2020RMB)'!BC30*$B$73</f>
        <v>358.56845956506697</v>
      </c>
      <c r="BD30" s="101">
        <f>'增加值 (2001-2060, 2020RMB)'!BD30*$B$73</f>
        <v>347.98831086210032</v>
      </c>
      <c r="BE30" s="90">
        <f>'增加值 (2001-2060, 2020RMB)'!BE30*$B$73</f>
        <v>337.63012628725443</v>
      </c>
      <c r="BF30" s="90">
        <f>'增加值 (2001-2060, 2020RMB)'!BF30*$B$73</f>
        <v>327.51907355065276</v>
      </c>
      <c r="BG30" s="90">
        <f>'增加值 (2001-2060, 2020RMB)'!BG30*$B$73</f>
        <v>317.67700424336596</v>
      </c>
      <c r="BH30" s="90">
        <f>'增加值 (2001-2060, 2020RMB)'!BH30*$B$73</f>
        <v>308.12266265680819</v>
      </c>
      <c r="BI30" s="109">
        <f>'增加值 (2001-2060, 2020RMB)'!BI30*$B$73</f>
        <v>298.87190606780797</v>
      </c>
    </row>
    <row r="31" spans="1:61" ht="13.9" customHeight="1" x14ac:dyDescent="0.2">
      <c r="A31" s="30" t="s">
        <v>89</v>
      </c>
      <c r="B31" s="19"/>
      <c r="C31" s="20"/>
      <c r="D31" s="20"/>
      <c r="E31" s="20"/>
      <c r="F31" s="21"/>
      <c r="G31" s="19"/>
      <c r="H31" s="20"/>
      <c r="I31" s="20">
        <f>'增加值 (2001-2060, 2020RMB)'!I31*$B$73</f>
        <v>132.30534533453411</v>
      </c>
      <c r="J31" s="20">
        <f>'增加值 (2001-2060, 2020RMB)'!J31*$B$73</f>
        <v>136.45452673148776</v>
      </c>
      <c r="K31" s="21">
        <f>'增加值 (2001-2060, 2020RMB)'!K31*$B$73</f>
        <v>152.25743267504157</v>
      </c>
      <c r="L31" s="19">
        <f>'增加值 (2001-2060, 2020RMB)'!L31*$B$73</f>
        <v>166.63708022402926</v>
      </c>
      <c r="M31" s="20">
        <f>'增加值 (2001-2060, 2020RMB)'!M31*$B$73</f>
        <v>174.65983518420302</v>
      </c>
      <c r="N31" s="20">
        <f>'增加值 (2001-2060, 2020RMB)'!N31*$B$73</f>
        <v>185.6645251013515</v>
      </c>
      <c r="O31" s="20">
        <f>'增加值 (2001-2060, 2020RMB)'!O31*$B$73</f>
        <v>195.80201081827016</v>
      </c>
      <c r="P31" s="20">
        <f>'增加值 (2001-2060, 2020RMB)'!P31*$B$73</f>
        <v>198.2046721022628</v>
      </c>
      <c r="Q31" s="19">
        <f>'增加值 (2001-2060, 2020RMB)'!Q31*$B$73</f>
        <v>205.2239061979808</v>
      </c>
      <c r="R31" s="20">
        <f>'增加值 (2001-2060, 2020RMB)'!R31*$B$73</f>
        <v>228.50270875026825</v>
      </c>
      <c r="S31" s="20">
        <f>'增加值 (2001-2060, 2020RMB)'!S31*$B$73</f>
        <v>242.53612456989296</v>
      </c>
      <c r="T31" s="20">
        <f>'增加值 (2001-2060, 2020RMB)'!T31*$B$73</f>
        <v>239.69143073965321</v>
      </c>
      <c r="U31" s="21">
        <f>'增加值 (2001-2060, 2020RMB)'!U31*$B$73</f>
        <v>227.23159947633118</v>
      </c>
      <c r="V31" s="20">
        <f>'增加值 (2001-2060, 2020RMB)'!V31*$B$73</f>
        <v>263.08931594356079</v>
      </c>
      <c r="W31" s="20">
        <f>'增加值 (2001-2060, 2020RMB)'!W31*$B$73</f>
        <v>268.32355876398901</v>
      </c>
      <c r="X31" s="90">
        <f>'增加值 (2001-2060, 2020RMB)'!X31*$B$73</f>
        <v>271.97711045790737</v>
      </c>
      <c r="Y31" s="90">
        <f>'增加值 (2001-2060, 2020RMB)'!Y31*$B$73</f>
        <v>275.80845023931874</v>
      </c>
      <c r="Z31" s="90">
        <f>'增加值 (2001-2060, 2020RMB)'!Z31*$B$73</f>
        <v>279.75073732880787</v>
      </c>
      <c r="AA31" s="89">
        <f>'增加值 (2001-2060, 2020RMB)'!AA31*$B$73</f>
        <v>283.73320766676864</v>
      </c>
      <c r="AB31" s="90">
        <f>'增加值 (2001-2060, 2020RMB)'!AB31*$B$73</f>
        <v>287.6809796102296</v>
      </c>
      <c r="AC31" s="90">
        <f>'增加值 (2001-2060, 2020RMB)'!AC31*$B$73</f>
        <v>291.51504924902218</v>
      </c>
      <c r="AD31" s="90">
        <f>'增加值 (2001-2060, 2020RMB)'!AD31*$B$73</f>
        <v>295.15249406943519</v>
      </c>
      <c r="AE31" s="101">
        <f>'增加值 (2001-2060, 2020RMB)'!AE31*$B$73</f>
        <v>298.50690292098488</v>
      </c>
      <c r="AF31" s="90">
        <f>'增加值 (2001-2060, 2020RMB)'!AF31*$B$73</f>
        <v>301.49366668740419</v>
      </c>
      <c r="AG31" s="90">
        <f>'增加值 (2001-2060, 2020RMB)'!AG31*$B$73</f>
        <v>304.04507049078052</v>
      </c>
      <c r="AH31" s="90">
        <f>'增加值 (2001-2060, 2020RMB)'!AH31*$B$73</f>
        <v>306.09794573922511</v>
      </c>
      <c r="AI31" s="90">
        <f>'增加值 (2001-2060, 2020RMB)'!AI31*$B$73</f>
        <v>307.59003143675289</v>
      </c>
      <c r="AJ31" s="106">
        <f>'增加值 (2001-2060, 2020RMB)'!AJ31*$B$73</f>
        <v>308.46096187745093</v>
      </c>
      <c r="AK31" s="89">
        <f>'增加值 (2001-2060, 2020RMB)'!AK31*$B$73</f>
        <v>308.66683286587516</v>
      </c>
      <c r="AL31" s="90">
        <f>'增加值 (2001-2060, 2020RMB)'!AL31*$B$73</f>
        <v>308.2216433266953</v>
      </c>
      <c r="AM31" s="90">
        <f>'增加值 (2001-2060, 2020RMB)'!AM31*$B$73</f>
        <v>307.15690748328313</v>
      </c>
      <c r="AN31" s="90">
        <f>'增加值 (2001-2060, 2020RMB)'!AN31*$B$73</f>
        <v>305.50759438131445</v>
      </c>
      <c r="AO31" s="101">
        <f>'增加值 (2001-2060, 2020RMB)'!AO31*$B$73</f>
        <v>303.31150532355605</v>
      </c>
      <c r="AP31" s="90">
        <f>'增加值 (2001-2060, 2020RMB)'!AP31*$B$73</f>
        <v>300.60866063236438</v>
      </c>
      <c r="AQ31" s="90">
        <f>'增加值 (2001-2060, 2020RMB)'!AQ31*$B$73</f>
        <v>297.44070609117324</v>
      </c>
      <c r="AR31" s="90">
        <f>'增加值 (2001-2060, 2020RMB)'!AR31*$B$73</f>
        <v>293.85034792728914</v>
      </c>
      <c r="AS31" s="90">
        <f>'增加值 (2001-2060, 2020RMB)'!AS31*$B$73</f>
        <v>289.88082365623433</v>
      </c>
      <c r="AT31" s="90">
        <f>'增加值 (2001-2060, 2020RMB)'!AT31*$B$73</f>
        <v>285.57541456399065</v>
      </c>
      <c r="AU31" s="89">
        <f>'增加值 (2001-2060, 2020RMB)'!AU31*$B$73</f>
        <v>280.97700410236217</v>
      </c>
      <c r="AV31" s="90">
        <f>'增加值 (2001-2060, 2020RMB)'!AV31*$B$73</f>
        <v>276.12768505144118</v>
      </c>
      <c r="AW31" s="90">
        <f>'增加值 (2001-2060, 2020RMB)'!AW31*$B$73</f>
        <v>271.06841699115051</v>
      </c>
      <c r="AX31" s="90">
        <f>'增加值 (2001-2060, 2020RMB)'!AX31*$B$73</f>
        <v>265.83873444289895</v>
      </c>
      <c r="AY31" s="101">
        <f>'增加值 (2001-2060, 2020RMB)'!AY31*$B$73</f>
        <v>260.47650500712052</v>
      </c>
      <c r="AZ31" s="89">
        <f>'增加值 (2001-2060, 2020RMB)'!AZ31*$B$73</f>
        <v>255.01773594083127</v>
      </c>
      <c r="BA31" s="90">
        <f>'增加值 (2001-2060, 2020RMB)'!BA31*$B$73</f>
        <v>249.49642689356367</v>
      </c>
      <c r="BB31" s="90">
        <f>'增加值 (2001-2060, 2020RMB)'!BB31*$B$73</f>
        <v>243.94446594722464</v>
      </c>
      <c r="BC31" s="90">
        <f>'增加值 (2001-2060, 2020RMB)'!BC31*$B$73</f>
        <v>238.39156567876992</v>
      </c>
      <c r="BD31" s="101">
        <f>'增加值 (2001-2060, 2020RMB)'!BD31*$B$73</f>
        <v>232.86523567395295</v>
      </c>
      <c r="BE31" s="90">
        <f>'增加值 (2001-2060, 2020RMB)'!BE31*$B$73</f>
        <v>227.3907877535047</v>
      </c>
      <c r="BF31" s="90">
        <f>'增加值 (2001-2060, 2020RMB)'!BF31*$B$73</f>
        <v>221.99137011599043</v>
      </c>
      <c r="BG31" s="90">
        <f>'增加值 (2001-2060, 2020RMB)'!BG31*$B$73</f>
        <v>216.68802663967924</v>
      </c>
      <c r="BH31" s="90">
        <f>'增加值 (2001-2060, 2020RMB)'!BH31*$B$73</f>
        <v>211.49977770420026</v>
      </c>
      <c r="BI31" s="109">
        <f>'增加值 (2001-2060, 2020RMB)'!BI31*$B$73</f>
        <v>206.44371907709433</v>
      </c>
    </row>
    <row r="32" spans="1:61" ht="13.9" customHeight="1" x14ac:dyDescent="0.2">
      <c r="A32" s="30" t="s">
        <v>90</v>
      </c>
      <c r="B32" s="19"/>
      <c r="C32" s="20"/>
      <c r="D32" s="20"/>
      <c r="E32" s="20"/>
      <c r="F32" s="21"/>
      <c r="G32" s="19"/>
      <c r="H32" s="20"/>
      <c r="I32" s="20">
        <f>'增加值 (2001-2060, 2020RMB)'!I32*$B$73</f>
        <v>170.42468956755869</v>
      </c>
      <c r="J32" s="20">
        <f>'增加值 (2001-2060, 2020RMB)'!J32*$B$73</f>
        <v>173.66913344109759</v>
      </c>
      <c r="K32" s="21">
        <f>'增加值 (2001-2060, 2020RMB)'!K32*$B$73</f>
        <v>191.42075515659477</v>
      </c>
      <c r="L32" s="19">
        <f>'增加值 (2001-2060, 2020RMB)'!L32*$B$73</f>
        <v>206.37225177144529</v>
      </c>
      <c r="M32" s="20">
        <f>'增加值 (2001-2060, 2020RMB)'!M32*$B$73</f>
        <v>217.87978028933472</v>
      </c>
      <c r="N32" s="20">
        <f>'增加值 (2001-2060, 2020RMB)'!N32*$B$73</f>
        <v>234.91924084417857</v>
      </c>
      <c r="O32" s="20">
        <f>'增加值 (2001-2060, 2020RMB)'!O32*$B$73</f>
        <v>255.85414158302899</v>
      </c>
      <c r="P32" s="20">
        <f>'增加值 (2001-2060, 2020RMB)'!P32*$B$73</f>
        <v>256.80911821767586</v>
      </c>
      <c r="Q32" s="19">
        <f>'增加值 (2001-2060, 2020RMB)'!Q32*$B$73</f>
        <v>258.63590484068948</v>
      </c>
      <c r="R32" s="20">
        <f>'增加值 (2001-2060, 2020RMB)'!R32*$B$73</f>
        <v>285.61715157751394</v>
      </c>
      <c r="S32" s="20">
        <f>'增加值 (2001-2060, 2020RMB)'!S32*$B$73</f>
        <v>306.57089441525198</v>
      </c>
      <c r="T32" s="20">
        <f>'增加值 (2001-2060, 2020RMB)'!T32*$B$73</f>
        <v>298.83694300207299</v>
      </c>
      <c r="U32" s="21">
        <f>'增加值 (2001-2060, 2020RMB)'!U32*$B$73</f>
        <v>271.73919261461918</v>
      </c>
      <c r="V32" s="20">
        <f>'增加值 (2001-2060, 2020RMB)'!V32*$B$73</f>
        <v>325.08880077316945</v>
      </c>
      <c r="W32" s="20">
        <f>'增加值 (2001-2060, 2020RMB)'!W32*$B$73</f>
        <v>321.64947440422594</v>
      </c>
      <c r="X32" s="90">
        <f>'增加值 (2001-2060, 2020RMB)'!X32*$B$73</f>
        <v>323.93314876779158</v>
      </c>
      <c r="Y32" s="90">
        <f>'增加值 (2001-2060, 2020RMB)'!Y32*$B$73</f>
        <v>326.5786457394276</v>
      </c>
      <c r="Z32" s="90">
        <f>'增加值 (2001-2060, 2020RMB)'!Z32*$B$73</f>
        <v>329.48601768765553</v>
      </c>
      <c r="AA32" s="89">
        <f>'增加值 (2001-2060, 2020RMB)'!AA32*$B$73</f>
        <v>332.55231749185697</v>
      </c>
      <c r="AB32" s="90">
        <f>'增加值 (2001-2060, 2020RMB)'!AB32*$B$73</f>
        <v>335.67092210883942</v>
      </c>
      <c r="AC32" s="90">
        <f>'增加值 (2001-2060, 2020RMB)'!AC32*$B$73</f>
        <v>338.73118980681073</v>
      </c>
      <c r="AD32" s="90">
        <f>'增加值 (2001-2060, 2020RMB)'!AD32*$B$73</f>
        <v>341.61847235598253</v>
      </c>
      <c r="AE32" s="101">
        <f>'增加值 (2001-2060, 2020RMB)'!AE32*$B$73</f>
        <v>344.21450495637049</v>
      </c>
      <c r="AF32" s="90">
        <f>'增加值 (2001-2060, 2020RMB)'!AF32*$B$73</f>
        <v>346.40716097193337</v>
      </c>
      <c r="AG32" s="90">
        <f>'增加值 (2001-2060, 2020RMB)'!AG32*$B$73</f>
        <v>348.11890087654308</v>
      </c>
      <c r="AH32" s="90">
        <f>'增加值 (2001-2060, 2020RMB)'!AH32*$B$73</f>
        <v>349.28168304135772</v>
      </c>
      <c r="AI32" s="90">
        <f>'增加值 (2001-2060, 2020RMB)'!AI32*$B$73</f>
        <v>349.82907361226512</v>
      </c>
      <c r="AJ32" s="106">
        <f>'增加值 (2001-2060, 2020RMB)'!AJ32*$B$73</f>
        <v>349.69730638409789</v>
      </c>
      <c r="AK32" s="89">
        <f>'增加值 (2001-2060, 2020RMB)'!AK32*$B$73</f>
        <v>348.84190018640766</v>
      </c>
      <c r="AL32" s="90">
        <f>'增加值 (2001-2060, 2020RMB)'!AL32*$B$73</f>
        <v>347.28470693504499</v>
      </c>
      <c r="AM32" s="90">
        <f>'增加值 (2001-2060, 2020RMB)'!AM32*$B$73</f>
        <v>345.06688107770134</v>
      </c>
      <c r="AN32" s="90">
        <f>'增加值 (2001-2060, 2020RMB)'!AN32*$B$73</f>
        <v>342.23265469642178</v>
      </c>
      <c r="AO32" s="101">
        <f>'增加值 (2001-2060, 2020RMB)'!AO32*$B$73</f>
        <v>338.82863530844895</v>
      </c>
      <c r="AP32" s="90">
        <f>'增加值 (2001-2060, 2020RMB)'!AP32*$B$73</f>
        <v>334.90312843366513</v>
      </c>
      <c r="AQ32" s="90">
        <f>'增加值 (2001-2060, 2020RMB)'!AQ32*$B$73</f>
        <v>330.50549477878803</v>
      </c>
      <c r="AR32" s="90">
        <f>'增加值 (2001-2060, 2020RMB)'!AR32*$B$73</f>
        <v>325.68555011576331</v>
      </c>
      <c r="AS32" s="90">
        <f>'增加值 (2001-2060, 2020RMB)'!AS32*$B$73</f>
        <v>320.49301416529579</v>
      </c>
      <c r="AT32" s="90">
        <f>'增加值 (2001-2060, 2020RMB)'!AT32*$B$73</f>
        <v>314.97701308583254</v>
      </c>
      <c r="AU32" s="89">
        <f>'增加值 (2001-2060, 2020RMB)'!AU32*$B$73</f>
        <v>309.1856385548013</v>
      </c>
      <c r="AV32" s="90">
        <f>'增加值 (2001-2060, 2020RMB)'!AV32*$B$73</f>
        <v>303.16556494475776</v>
      </c>
      <c r="AW32" s="90">
        <f>'增加值 (2001-2060, 2020RMB)'!AW32*$B$73</f>
        <v>296.96172476617517</v>
      </c>
      <c r="AX32" s="90">
        <f>'增加值 (2001-2060, 2020RMB)'!AX32*$B$73</f>
        <v>290.61704138639516</v>
      </c>
      <c r="AY32" s="101">
        <f>'增加值 (2001-2060, 2020RMB)'!AY32*$B$73</f>
        <v>284.17221704900936</v>
      </c>
      <c r="AZ32" s="89">
        <f>'增加值 (2001-2060, 2020RMB)'!AZ32*$B$73</f>
        <v>277.66557341118158</v>
      </c>
      <c r="BA32" s="90">
        <f>'增加值 (2001-2060, 2020RMB)'!BA32*$B$73</f>
        <v>271.13294118424642</v>
      </c>
      <c r="BB32" s="90">
        <f>'增加值 (2001-2060, 2020RMB)'!BB32*$B$73</f>
        <v>264.60759499681888</v>
      </c>
      <c r="BC32" s="90">
        <f>'增加值 (2001-2060, 2020RMB)'!BC32*$B$73</f>
        <v>258.12022928760678</v>
      </c>
      <c r="BD32" s="101">
        <f>'增加值 (2001-2060, 2020RMB)'!BD32*$B$73</f>
        <v>251.69897086263956</v>
      </c>
      <c r="BE32" s="90">
        <f>'增加值 (2001-2060, 2020RMB)'!BE32*$B$73</f>
        <v>245.36942370255403</v>
      </c>
      <c r="BF32" s="90">
        <f>'增加值 (2001-2060, 2020RMB)'!BF32*$B$73</f>
        <v>239.15474166291824</v>
      </c>
      <c r="BG32" s="90">
        <f>'增加值 (2001-2060, 2020RMB)'!BG32*$B$73</f>
        <v>233.07572485730418</v>
      </c>
      <c r="BH32" s="90">
        <f>'增加值 (2001-2060, 2020RMB)'!BH32*$B$73</f>
        <v>227.15093573225261</v>
      </c>
      <c r="BI32" s="109">
        <f>'增加值 (2001-2060, 2020RMB)'!BI32*$B$73</f>
        <v>221.39683111972425</v>
      </c>
    </row>
    <row r="33" spans="1:61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f>'增加值 (2001-2060, 2020RMB)'!I33*$B$73</f>
        <v>637.16698879349872</v>
      </c>
      <c r="J33" s="20">
        <f>'增加值 (2001-2060, 2020RMB)'!J33*$B$73</f>
        <v>635.4050592414402</v>
      </c>
      <c r="K33" s="21">
        <f>'增加值 (2001-2060, 2020RMB)'!K33*$B$73</f>
        <v>676.28810522775109</v>
      </c>
      <c r="L33" s="19">
        <f>'增加值 (2001-2060, 2020RMB)'!L33*$B$73</f>
        <v>699.21935440753566</v>
      </c>
      <c r="M33" s="20">
        <f>'增加值 (2001-2060, 2020RMB)'!M33*$B$73</f>
        <v>707.5885313743712</v>
      </c>
      <c r="N33" s="20">
        <f>'增加值 (2001-2060, 2020RMB)'!N33*$B$73</f>
        <v>713.18461791746836</v>
      </c>
      <c r="O33" s="20">
        <f>'增加值 (2001-2060, 2020RMB)'!O33*$B$73</f>
        <v>720.67276491046107</v>
      </c>
      <c r="P33" s="20">
        <f>'增加值 (2001-2060, 2020RMB)'!P33*$B$73</f>
        <v>734.30200114359138</v>
      </c>
      <c r="Q33" s="19">
        <f>'增加值 (2001-2060, 2020RMB)'!Q33*$B$73</f>
        <v>764.60618968075028</v>
      </c>
      <c r="R33" s="20">
        <f>'增加值 (2001-2060, 2020RMB)'!R33*$B$73</f>
        <v>811.09142498845029</v>
      </c>
      <c r="S33" s="20">
        <f>'增加值 (2001-2060, 2020RMB)'!S33*$B$73</f>
        <v>859.28912273215599</v>
      </c>
      <c r="T33" s="20">
        <f>'增加值 (2001-2060, 2020RMB)'!T33*$B$73</f>
        <v>869.92301724643733</v>
      </c>
      <c r="U33" s="21">
        <f>'增加值 (2001-2060, 2020RMB)'!U33*$B$73</f>
        <v>847.42336584085638</v>
      </c>
      <c r="V33" s="20">
        <f>'增加值 (2001-2060, 2020RMB)'!V33*$B$73</f>
        <v>889.38677171330733</v>
      </c>
      <c r="W33" s="20">
        <f>'增加值 (2001-2060, 2020RMB)'!W33*$B$73</f>
        <v>857.39068108754168</v>
      </c>
      <c r="X33" s="90">
        <f>'增加值 (2001-2060, 2020RMB)'!X33*$B$73</f>
        <v>851.34114761346382</v>
      </c>
      <c r="Y33" s="90">
        <f>'增加值 (2001-2060, 2020RMB)'!Y33*$B$73</f>
        <v>846.37986088514538</v>
      </c>
      <c r="Z33" s="90">
        <f>'增加值 (2001-2060, 2020RMB)'!Z33*$B$73</f>
        <v>842.26828850619029</v>
      </c>
      <c r="AA33" s="89">
        <f>'增加值 (2001-2060, 2020RMB)'!AA33*$B$73</f>
        <v>838.77525957799969</v>
      </c>
      <c r="AB33" s="90">
        <f>'增加值 (2001-2060, 2020RMB)'!AB33*$B$73</f>
        <v>835.67499864998967</v>
      </c>
      <c r="AC33" s="90">
        <f>'增加值 (2001-2060, 2020RMB)'!AC33*$B$73</f>
        <v>832.74578446842736</v>
      </c>
      <c r="AD33" s="90">
        <f>'增加值 (2001-2060, 2020RMB)'!AD33*$B$73</f>
        <v>829.76920717074597</v>
      </c>
      <c r="AE33" s="101">
        <f>'增加值 (2001-2060, 2020RMB)'!AE33*$B$73</f>
        <v>826.53000530213251</v>
      </c>
      <c r="AF33" s="90">
        <f>'增加值 (2001-2060, 2020RMB)'!AF33*$B$73</f>
        <v>822.81801432112195</v>
      </c>
      <c r="AG33" s="90">
        <f>'增加值 (2001-2060, 2020RMB)'!AG33*$B$73</f>
        <v>818.43369138334197</v>
      </c>
      <c r="AH33" s="90">
        <f>'增加值 (2001-2060, 2020RMB)'!AH33*$B$73</f>
        <v>813.18479196915541</v>
      </c>
      <c r="AI33" s="90">
        <f>'增加值 (2001-2060, 2020RMB)'!AI33*$B$73</f>
        <v>806.88666510728717</v>
      </c>
      <c r="AJ33" s="106">
        <f>'增加值 (2001-2060, 2020RMB)'!AJ33*$B$73</f>
        <v>799.36452405901105</v>
      </c>
      <c r="AK33" s="89">
        <f>'增加值 (2001-2060, 2020RMB)'!AK33*$B$73</f>
        <v>790.49974795626406</v>
      </c>
      <c r="AL33" s="90">
        <f>'增加值 (2001-2060, 2020RMB)'!AL33*$B$73</f>
        <v>780.35926615859614</v>
      </c>
      <c r="AM33" s="90">
        <f>'增加值 (2001-2060, 2020RMB)'!AM33*$B$73</f>
        <v>769.05763138843599</v>
      </c>
      <c r="AN33" s="90">
        <f>'增加值 (2001-2060, 2020RMB)'!AN33*$B$73</f>
        <v>756.71103481801651</v>
      </c>
      <c r="AO33" s="101">
        <f>'增加值 (2001-2060, 2020RMB)'!AO33*$B$73</f>
        <v>743.43599271857977</v>
      </c>
      <c r="AP33" s="90">
        <f>'增加值 (2001-2060, 2020RMB)'!AP33*$B$73</f>
        <v>729.34814442316201</v>
      </c>
      <c r="AQ33" s="90">
        <f>'增加值 (2001-2060, 2020RMB)'!AQ33*$B$73</f>
        <v>714.56117062226315</v>
      </c>
      <c r="AR33" s="90">
        <f>'增加值 (2001-2060, 2020RMB)'!AR33*$B$73</f>
        <v>699.18583766401946</v>
      </c>
      <c r="AS33" s="90">
        <f>'增加值 (2001-2060, 2020RMB)'!AS33*$B$73</f>
        <v>683.32917045219813</v>
      </c>
      <c r="AT33" s="90">
        <f>'增加值 (2001-2060, 2020RMB)'!AT33*$B$73</f>
        <v>667.09375377281208</v>
      </c>
      <c r="AU33" s="89">
        <f>'增加值 (2001-2060, 2020RMB)'!AU33*$B$73</f>
        <v>650.57715946433063</v>
      </c>
      <c r="AV33" s="90">
        <f>'增加值 (2001-2060, 2020RMB)'!AV33*$B$73</f>
        <v>633.87149479328548</v>
      </c>
      <c r="AW33" s="90">
        <f>'增加值 (2001-2060, 2020RMB)'!AW33*$B$73</f>
        <v>617.06306571025391</v>
      </c>
      <c r="AX33" s="90">
        <f>'增加值 (2001-2060, 2020RMB)'!AX33*$B$73</f>
        <v>600.23214733285067</v>
      </c>
      <c r="AY33" s="101">
        <f>'增加值 (2001-2060, 2020RMB)'!AY33*$B$73</f>
        <v>583.45285301601075</v>
      </c>
      <c r="AZ33" s="89">
        <f>'增加值 (2001-2060, 2020RMB)'!AZ33*$B$73</f>
        <v>566.79309270167244</v>
      </c>
      <c r="BA33" s="90">
        <f>'增加值 (2001-2060, 2020RMB)'!BA33*$B$73</f>
        <v>550.31461086092008</v>
      </c>
      <c r="BB33" s="90">
        <f>'增加值 (2001-2060, 2020RMB)'!BB33*$B$73</f>
        <v>534.07309421933587</v>
      </c>
      <c r="BC33" s="90">
        <f>'增加值 (2001-2060, 2020RMB)'!BC33*$B$73</f>
        <v>518.11833955629652</v>
      </c>
      <c r="BD33" s="101">
        <f>'增加值 (2001-2060, 2020RMB)'!BD33*$B$73</f>
        <v>502.49447215624053</v>
      </c>
      <c r="BE33" s="90">
        <f>'增加值 (2001-2060, 2020RMB)'!BE33*$B$73</f>
        <v>487.24020593033606</v>
      </c>
      <c r="BF33" s="90">
        <f>'增加值 (2001-2060, 2020RMB)'!BF33*$B$73</f>
        <v>472.38913678755415</v>
      </c>
      <c r="BG33" s="90">
        <f>'增加值 (2001-2060, 2020RMB)'!BG33*$B$73</f>
        <v>457.97006148451186</v>
      </c>
      <c r="BH33" s="90">
        <f>'增加值 (2001-2060, 2020RMB)'!BH33*$B$73</f>
        <v>444.0073148957876</v>
      </c>
      <c r="BI33" s="109">
        <f>'增加值 (2001-2060, 2020RMB)'!BI33*$B$73</f>
        <v>430.52111939615094</v>
      </c>
    </row>
    <row r="34" spans="1:61" ht="13.9" customHeight="1" x14ac:dyDescent="0.2">
      <c r="A34" s="30" t="s">
        <v>92</v>
      </c>
      <c r="B34" s="19"/>
      <c r="C34" s="20"/>
      <c r="D34" s="20"/>
      <c r="E34" s="20"/>
      <c r="F34" s="21"/>
      <c r="G34" s="19"/>
      <c r="H34" s="20"/>
      <c r="I34" s="20">
        <f>'增加值 (2001-2060, 2020RMB)'!I34*$B$73</f>
        <v>1419.8380757555262</v>
      </c>
      <c r="J34" s="20">
        <f>'增加值 (2001-2060, 2020RMB)'!J34*$B$73</f>
        <v>1542.4286998947809</v>
      </c>
      <c r="K34" s="21">
        <f>'增加值 (2001-2060, 2020RMB)'!K34*$B$73</f>
        <v>1730.0458304753768</v>
      </c>
      <c r="L34" s="19">
        <f>'增加值 (2001-2060, 2020RMB)'!L34*$B$73</f>
        <v>1906.7354752745023</v>
      </c>
      <c r="M34" s="20">
        <f>'增加值 (2001-2060, 2020RMB)'!M34*$B$73</f>
        <v>2027.5786033384431</v>
      </c>
      <c r="N34" s="20">
        <f>'增加值 (2001-2060, 2020RMB)'!N34*$B$73</f>
        <v>2159.1813020087934</v>
      </c>
      <c r="O34" s="20">
        <f>'增加值 (2001-2060, 2020RMB)'!O34*$B$73</f>
        <v>2283.2851622002017</v>
      </c>
      <c r="P34" s="20">
        <f>'增加值 (2001-2060, 2020RMB)'!P34*$B$73</f>
        <v>2371.9558120290712</v>
      </c>
      <c r="Q34" s="19">
        <f>'增加值 (2001-2060, 2020RMB)'!Q34*$B$73</f>
        <v>2492.9925213528795</v>
      </c>
      <c r="R34" s="20">
        <f>'增加值 (2001-2060, 2020RMB)'!R34*$B$73</f>
        <v>2619.3229436382521</v>
      </c>
      <c r="S34" s="20">
        <f>'增加值 (2001-2060, 2020RMB)'!S34*$B$73</f>
        <v>2701.9460856533151</v>
      </c>
      <c r="T34" s="20">
        <f>'增加值 (2001-2060, 2020RMB)'!T34*$B$73</f>
        <v>2727.5678902198274</v>
      </c>
      <c r="U34" s="21">
        <f>'增加值 (2001-2060, 2020RMB)'!U34*$B$73</f>
        <v>2728.2631047167106</v>
      </c>
      <c r="V34" s="20">
        <f>'增加值 (2001-2060, 2020RMB)'!V34*$B$73</f>
        <v>3059.367524259646</v>
      </c>
      <c r="W34" s="20">
        <f>'增加值 (2001-2060, 2020RMB)'!W34*$B$73</f>
        <v>3312.9183905035534</v>
      </c>
      <c r="X34" s="90">
        <f>'增加值 (2001-2060, 2020RMB)'!X34*$B$73</f>
        <v>3357.7076176966111</v>
      </c>
      <c r="Y34" s="90">
        <f>'增加值 (2001-2060, 2020RMB)'!Y34*$B$73</f>
        <v>3395.1877868540519</v>
      </c>
      <c r="Z34" s="90">
        <f>'增加值 (2001-2060, 2020RMB)'!Z34*$B$73</f>
        <v>3426.0643273591768</v>
      </c>
      <c r="AA34" s="89">
        <f>'增加值 (2001-2060, 2020RMB)'!AA34*$B$73</f>
        <v>3451.119662976872</v>
      </c>
      <c r="AB34" s="90">
        <f>'增加值 (2001-2060, 2020RMB)'!AB34*$B$73</f>
        <v>3471.1974549913634</v>
      </c>
      <c r="AC34" s="90">
        <f>'增加值 (2001-2060, 2020RMB)'!AC34*$B$73</f>
        <v>3487.18845253479</v>
      </c>
      <c r="AD34" s="90">
        <f>'增加值 (2001-2060, 2020RMB)'!AD34*$B$73</f>
        <v>3500.0183307788902</v>
      </c>
      <c r="AE34" s="101">
        <f>'增加值 (2001-2060, 2020RMB)'!AE34*$B$73</f>
        <v>3510.6378021806772</v>
      </c>
      <c r="AF34" s="90">
        <f>'增加值 (2001-2060, 2020RMB)'!AF34*$B$73</f>
        <v>3519.658850291944</v>
      </c>
      <c r="AG34" s="90">
        <f>'增加值 (2001-2060, 2020RMB)'!AG34*$B$73</f>
        <v>3526.2744987784304</v>
      </c>
      <c r="AH34" s="90">
        <f>'增加值 (2001-2060, 2020RMB)'!AH34*$B$73</f>
        <v>3529.318510744793</v>
      </c>
      <c r="AI34" s="90">
        <f>'增加值 (2001-2060, 2020RMB)'!AI34*$B$73</f>
        <v>3527.6295748991338</v>
      </c>
      <c r="AJ34" s="106">
        <f>'增加值 (2001-2060, 2020RMB)'!AJ34*$B$73</f>
        <v>3520.064904747117</v>
      </c>
      <c r="AK34" s="89">
        <f>'增加值 (2001-2060, 2020RMB)'!AK34*$B$73</f>
        <v>3505.7525608763735</v>
      </c>
      <c r="AL34" s="90">
        <f>'增加值 (2001-2060, 2020RMB)'!AL34*$B$73</f>
        <v>3484.8056260155763</v>
      </c>
      <c r="AM34" s="90">
        <f>'增加值 (2001-2060, 2020RMB)'!AM34*$B$73</f>
        <v>3457.6060756899196</v>
      </c>
      <c r="AN34" s="90">
        <f>'增加值 (2001-2060, 2020RMB)'!AN34*$B$73</f>
        <v>3424.5622413380415</v>
      </c>
      <c r="AO34" s="101">
        <f>'增加值 (2001-2060, 2020RMB)'!AO34*$B$73</f>
        <v>3386.1029372117077</v>
      </c>
      <c r="AP34" s="90">
        <f>'增加值 (2001-2060, 2020RMB)'!AP34*$B$73</f>
        <v>3342.6717728451213</v>
      </c>
      <c r="AQ34" s="90">
        <f>'增加值 (2001-2060, 2020RMB)'!AQ34*$B$73</f>
        <v>3294.7217279282791</v>
      </c>
      <c r="AR34" s="90">
        <f>'增加值 (2001-2060, 2020RMB)'!AR34*$B$73</f>
        <v>3242.7100537772362</v>
      </c>
      <c r="AS34" s="90">
        <f>'增加值 (2001-2060, 2020RMB)'!AS34*$B$73</f>
        <v>3187.0935528662999</v>
      </c>
      <c r="AT34" s="90">
        <f>'增加值 (2001-2060, 2020RMB)'!AT34*$B$73</f>
        <v>3128.3242754150465</v>
      </c>
      <c r="AU34" s="89">
        <f>'增加值 (2001-2060, 2020RMB)'!AU34*$B$73</f>
        <v>3066.8456600962704</v>
      </c>
      <c r="AV34" s="90">
        <f>'增加值 (2001-2060, 2020RMB)'!AV34*$B$73</f>
        <v>3003.0891347867359</v>
      </c>
      <c r="AW34" s="90">
        <f>'增加值 (2001-2060, 2020RMB)'!AW34*$B$73</f>
        <v>2937.471183104426</v>
      </c>
      <c r="AX34" s="90">
        <f>'增加值 (2001-2060, 2020RMB)'!AX34*$B$73</f>
        <v>2870.3908733951935</v>
      </c>
      <c r="AY34" s="101">
        <f>'增加值 (2001-2060, 2020RMB)'!AY34*$B$73</f>
        <v>2802.2278389311759</v>
      </c>
      <c r="AZ34" s="89">
        <f>'增加值 (2001-2060, 2020RMB)'!AZ34*$B$73</f>
        <v>2733.3406914018187</v>
      </c>
      <c r="BA34" s="90">
        <f>'增加值 (2001-2060, 2020RMB)'!BA34*$B$73</f>
        <v>2664.0658443154621</v>
      </c>
      <c r="BB34" s="90">
        <f>'增加值 (2001-2060, 2020RMB)'!BB34*$B$73</f>
        <v>2594.7167186521588</v>
      </c>
      <c r="BC34" s="90">
        <f>'增加值 (2001-2060, 2020RMB)'!BC34*$B$73</f>
        <v>2525.5832999558552</v>
      </c>
      <c r="BD34" s="101">
        <f>'增加值 (2001-2060, 2020RMB)'!BD34*$B$73</f>
        <v>2456.9320139460606</v>
      </c>
      <c r="BE34" s="90">
        <f>'增加值 (2001-2060, 2020RMB)'!BE34*$B$73</f>
        <v>2389.0058865673259</v>
      </c>
      <c r="BF34" s="90">
        <f>'增加值 (2001-2060, 2020RMB)'!BF34*$B$73</f>
        <v>2322.0249540742784</v>
      </c>
      <c r="BG34" s="90">
        <f>'增加值 (2001-2060, 2020RMB)'!BG34*$B$73</f>
        <v>2256.1868891570612</v>
      </c>
      <c r="BH34" s="90">
        <f>'增加值 (2001-2060, 2020RMB)'!BH34*$B$73</f>
        <v>2191.6678101346151</v>
      </c>
      <c r="BI34" s="109">
        <f>'增加值 (2001-2060, 2020RMB)'!BI34*$B$73</f>
        <v>2128.6232417695287</v>
      </c>
    </row>
    <row r="35" spans="1:61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f>'增加值 (2001-2060, 2020RMB)'!I35*$B$73</f>
        <v>483.71746576031296</v>
      </c>
      <c r="J35" s="20">
        <f>'增加值 (2001-2060, 2020RMB)'!J35*$B$73</f>
        <v>526.39931856443491</v>
      </c>
      <c r="K35" s="21">
        <f>'增加值 (2001-2060, 2020RMB)'!K35*$B$73</f>
        <v>588.89561954508417</v>
      </c>
      <c r="L35" s="19">
        <f>'增加值 (2001-2060, 2020RMB)'!L35*$B$73</f>
        <v>667.14701885654767</v>
      </c>
      <c r="M35" s="20">
        <f>'增加值 (2001-2060, 2020RMB)'!M35*$B$73</f>
        <v>727.21213278788082</v>
      </c>
      <c r="N35" s="20">
        <f>'增加值 (2001-2060, 2020RMB)'!N35*$B$73</f>
        <v>784.08433283869726</v>
      </c>
      <c r="O35" s="20">
        <f>'增加值 (2001-2060, 2020RMB)'!O35*$B$73</f>
        <v>844.18584088878629</v>
      </c>
      <c r="P35" s="20">
        <f>'增加值 (2001-2060, 2020RMB)'!P35*$B$73</f>
        <v>880.17306998213451</v>
      </c>
      <c r="Q35" s="19">
        <f>'增加值 (2001-2060, 2020RMB)'!Q35*$B$73</f>
        <v>951.71412557052213</v>
      </c>
      <c r="R35" s="20">
        <f>'增加值 (2001-2060, 2020RMB)'!R35*$B$73</f>
        <v>1082.788275133966</v>
      </c>
      <c r="S35" s="20">
        <f>'增加值 (2001-2060, 2020RMB)'!S35*$B$73</f>
        <v>1182.709399569696</v>
      </c>
      <c r="T35" s="20">
        <f>'增加值 (2001-2060, 2020RMB)'!T35*$B$73</f>
        <v>1215.5909598218193</v>
      </c>
      <c r="U35" s="21">
        <f>'增加值 (2001-2060, 2020RMB)'!U35*$B$73</f>
        <v>1245.2987832640374</v>
      </c>
      <c r="V35" s="20">
        <f>'增加值 (2001-2060, 2020RMB)'!V35*$B$73</f>
        <v>1618.1465370188198</v>
      </c>
      <c r="W35" s="20">
        <f>'增加值 (2001-2060, 2020RMB)'!W35*$B$73</f>
        <v>1587.8769898349155</v>
      </c>
      <c r="X35" s="90">
        <f>'增加值 (2001-2060, 2020RMB)'!X35*$B$73</f>
        <v>1704.3722951024531</v>
      </c>
      <c r="Y35" s="90">
        <f>'增加值 (2001-2060, 2020RMB)'!Y35*$B$73</f>
        <v>1823.5428012682078</v>
      </c>
      <c r="Z35" s="90">
        <f>'增加值 (2001-2060, 2020RMB)'!Z35*$B$73</f>
        <v>1945.5760327828812</v>
      </c>
      <c r="AA35" s="89">
        <f>'增加值 (2001-2060, 2020RMB)'!AA35*$B$73</f>
        <v>2070.7995956556992</v>
      </c>
      <c r="AB35" s="90">
        <f>'增加值 (2001-2060, 2020RMB)'!AB35*$B$73</f>
        <v>2199.694756001878</v>
      </c>
      <c r="AC35" s="90">
        <f>'增加值 (2001-2060, 2020RMB)'!AC35*$B$73</f>
        <v>2332.9107159961159</v>
      </c>
      <c r="AD35" s="90">
        <f>'增加值 (2001-2060, 2020RMB)'!AD35*$B$73</f>
        <v>2471.280450616041</v>
      </c>
      <c r="AE35" s="101">
        <f>'增加值 (2001-2060, 2020RMB)'!AE35*$B$73</f>
        <v>2615.8391350355573</v>
      </c>
      <c r="AF35" s="90">
        <f>'增加值 (2001-2060, 2020RMB)'!AF35*$B$73</f>
        <v>2767.372054954717</v>
      </c>
      <c r="AG35" s="90">
        <f>'增加值 (2001-2060, 2020RMB)'!AG35*$B$73</f>
        <v>2924.8008425514377</v>
      </c>
      <c r="AH35" s="90">
        <f>'增加值 (2001-2060, 2020RMB)'!AH35*$B$73</f>
        <v>3086.2247999355632</v>
      </c>
      <c r="AI35" s="90">
        <f>'增加值 (2001-2060, 2020RMB)'!AI35*$B$73</f>
        <v>3249.3134161676844</v>
      </c>
      <c r="AJ35" s="106">
        <f>'增加值 (2001-2060, 2020RMB)'!AJ35*$B$73</f>
        <v>3411.2906169470771</v>
      </c>
      <c r="AK35" s="89">
        <f>'增加值 (2001-2060, 2020RMB)'!AK35*$B$73</f>
        <v>3569.4067892964076</v>
      </c>
      <c r="AL35" s="90">
        <f>'增加值 (2001-2060, 2020RMB)'!AL35*$B$73</f>
        <v>3722.5296475535542</v>
      </c>
      <c r="AM35" s="90">
        <f>'增加值 (2001-2060, 2020RMB)'!AM35*$B$73</f>
        <v>3870.0495454599923</v>
      </c>
      <c r="AN35" s="90">
        <f>'增加值 (2001-2060, 2020RMB)'!AN35*$B$73</f>
        <v>4011.4609601574921</v>
      </c>
      <c r="AO35" s="101">
        <f>'增加值 (2001-2060, 2020RMB)'!AO35*$B$73</f>
        <v>4146.3670600914193</v>
      </c>
      <c r="AP35" s="90">
        <f>'增加值 (2001-2060, 2020RMB)'!AP35*$B$73</f>
        <v>4274.482049883075</v>
      </c>
      <c r="AQ35" s="90">
        <f>'增加值 (2001-2060, 2020RMB)'!AQ35*$B$73</f>
        <v>4395.6314435299637</v>
      </c>
      <c r="AR35" s="90">
        <f>'增加值 (2001-2060, 2020RMB)'!AR35*$B$73</f>
        <v>4509.7504686807979</v>
      </c>
      <c r="AS35" s="90">
        <f>'增加值 (2001-2060, 2020RMB)'!AS35*$B$73</f>
        <v>4616.8808442157833</v>
      </c>
      <c r="AT35" s="90">
        <f>'增加值 (2001-2060, 2020RMB)'!AT35*$B$73</f>
        <v>4717.166200923828</v>
      </c>
      <c r="AU35" s="89">
        <f>'增加值 (2001-2060, 2020RMB)'!AU35*$B$73</f>
        <v>4810.8464312483684</v>
      </c>
      <c r="AV35" s="90">
        <f>'增加值 (2001-2060, 2020RMB)'!AV35*$B$73</f>
        <v>4898.2512598723515</v>
      </c>
      <c r="AW35" s="90">
        <f>'增加值 (2001-2060, 2020RMB)'!AW35*$B$73</f>
        <v>4979.7933236710296</v>
      </c>
      <c r="AX35" s="90">
        <f>'增加值 (2001-2060, 2020RMB)'!AX35*$B$73</f>
        <v>5055.9610388549627</v>
      </c>
      <c r="AY35" s="101">
        <f>'增加值 (2001-2060, 2020RMB)'!AY35*$B$73</f>
        <v>5127.3115166579673</v>
      </c>
      <c r="AZ35" s="89">
        <f>'增加值 (2001-2060, 2020RMB)'!AZ35*$B$73</f>
        <v>5194.4637684347945</v>
      </c>
      <c r="BA35" s="90">
        <f>'增加值 (2001-2060, 2020RMB)'!BA35*$B$73</f>
        <v>5258.0924182217204</v>
      </c>
      <c r="BB35" s="90">
        <f>'增加值 (2001-2060, 2020RMB)'!BB35*$B$73</f>
        <v>5318.9221172829803</v>
      </c>
      <c r="BC35" s="90">
        <f>'增加值 (2001-2060, 2020RMB)'!BC35*$B$73</f>
        <v>5377.7228323828494</v>
      </c>
      <c r="BD35" s="101">
        <f>'增加值 (2001-2060, 2020RMB)'!BD35*$B$73</f>
        <v>5435.3061587962811</v>
      </c>
      <c r="BE35" s="90">
        <f>'增加值 (2001-2060, 2020RMB)'!BE35*$B$73</f>
        <v>5492.5227915475671</v>
      </c>
      <c r="BF35" s="90">
        <f>'增加值 (2001-2060, 2020RMB)'!BF35*$B$73</f>
        <v>5550.2612750423805</v>
      </c>
      <c r="BG35" s="90">
        <f>'增加值 (2001-2060, 2020RMB)'!BG35*$B$73</f>
        <v>5609.4481430029764</v>
      </c>
      <c r="BH35" s="90">
        <f>'增加值 (2001-2060, 2020RMB)'!BH35*$B$73</f>
        <v>5671.0495582081221</v>
      </c>
      <c r="BI35" s="109">
        <f>'增加值 (2001-2060, 2020RMB)'!BI35*$B$73</f>
        <v>5736.0745657120578</v>
      </c>
    </row>
    <row r="36" spans="1:61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f>'增加值 (2001-2060, 2020RMB)'!I36*$B$73</f>
        <v>118.34009269006653</v>
      </c>
      <c r="J36" s="20">
        <f>'增加值 (2001-2060, 2020RMB)'!J36*$B$73</f>
        <v>123.62182795184819</v>
      </c>
      <c r="K36" s="21">
        <f>'增加值 (2001-2060, 2020RMB)'!K36*$B$73</f>
        <v>133.37663196120397</v>
      </c>
      <c r="L36" s="19">
        <f>'增加值 (2001-2060, 2020RMB)'!L36*$B$73</f>
        <v>142.25650870419096</v>
      </c>
      <c r="M36" s="20">
        <f>'增加值 (2001-2060, 2020RMB)'!M36*$B$73</f>
        <v>153.16827823699467</v>
      </c>
      <c r="N36" s="20">
        <f>'增加值 (2001-2060, 2020RMB)'!N36*$B$73</f>
        <v>160.49079984258429</v>
      </c>
      <c r="O36" s="20">
        <f>'增加值 (2001-2060, 2020RMB)'!O36*$B$73</f>
        <v>166.94576669297967</v>
      </c>
      <c r="P36" s="20">
        <f>'增加值 (2001-2060, 2020RMB)'!P36*$B$73</f>
        <v>176.1215580414071</v>
      </c>
      <c r="Q36" s="19">
        <f>'增加值 (2001-2060, 2020RMB)'!Q36*$B$73</f>
        <v>182.35873919401584</v>
      </c>
      <c r="R36" s="20">
        <f>'增加值 (2001-2060, 2020RMB)'!R36*$B$73</f>
        <v>195.29133151703161</v>
      </c>
      <c r="S36" s="20">
        <f>'增加值 (2001-2060, 2020RMB)'!S36*$B$73</f>
        <v>209.22959491007907</v>
      </c>
      <c r="T36" s="20">
        <f>'增加值 (2001-2060, 2020RMB)'!T36*$B$73</f>
        <v>225.7383827465211</v>
      </c>
      <c r="U36" s="21">
        <f>'增加值 (2001-2060, 2020RMB)'!U36*$B$73</f>
        <v>223.1754643875409</v>
      </c>
      <c r="V36" s="20">
        <f>'增加值 (2001-2060, 2020RMB)'!V36*$B$73</f>
        <v>249.09839628267974</v>
      </c>
      <c r="W36" s="20">
        <f>'增加值 (2001-2060, 2020RMB)'!W36*$B$73</f>
        <v>255.82558027423454</v>
      </c>
      <c r="X36" s="90">
        <f>'增加值 (2001-2060, 2020RMB)'!X36*$B$73</f>
        <v>260.99689190823671</v>
      </c>
      <c r="Y36" s="90">
        <f>'增加值 (2001-2060, 2020RMB)'!Y36*$B$73</f>
        <v>265.35125457102555</v>
      </c>
      <c r="Z36" s="90">
        <f>'增加值 (2001-2060, 2020RMB)'!Z36*$B$73</f>
        <v>268.96670238186732</v>
      </c>
      <c r="AA36" s="89">
        <f>'增加值 (2001-2060, 2020RMB)'!AA36*$B$73</f>
        <v>271.93466700257005</v>
      </c>
      <c r="AB36" s="90">
        <f>'增加值 (2001-2060, 2020RMB)'!AB36*$B$73</f>
        <v>274.35724930092869</v>
      </c>
      <c r="AC36" s="90">
        <f>'增加值 (2001-2060, 2020RMB)'!AC36*$B$73</f>
        <v>276.34475812717858</v>
      </c>
      <c r="AD36" s="90">
        <f>'增加值 (2001-2060, 2020RMB)'!AD36*$B$73</f>
        <v>278.01361870498687</v>
      </c>
      <c r="AE36" s="101">
        <f>'增加值 (2001-2060, 2020RMB)'!AE36*$B$73</f>
        <v>279.48472714456506</v>
      </c>
      <c r="AF36" s="90">
        <f>'增加值 (2001-2060, 2020RMB)'!AF36*$B$73</f>
        <v>280.84463397619339</v>
      </c>
      <c r="AG36" s="90">
        <f>'增加值 (2001-2060, 2020RMB)'!AG36*$B$73</f>
        <v>282.03050786617598</v>
      </c>
      <c r="AH36" s="90">
        <f>'增加值 (2001-2060, 2020RMB)'!AH36*$B$73</f>
        <v>282.94079883353288</v>
      </c>
      <c r="AI36" s="90">
        <f>'增加值 (2001-2060, 2020RMB)'!AI36*$B$73</f>
        <v>283.47333022825302</v>
      </c>
      <c r="AJ36" s="106">
        <f>'增加值 (2001-2060, 2020RMB)'!AJ36*$B$73</f>
        <v>283.52646204337219</v>
      </c>
      <c r="AK36" s="89">
        <f>'增加值 (2001-2060, 2020RMB)'!AK36*$B$73</f>
        <v>283.02064864075356</v>
      </c>
      <c r="AL36" s="90">
        <f>'增加值 (2001-2060, 2020RMB)'!AL36*$B$73</f>
        <v>281.95976866468561</v>
      </c>
      <c r="AM36" s="90">
        <f>'增加值 (2001-2060, 2020RMB)'!AM36*$B$73</f>
        <v>280.37080562815828</v>
      </c>
      <c r="AN36" s="90">
        <f>'增加值 (2001-2060, 2020RMB)'!AN36*$B$73</f>
        <v>278.28331874529925</v>
      </c>
      <c r="AO36" s="101">
        <f>'增加值 (2001-2060, 2020RMB)'!AO36*$B$73</f>
        <v>275.72898306089957</v>
      </c>
      <c r="AP36" s="90">
        <f>'增加值 (2001-2060, 2020RMB)'!AP36*$B$73</f>
        <v>272.74113585294168</v>
      </c>
      <c r="AQ36" s="90">
        <f>'增加值 (2001-2060, 2020RMB)'!AQ36*$B$73</f>
        <v>269.3543361780342</v>
      </c>
      <c r="AR36" s="90">
        <f>'增加值 (2001-2060, 2020RMB)'!AR36*$B$73</f>
        <v>265.60394352523889</v>
      </c>
      <c r="AS36" s="90">
        <f>'增加值 (2001-2060, 2020RMB)'!AS36*$B$73</f>
        <v>261.5257205992537</v>
      </c>
      <c r="AT36" s="90">
        <f>'增加值 (2001-2060, 2020RMB)'!AT36*$B$73</f>
        <v>257.15546429839918</v>
      </c>
      <c r="AU36" s="89">
        <f>'增加值 (2001-2060, 2020RMB)'!AU36*$B$73</f>
        <v>252.52866801206349</v>
      </c>
      <c r="AV36" s="90">
        <f>'增加值 (2001-2060, 2020RMB)'!AV36*$B$73</f>
        <v>247.68021745830865</v>
      </c>
      <c r="AW36" s="90">
        <f>'增加值 (2001-2060, 2020RMB)'!AW36*$B$73</f>
        <v>242.64412143347394</v>
      </c>
      <c r="AX36" s="90">
        <f>'增加值 (2001-2060, 2020RMB)'!AX36*$B$73</f>
        <v>237.45327806612738</v>
      </c>
      <c r="AY36" s="101">
        <f>'增加值 (2001-2060, 2020RMB)'!AY36*$B$73</f>
        <v>232.1392764680707</v>
      </c>
      <c r="AZ36" s="89">
        <f>'增加值 (2001-2060, 2020RMB)'!AZ36*$B$73</f>
        <v>226.73223306220854</v>
      </c>
      <c r="BA36" s="90">
        <f>'增加值 (2001-2060, 2020RMB)'!BA36*$B$73</f>
        <v>221.26066134441584</v>
      </c>
      <c r="BB36" s="90">
        <f>'增加值 (2001-2060, 2020RMB)'!BB36*$B$73</f>
        <v>215.75137340477707</v>
      </c>
      <c r="BC36" s="90">
        <f>'增加值 (2001-2060, 2020RMB)'!BC36*$B$73</f>
        <v>210.22941119076424</v>
      </c>
      <c r="BD36" s="101">
        <f>'增加值 (2001-2060, 2020RMB)'!BD36*$B$73</f>
        <v>204.71800523709783</v>
      </c>
      <c r="BE36" s="90">
        <f>'增加值 (2001-2060, 2020RMB)'!BE36*$B$73</f>
        <v>199.23855840857325</v>
      </c>
      <c r="BF36" s="90">
        <f>'增加值 (2001-2060, 2020RMB)'!BF36*$B$73</f>
        <v>193.81065209613212</v>
      </c>
      <c r="BG36" s="90">
        <f>'增加值 (2001-2060, 2020RMB)'!BG36*$B$73</f>
        <v>188.45207226524914</v>
      </c>
      <c r="BH36" s="90">
        <f>'增加值 (2001-2060, 2020RMB)'!BH36*$B$73</f>
        <v>183.1788527710782</v>
      </c>
      <c r="BI36" s="109">
        <f>'增加值 (2001-2060, 2020RMB)'!BI36*$B$73</f>
        <v>178.00533341842592</v>
      </c>
    </row>
    <row r="37" spans="1:61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f>'增加值 (2001-2060, 2020RMB)'!I37*$B$73</f>
        <v>538.98023258366788</v>
      </c>
      <c r="J37" s="20">
        <f>'增加值 (2001-2060, 2020RMB)'!J37*$B$73</f>
        <v>572.48796307215707</v>
      </c>
      <c r="K37" s="21">
        <f>'增加值 (2001-2060, 2020RMB)'!K37*$B$73</f>
        <v>653.24298216813247</v>
      </c>
      <c r="L37" s="19">
        <f>'增加值 (2001-2060, 2020RMB)'!L37*$B$73</f>
        <v>708.3464748598501</v>
      </c>
      <c r="M37" s="20">
        <f>'增加值 (2001-2060, 2020RMB)'!M37*$B$73</f>
        <v>742.44987001693801</v>
      </c>
      <c r="N37" s="20">
        <f>'增加值 (2001-2060, 2020RMB)'!N37*$B$73</f>
        <v>780.76539254799661</v>
      </c>
      <c r="O37" s="20">
        <f>'增加值 (2001-2060, 2020RMB)'!O37*$B$73</f>
        <v>812.91644925741389</v>
      </c>
      <c r="P37" s="20">
        <f>'增加值 (2001-2060, 2020RMB)'!P37*$B$73</f>
        <v>832.14628132368648</v>
      </c>
      <c r="Q37" s="19">
        <f>'增加值 (2001-2060, 2020RMB)'!Q37*$B$73</f>
        <v>873.79715493180709</v>
      </c>
      <c r="R37" s="20">
        <f>'增加值 (2001-2060, 2020RMB)'!R37*$B$73</f>
        <v>940.18779422073999</v>
      </c>
      <c r="S37" s="20">
        <f>'增加值 (2001-2060, 2020RMB)'!S37*$B$73</f>
        <v>966.10022318768188</v>
      </c>
      <c r="T37" s="20">
        <f>'增加值 (2001-2060, 2020RMB)'!T37*$B$73</f>
        <v>976.19296521477702</v>
      </c>
      <c r="U37" s="21">
        <f>'增加值 (2001-2060, 2020RMB)'!U37*$B$73</f>
        <v>961.33243098481523</v>
      </c>
      <c r="V37" s="20">
        <f>'增加值 (2001-2060, 2020RMB)'!V37*$B$73</f>
        <v>1063.9875770412123</v>
      </c>
      <c r="W37" s="20">
        <f>'增加值 (2001-2060, 2020RMB)'!W37*$B$73</f>
        <v>1061.3776196365975</v>
      </c>
      <c r="X37" s="90">
        <f>'增加值 (2001-2060, 2020RMB)'!X37*$B$73</f>
        <v>1065.6101958578815</v>
      </c>
      <c r="Y37" s="90">
        <f>'增加值 (2001-2060, 2020RMB)'!Y37*$B$73</f>
        <v>1071.2996164178057</v>
      </c>
      <c r="Z37" s="90">
        <f>'增加值 (2001-2060, 2020RMB)'!Z37*$B$73</f>
        <v>1078.0782102943454</v>
      </c>
      <c r="AA37" s="89">
        <f>'增加值 (2001-2060, 2020RMB)'!AA37*$B$73</f>
        <v>1085.5727169790566</v>
      </c>
      <c r="AB37" s="90">
        <f>'增加值 (2001-2060, 2020RMB)'!AB37*$B$73</f>
        <v>1093.4010841461411</v>
      </c>
      <c r="AC37" s="90">
        <f>'增加值 (2001-2060, 2020RMB)'!AC37*$B$73</f>
        <v>1101.1705931328911</v>
      </c>
      <c r="AD37" s="90">
        <f>'增加值 (2001-2060, 2020RMB)'!AD37*$B$73</f>
        <v>1108.47736775266</v>
      </c>
      <c r="AE37" s="101">
        <f>'增加值 (2001-2060, 2020RMB)'!AE37*$B$73</f>
        <v>1114.9073337968464</v>
      </c>
      <c r="AF37" s="90">
        <f>'增加值 (2001-2060, 2020RMB)'!AF37*$B$73</f>
        <v>1120.0733912589767</v>
      </c>
      <c r="AG37" s="90">
        <f>'增加值 (2001-2060, 2020RMB)'!AG37*$B$73</f>
        <v>1123.7244181990836</v>
      </c>
      <c r="AH37" s="90">
        <f>'增加值 (2001-2060, 2020RMB)'!AH37*$B$73</f>
        <v>1125.6467026372761</v>
      </c>
      <c r="AI37" s="90">
        <f>'增加值 (2001-2060, 2020RMB)'!AI37*$B$73</f>
        <v>1125.6325782734436</v>
      </c>
      <c r="AJ37" s="106">
        <f>'增加值 (2001-2060, 2020RMB)'!AJ37*$B$73</f>
        <v>1123.4837293475964</v>
      </c>
      <c r="AK37" s="89">
        <f>'增加值 (2001-2060, 2020RMB)'!AK37*$B$73</f>
        <v>1119.0647276050279</v>
      </c>
      <c r="AL37" s="90">
        <f>'增加值 (2001-2060, 2020RMB)'!AL37*$B$73</f>
        <v>1112.4542634692373</v>
      </c>
      <c r="AM37" s="90">
        <f>'增加值 (2001-2060, 2020RMB)'!AM37*$B$73</f>
        <v>1103.7921406557666</v>
      </c>
      <c r="AN37" s="90">
        <f>'增加值 (2001-2060, 2020RMB)'!AN37*$B$73</f>
        <v>1093.2267316154366</v>
      </c>
      <c r="AO37" s="101">
        <f>'增加值 (2001-2060, 2020RMB)'!AO37*$B$73</f>
        <v>1080.9127447974406</v>
      </c>
      <c r="AP37" s="90">
        <f>'增加值 (2001-2060, 2020RMB)'!AP37*$B$73</f>
        <v>1067.0090915365645</v>
      </c>
      <c r="AQ37" s="90">
        <f>'增加值 (2001-2060, 2020RMB)'!AQ37*$B$73</f>
        <v>1051.6768811301756</v>
      </c>
      <c r="AR37" s="90">
        <f>'增加值 (2001-2060, 2020RMB)'!AR37*$B$73</f>
        <v>1035.0775669254374</v>
      </c>
      <c r="AS37" s="90">
        <f>'增加值 (2001-2060, 2020RMB)'!AS37*$B$73</f>
        <v>1017.3712606057802</v>
      </c>
      <c r="AT37" s="90">
        <f>'增加值 (2001-2060, 2020RMB)'!AT37*$B$73</f>
        <v>998.71522649377994</v>
      </c>
      <c r="AU37" s="89">
        <f>'增加值 (2001-2060, 2020RMB)'!AU37*$B$73</f>
        <v>979.26256269157966</v>
      </c>
      <c r="AV37" s="90">
        <f>'增加值 (2001-2060, 2020RMB)'!AV37*$B$73</f>
        <v>959.16107134930917</v>
      </c>
      <c r="AW37" s="90">
        <f>'增加值 (2001-2060, 2020RMB)'!AW37*$B$73</f>
        <v>938.55231634808126</v>
      </c>
      <c r="AX37" s="90">
        <f>'增加值 (2001-2060, 2020RMB)'!AX37*$B$73</f>
        <v>917.57086324363013</v>
      </c>
      <c r="AY37" s="101">
        <f>'增加值 (2001-2060, 2020RMB)'!AY37*$B$73</f>
        <v>896.34369345400864</v>
      </c>
      <c r="AZ37" s="89">
        <f>'增加值 (2001-2060, 2020RMB)'!AZ37*$B$73</f>
        <v>874.98978238432005</v>
      </c>
      <c r="BA37" s="90">
        <f>'增加值 (2001-2060, 2020RMB)'!BA37*$B$73</f>
        <v>853.61982944202066</v>
      </c>
      <c r="BB37" s="90">
        <f>'增加值 (2001-2060, 2020RMB)'!BB37*$B$73</f>
        <v>832.33612667367288</v>
      </c>
      <c r="BC37" s="90">
        <f>'增加值 (2001-2060, 2020RMB)'!BC37*$B$73</f>
        <v>811.23255200405367</v>
      </c>
      <c r="BD37" s="101">
        <f>'增加值 (2001-2060, 2020RMB)'!BD37*$B$73</f>
        <v>790.39467273143987</v>
      </c>
      <c r="BE37" s="90">
        <f>'增加值 (2001-2060, 2020RMB)'!BE37*$B$73</f>
        <v>769.89994497386135</v>
      </c>
      <c r="BF37" s="90">
        <f>'增加值 (2001-2060, 2020RMB)'!BF37*$B$73</f>
        <v>749.81799511530767</v>
      </c>
      <c r="BG37" s="90">
        <f>'增加值 (2001-2060, 2020RMB)'!BG37*$B$73</f>
        <v>730.2109699131031</v>
      </c>
      <c r="BH37" s="90">
        <f>'增加值 (2001-2060, 2020RMB)'!BH37*$B$73</f>
        <v>711.13394274540588</v>
      </c>
      <c r="BI37" s="109">
        <f>'增加值 (2001-2060, 2020RMB)'!BI37*$B$73</f>
        <v>692.63536445245654</v>
      </c>
    </row>
    <row r="38" spans="1:61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f>'增加值 (2001-2060, 2020RMB)'!I38*$B$73</f>
        <v>969.86529677334454</v>
      </c>
      <c r="J38" s="20">
        <f>'增加值 (2001-2060, 2020RMB)'!J38*$B$73</f>
        <v>1054.5240750677958</v>
      </c>
      <c r="K38" s="21">
        <f>'增加值 (2001-2060, 2020RMB)'!K38*$B$73</f>
        <v>1231.9487832991067</v>
      </c>
      <c r="L38" s="19">
        <f>'增加值 (2001-2060, 2020RMB)'!L38*$B$73</f>
        <v>1401.566718147817</v>
      </c>
      <c r="M38" s="20">
        <f>'增加值 (2001-2060, 2020RMB)'!M38*$B$73</f>
        <v>1483.7223646090169</v>
      </c>
      <c r="N38" s="20">
        <f>'增加值 (2001-2060, 2020RMB)'!N38*$B$73</f>
        <v>1571.5684766320201</v>
      </c>
      <c r="O38" s="20">
        <f>'增加值 (2001-2060, 2020RMB)'!O38*$B$73</f>
        <v>1646.8308809364089</v>
      </c>
      <c r="P38" s="20">
        <f>'增加值 (2001-2060, 2020RMB)'!P38*$B$73</f>
        <v>1663.9142092848247</v>
      </c>
      <c r="Q38" s="19">
        <f>'增加值 (2001-2060, 2020RMB)'!Q38*$B$73</f>
        <v>1729.3353394650969</v>
      </c>
      <c r="R38" s="20">
        <f>'增加值 (2001-2060, 2020RMB)'!R38*$B$73</f>
        <v>1815.2175877512082</v>
      </c>
      <c r="S38" s="20">
        <f>'增加值 (2001-2060, 2020RMB)'!S38*$B$73</f>
        <v>1890.5503654260967</v>
      </c>
      <c r="T38" s="20">
        <f>'增加值 (2001-2060, 2020RMB)'!T38*$B$73</f>
        <v>1985.0357835637794</v>
      </c>
      <c r="U38" s="21">
        <f>'增加值 (2001-2060, 2020RMB)'!U38*$B$73</f>
        <v>1974.020219422028</v>
      </c>
      <c r="V38" s="20">
        <f>'增加值 (2001-2060, 2020RMB)'!V38*$B$73</f>
        <v>2219.755042611464</v>
      </c>
      <c r="W38" s="20">
        <f>'增加值 (2001-2060, 2020RMB)'!W38*$B$73</f>
        <v>2221.0746865680835</v>
      </c>
      <c r="X38" s="90">
        <f>'增加值 (2001-2060, 2020RMB)'!X38*$B$73</f>
        <v>2241.5401091382614</v>
      </c>
      <c r="Y38" s="90">
        <f>'增加值 (2001-2060, 2020RMB)'!Y38*$B$73</f>
        <v>2258.5981266998369</v>
      </c>
      <c r="Z38" s="90">
        <f>'增加值 (2001-2060, 2020RMB)'!Z38*$B$73</f>
        <v>2272.551984747</v>
      </c>
      <c r="AA38" s="89">
        <f>'增加值 (2001-2060, 2020RMB)'!AA38*$B$73</f>
        <v>2283.7282244934954</v>
      </c>
      <c r="AB38" s="90">
        <f>'增加值 (2001-2060, 2020RMB)'!AB38*$B$73</f>
        <v>2292.4720971303386</v>
      </c>
      <c r="AC38" s="90">
        <f>'增加值 (2001-2060, 2020RMB)'!AC38*$B$73</f>
        <v>2299.1434012596087</v>
      </c>
      <c r="AD38" s="90">
        <f>'增加值 (2001-2060, 2020RMB)'!AD38*$B$73</f>
        <v>2304.1128172670228</v>
      </c>
      <c r="AE38" s="101">
        <f>'增加值 (2001-2060, 2020RMB)'!AE38*$B$73</f>
        <v>2307.758795107457</v>
      </c>
      <c r="AF38" s="90">
        <f>'增加值 (2001-2060, 2020RMB)'!AF38*$B$73</f>
        <v>2310.2803881811546</v>
      </c>
      <c r="AG38" s="90">
        <f>'增加值 (2001-2060, 2020RMB)'!AG38*$B$73</f>
        <v>2311.1404496538562</v>
      </c>
      <c r="AH38" s="90">
        <f>'增加值 (2001-2060, 2020RMB)'!AH38*$B$73</f>
        <v>2309.619384732096</v>
      </c>
      <c r="AI38" s="90">
        <f>'增加值 (2001-2060, 2020RMB)'!AI38*$B$73</f>
        <v>2305.0055885819843</v>
      </c>
      <c r="AJ38" s="106">
        <f>'增加值 (2001-2060, 2020RMB)'!AJ38*$B$73</f>
        <v>2296.6039019891191</v>
      </c>
      <c r="AK38" s="89">
        <f>'增加值 (2001-2060, 2020RMB)'!AK38*$B$73</f>
        <v>2283.8937234636246</v>
      </c>
      <c r="AL38" s="90">
        <f>'增加值 (2001-2060, 2020RMB)'!AL38*$B$73</f>
        <v>2266.975168008772</v>
      </c>
      <c r="AM38" s="90">
        <f>'增加值 (2001-2060, 2020RMB)'!AM38*$B$73</f>
        <v>2246.1160195190287</v>
      </c>
      <c r="AN38" s="90">
        <f>'增加值 (2001-2060, 2020RMB)'!AN38*$B$73</f>
        <v>2221.5987834145903</v>
      </c>
      <c r="AO38" s="101">
        <f>'增加值 (2001-2060, 2020RMB)'!AO38*$B$73</f>
        <v>2193.7168184283919</v>
      </c>
      <c r="AP38" s="90">
        <f>'增加值 (2001-2060, 2020RMB)'!AP38*$B$73</f>
        <v>2162.7706336360575</v>
      </c>
      <c r="AQ38" s="90">
        <f>'增加值 (2001-2060, 2020RMB)'!AQ38*$B$73</f>
        <v>2129.0643966458715</v>
      </c>
      <c r="AR38" s="90">
        <f>'增加值 (2001-2060, 2020RMB)'!AR38*$B$73</f>
        <v>2092.902690141344</v>
      </c>
      <c r="AS38" s="90">
        <f>'增加值 (2001-2060, 2020RMB)'!AS38*$B$73</f>
        <v>2054.5875453644603</v>
      </c>
      <c r="AT38" s="90">
        <f>'增加值 (2001-2060, 2020RMB)'!AT38*$B$73</f>
        <v>2014.4157728533783</v>
      </c>
      <c r="AU38" s="89">
        <f>'增加值 (2001-2060, 2020RMB)'!AU38*$B$73</f>
        <v>1972.6766029773917</v>
      </c>
      <c r="AV38" s="90">
        <f>'增加值 (2001-2060, 2020RMB)'!AV38*$B$73</f>
        <v>1929.6496416796435</v>
      </c>
      <c r="AW38" s="90">
        <f>'增加值 (2001-2060, 2020RMB)'!AW38*$B$73</f>
        <v>1885.6031404444957</v>
      </c>
      <c r="AX38" s="90">
        <f>'增加值 (2001-2060, 2020RMB)'!AX38*$B$73</f>
        <v>1840.7925739152213</v>
      </c>
      <c r="AY38" s="101">
        <f>'增加值 (2001-2060, 2020RMB)'!AY38*$B$73</f>
        <v>1795.4595138328154</v>
      </c>
      <c r="AZ38" s="89">
        <f>'增加值 (2001-2060, 2020RMB)'!AZ38*$B$73</f>
        <v>1749.8307840533155</v>
      </c>
      <c r="BA38" s="90">
        <f>'增加值 (2001-2060, 2020RMB)'!BA38*$B$73</f>
        <v>1704.117878310258</v>
      </c>
      <c r="BB38" s="90">
        <f>'增加值 (2001-2060, 2020RMB)'!BB38*$B$73</f>
        <v>1658.5166200826493</v>
      </c>
      <c r="BC38" s="90">
        <f>'增加值 (2001-2060, 2020RMB)'!BC38*$B$73</f>
        <v>1613.2070423534444</v>
      </c>
      <c r="BD38" s="101">
        <f>'增加值 (2001-2060, 2020RMB)'!BD38*$B$73</f>
        <v>1568.3534641334818</v>
      </c>
      <c r="BE38" s="90">
        <f>'增加值 (2001-2060, 2020RMB)'!BE38*$B$73</f>
        <v>1524.1047403085215</v>
      </c>
      <c r="BF38" s="90">
        <f>'增加值 (2001-2060, 2020RMB)'!BF38*$B$73</f>
        <v>1480.5946615650157</v>
      </c>
      <c r="BG38" s="90">
        <f>'增加值 (2001-2060, 2020RMB)'!BG38*$B$73</f>
        <v>1437.942481785361</v>
      </c>
      <c r="BH38" s="90">
        <f>'增加值 (2001-2060, 2020RMB)'!BH38*$B$73</f>
        <v>1396.2535512978866</v>
      </c>
      <c r="BI38" s="109">
        <f>'增加值 (2001-2060, 2020RMB)'!BI38*$B$73</f>
        <v>1355.6200356472643</v>
      </c>
    </row>
    <row r="39" spans="1:61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f>'增加值 (2001-2060, 2020RMB)'!I39*$B$73</f>
        <v>1827.2046823458188</v>
      </c>
      <c r="J39" s="20">
        <f>'增加值 (2001-2060, 2020RMB)'!J39*$B$73</f>
        <v>1903.5599257682049</v>
      </c>
      <c r="K39" s="21">
        <f>'增加值 (2001-2060, 2020RMB)'!K39*$B$73</f>
        <v>2063.0097206545961</v>
      </c>
      <c r="L39" s="19">
        <f>'增加值 (2001-2060, 2020RMB)'!L39*$B$73</f>
        <v>2174.5896799921866</v>
      </c>
      <c r="M39" s="20">
        <f>'增加值 (2001-2060, 2020RMB)'!M39*$B$73</f>
        <v>2266.8642920931907</v>
      </c>
      <c r="N39" s="20">
        <f>'增加值 (2001-2060, 2020RMB)'!N39*$B$73</f>
        <v>2366.6226269511294</v>
      </c>
      <c r="O39" s="20">
        <f>'增加值 (2001-2060, 2020RMB)'!O39*$B$73</f>
        <v>2409.6227812801817</v>
      </c>
      <c r="P39" s="20">
        <f>'增加值 (2001-2060, 2020RMB)'!P39*$B$73</f>
        <v>2409.4725996736911</v>
      </c>
      <c r="Q39" s="19">
        <f>'增加值 (2001-2060, 2020RMB)'!Q39*$B$73</f>
        <v>2311.3950984161133</v>
      </c>
      <c r="R39" s="20">
        <f>'增加值 (2001-2060, 2020RMB)'!R39*$B$73</f>
        <v>2346.6365941352378</v>
      </c>
      <c r="S39" s="20">
        <f>'增加值 (2001-2060, 2020RMB)'!S39*$B$73</f>
        <v>2500.100649793872</v>
      </c>
      <c r="T39" s="20">
        <f>'增加值 (2001-2060, 2020RMB)'!T39*$B$73</f>
        <v>2649.1551506544774</v>
      </c>
      <c r="U39" s="21">
        <f>'增加值 (2001-2060, 2020RMB)'!U39*$B$73</f>
        <v>2734.3994336154205</v>
      </c>
      <c r="V39" s="20">
        <f>'增加值 (2001-2060, 2020RMB)'!V39*$B$73</f>
        <v>2881.1917792140471</v>
      </c>
      <c r="W39" s="20">
        <f>'增加值 (2001-2060, 2020RMB)'!W39*$B$73</f>
        <v>2961.9284293936989</v>
      </c>
      <c r="X39" s="90">
        <f>'增加值 (2001-2060, 2020RMB)'!X39*$B$73</f>
        <v>2988.3953878798466</v>
      </c>
      <c r="Y39" s="90">
        <f>'增加值 (2001-2060, 2020RMB)'!Y39*$B$73</f>
        <v>3010.4501188918771</v>
      </c>
      <c r="Z39" s="90">
        <f>'增加值 (2001-2060, 2020RMB)'!Z39*$B$73</f>
        <v>3028.4809873792756</v>
      </c>
      <c r="AA39" s="89">
        <f>'增加值 (2001-2060, 2020RMB)'!AA39*$B$73</f>
        <v>3042.905477383154</v>
      </c>
      <c r="AB39" s="90">
        <f>'增加值 (2001-2060, 2020RMB)'!AB39*$B$73</f>
        <v>3054.1644921212051</v>
      </c>
      <c r="AC39" s="90">
        <f>'增加值 (2001-2060, 2020RMB)'!AC39*$B$73</f>
        <v>3062.7171724848631</v>
      </c>
      <c r="AD39" s="90">
        <f>'增加值 (2001-2060, 2020RMB)'!AD39*$B$73</f>
        <v>3069.0363227482189</v>
      </c>
      <c r="AE39" s="101">
        <f>'增加值 (2001-2060, 2020RMB)'!AE39*$B$73</f>
        <v>3073.6045116616483</v>
      </c>
      <c r="AF39" s="90">
        <f>'增加值 (2001-2060, 2020RMB)'!AF39*$B$73</f>
        <v>3076.669254296613</v>
      </c>
      <c r="AG39" s="90">
        <f>'增加值 (2001-2060, 2020RMB)'!AG39*$B$73</f>
        <v>3077.5146016318704</v>
      </c>
      <c r="AH39" s="90">
        <f>'增加值 (2001-2060, 2020RMB)'!AH39*$B$73</f>
        <v>3075.1862369749938</v>
      </c>
      <c r="AI39" s="90">
        <f>'增加值 (2001-2060, 2020RMB)'!AI39*$B$73</f>
        <v>3068.7408706643696</v>
      </c>
      <c r="AJ39" s="106">
        <f>'增加值 (2001-2060, 2020RMB)'!AJ39*$B$73</f>
        <v>3057.2574583352357</v>
      </c>
      <c r="AK39" s="89">
        <f>'增加值 (2001-2060, 2020RMB)'!AK39*$B$73</f>
        <v>3040.0471176447695</v>
      </c>
      <c r="AL39" s="90">
        <f>'增加值 (2001-2060, 2020RMB)'!AL39*$B$73</f>
        <v>3017.2453556781206</v>
      </c>
      <c r="AM39" s="90">
        <f>'增加值 (2001-2060, 2020RMB)'!AM39*$B$73</f>
        <v>2989.2102050579037</v>
      </c>
      <c r="AN39" s="90">
        <f>'增加值 (2001-2060, 2020RMB)'!AN39*$B$73</f>
        <v>2956.3190789771638</v>
      </c>
      <c r="AO39" s="101">
        <f>'增加值 (2001-2060, 2020RMB)'!AO39*$B$73</f>
        <v>2918.9636198375815</v>
      </c>
      <c r="AP39" s="90">
        <f>'增加值 (2001-2060, 2020RMB)'!AP39*$B$73</f>
        <v>2877.5447716164867</v>
      </c>
      <c r="AQ39" s="90">
        <f>'增加值 (2001-2060, 2020RMB)'!AQ39*$B$73</f>
        <v>2832.4681367024627</v>
      </c>
      <c r="AR39" s="90">
        <f>'增加值 (2001-2060, 2020RMB)'!AR39*$B$73</f>
        <v>2784.1396662885904</v>
      </c>
      <c r="AS39" s="90">
        <f>'增加值 (2001-2060, 2020RMB)'!AS39*$B$73</f>
        <v>2732.9617219365182</v>
      </c>
      <c r="AT39" s="90">
        <f>'增加值 (2001-2060, 2020RMB)'!AT39*$B$73</f>
        <v>2679.329534902352</v>
      </c>
      <c r="AU39" s="89">
        <f>'增加值 (2001-2060, 2020RMB)'!AU39*$B$73</f>
        <v>2623.6280794753084</v>
      </c>
      <c r="AV39" s="90">
        <f>'增加值 (2001-2060, 2020RMB)'!AV39*$B$73</f>
        <v>2566.2293671015582</v>
      </c>
      <c r="AW39" s="90">
        <f>'增加值 (2001-2060, 2020RMB)'!AW39*$B$73</f>
        <v>2507.4901595785923</v>
      </c>
      <c r="AX39" s="90">
        <f>'增加值 (2001-2060, 2020RMB)'!AX39*$B$73</f>
        <v>2447.7500921942019</v>
      </c>
      <c r="AY39" s="101">
        <f>'增加值 (2001-2060, 2020RMB)'!AY39*$B$73</f>
        <v>2387.3301913912087</v>
      </c>
      <c r="AZ39" s="89">
        <f>'增加值 (2001-2060, 2020RMB)'!AZ39*$B$73</f>
        <v>2326.5317663695582</v>
      </c>
      <c r="BA39" s="90">
        <f>'增加值 (2001-2060, 2020RMB)'!BA39*$B$73</f>
        <v>2265.6356499652129</v>
      </c>
      <c r="BB39" s="90">
        <f>'增加值 (2001-2060, 2020RMB)'!BB39*$B$73</f>
        <v>2204.9017611177105</v>
      </c>
      <c r="BC39" s="90">
        <f>'增加值 (2001-2060, 2020RMB)'!BC39*$B$73</f>
        <v>2144.5689591831283</v>
      </c>
      <c r="BD39" s="101">
        <f>'增加值 (2001-2060, 2020RMB)'!BD39*$B$73</f>
        <v>2084.8551591776868</v>
      </c>
      <c r="BE39" s="90">
        <f>'增加值 (2001-2060, 2020RMB)'!BE39*$B$73</f>
        <v>2025.9576766527528</v>
      </c>
      <c r="BF39" s="90">
        <f>'增加值 (2001-2060, 2020RMB)'!BF39*$B$73</f>
        <v>1968.0537712000714</v>
      </c>
      <c r="BG39" s="90">
        <f>'增加值 (2001-2060, 2020RMB)'!BG39*$B$73</f>
        <v>1911.3013584625719</v>
      </c>
      <c r="BH39" s="90">
        <f>'增加值 (2001-2060, 2020RMB)'!BH39*$B$73</f>
        <v>1855.8398618774647</v>
      </c>
      <c r="BI39" s="109">
        <f>'增加值 (2001-2060, 2020RMB)'!BI39*$B$73</f>
        <v>1801.7911771063063</v>
      </c>
    </row>
    <row r="40" spans="1:61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f>'增加值 (2001-2060, 2020RMB)'!I40*$B$73</f>
        <v>769.84623647460489</v>
      </c>
      <c r="J40" s="20">
        <f>'增加值 (2001-2060, 2020RMB)'!J40*$B$73</f>
        <v>823.17988973695537</v>
      </c>
      <c r="K40" s="21">
        <f>'增加值 (2001-2060, 2020RMB)'!K40*$B$73</f>
        <v>904.92316398079311</v>
      </c>
      <c r="L40" s="19">
        <f>'增加值 (2001-2060, 2020RMB)'!L40*$B$73</f>
        <v>987.77824611982282</v>
      </c>
      <c r="M40" s="20">
        <f>'增加值 (2001-2060, 2020RMB)'!M40*$B$73</f>
        <v>1064.486024295582</v>
      </c>
      <c r="N40" s="20">
        <f>'增加值 (2001-2060, 2020RMB)'!N40*$B$73</f>
        <v>1158.858418673603</v>
      </c>
      <c r="O40" s="20">
        <f>'增加值 (2001-2060, 2020RMB)'!O40*$B$73</f>
        <v>1248.7980808928194</v>
      </c>
      <c r="P40" s="20">
        <f>'增加值 (2001-2060, 2020RMB)'!P40*$B$73</f>
        <v>1318.6201486481377</v>
      </c>
      <c r="Q40" s="19">
        <f>'增加值 (2001-2060, 2020RMB)'!Q40*$B$73</f>
        <v>1366.6046763825284</v>
      </c>
      <c r="R40" s="20">
        <f>'增加值 (2001-2060, 2020RMB)'!R40*$B$73</f>
        <v>1404.0405883388651</v>
      </c>
      <c r="S40" s="20">
        <f>'增加值 (2001-2060, 2020RMB)'!S40*$B$73</f>
        <v>1507.0452757650496</v>
      </c>
      <c r="T40" s="20">
        <f>'增加值 (2001-2060, 2020RMB)'!T40*$B$73</f>
        <v>1586.7231090068576</v>
      </c>
      <c r="U40" s="21">
        <f>'增加值 (2001-2060, 2020RMB)'!U40*$B$73</f>
        <v>1573.3130836256189</v>
      </c>
      <c r="V40" s="20">
        <f>'增加值 (2001-2060, 2020RMB)'!V40*$B$73</f>
        <v>1702.0033119290772</v>
      </c>
      <c r="W40" s="20">
        <f>'增加值 (2001-2060, 2020RMB)'!W40*$B$73</f>
        <v>1818.8547619421211</v>
      </c>
      <c r="X40" s="90">
        <f>'增加值 (2001-2060, 2020RMB)'!X40*$B$73</f>
        <v>1843.5878255268944</v>
      </c>
      <c r="Y40" s="90">
        <f>'增加值 (2001-2060, 2020RMB)'!Y40*$B$73</f>
        <v>1864.2862583552314</v>
      </c>
      <c r="Z40" s="90">
        <f>'增加值 (2001-2060, 2020RMB)'!Z40*$B$73</f>
        <v>1881.3396615829304</v>
      </c>
      <c r="AA40" s="89">
        <f>'增加值 (2001-2060, 2020RMB)'!AA40*$B$73</f>
        <v>1895.1804120201637</v>
      </c>
      <c r="AB40" s="90">
        <f>'增加值 (2001-2060, 2020RMB)'!AB40*$B$73</f>
        <v>1906.2749061626596</v>
      </c>
      <c r="AC40" s="90">
        <f>'增加值 (2001-2060, 2020RMB)'!AC40*$B$73</f>
        <v>1915.1156977529547</v>
      </c>
      <c r="AD40" s="90">
        <f>'增加值 (2001-2060, 2020RMB)'!AD40*$B$73</f>
        <v>1922.2147417344686</v>
      </c>
      <c r="AE40" s="101">
        <f>'增加值 (2001-2060, 2020RMB)'!AE40*$B$73</f>
        <v>1928.0979040420941</v>
      </c>
      <c r="AF40" s="90">
        <f>'增加值 (2001-2060, 2020RMB)'!AF40*$B$73</f>
        <v>1933.104380546092</v>
      </c>
      <c r="AG40" s="90">
        <f>'增加值 (2001-2060, 2020RMB)'!AG40*$B$73</f>
        <v>1936.7910737062957</v>
      </c>
      <c r="AH40" s="90">
        <f>'增加值 (2001-2060, 2020RMB)'!AH40*$B$73</f>
        <v>1938.5167551515895</v>
      </c>
      <c r="AI40" s="90">
        <f>'增加值 (2001-2060, 2020RMB)'!AI40*$B$73</f>
        <v>1937.6428252432747</v>
      </c>
      <c r="AJ40" s="106">
        <f>'增加值 (2001-2060, 2020RMB)'!AJ40*$B$73</f>
        <v>1933.5407890318618</v>
      </c>
      <c r="AK40" s="89">
        <f>'增加值 (2001-2060, 2020RMB)'!AK40*$B$73</f>
        <v>1925.7309542506798</v>
      </c>
      <c r="AL40" s="90">
        <f>'增加值 (2001-2060, 2020RMB)'!AL40*$B$73</f>
        <v>1914.2750257957935</v>
      </c>
      <c r="AM40" s="90">
        <f>'增加值 (2001-2060, 2020RMB)'!AM40*$B$73</f>
        <v>1899.382526969734</v>
      </c>
      <c r="AN40" s="90">
        <f>'增加值 (2001-2060, 2020RMB)'!AN40*$B$73</f>
        <v>1881.2774954896631</v>
      </c>
      <c r="AO40" s="101">
        <f>'增加值 (2001-2060, 2020RMB)'!AO40*$B$73</f>
        <v>1860.19525820326</v>
      </c>
      <c r="AP40" s="90">
        <f>'增加值 (2001-2060, 2020RMB)'!AP40*$B$73</f>
        <v>1836.3793070502998</v>
      </c>
      <c r="AQ40" s="90">
        <f>'增加值 (2001-2060, 2020RMB)'!AQ40*$B$73</f>
        <v>1810.0783185352</v>
      </c>
      <c r="AR40" s="90">
        <f>'增加值 (2001-2060, 2020RMB)'!AR40*$B$73</f>
        <v>1781.5433520398681</v>
      </c>
      <c r="AS40" s="90">
        <f>'增加值 (2001-2060, 2020RMB)'!AS40*$B$73</f>
        <v>1751.0252553204073</v>
      </c>
      <c r="AT40" s="90">
        <f>'增加值 (2001-2060, 2020RMB)'!AT40*$B$73</f>
        <v>1718.7722986831279</v>
      </c>
      <c r="AU40" s="89">
        <f>'增加值 (2001-2060, 2020RMB)'!AU40*$B$73</f>
        <v>1685.0280527846414</v>
      </c>
      <c r="AV40" s="90">
        <f>'增加值 (2001-2060, 2020RMB)'!AV40*$B$73</f>
        <v>1650.0295188778625</v>
      </c>
      <c r="AW40" s="90">
        <f>'增加值 (2001-2060, 2020RMB)'!AW40*$B$73</f>
        <v>1614.0055147317285</v>
      </c>
      <c r="AX40" s="90">
        <f>'增加值 (2001-2060, 2020RMB)'!AX40*$B$73</f>
        <v>1577.1753144598817</v>
      </c>
      <c r="AY40" s="101">
        <f>'增加值 (2001-2060, 2020RMB)'!AY40*$B$73</f>
        <v>1539.7475361480303</v>
      </c>
      <c r="AZ40" s="89">
        <f>'增加值 (2001-2060, 2020RMB)'!AZ40*$B$73</f>
        <v>1501.9192674932112</v>
      </c>
      <c r="BA40" s="90">
        <f>'增加值 (2001-2060, 2020RMB)'!BA40*$B$73</f>
        <v>1463.8754166602951</v>
      </c>
      <c r="BB40" s="90">
        <f>'增加值 (2001-2060, 2020RMB)'!BB40*$B$73</f>
        <v>1425.7882732043615</v>
      </c>
      <c r="BC40" s="90">
        <f>'增加值 (2001-2060, 2020RMB)'!BC40*$B$73</f>
        <v>1387.8172621687813</v>
      </c>
      <c r="BD40" s="101">
        <f>'增加值 (2001-2060, 2020RMB)'!BD40*$B$73</f>
        <v>1350.1088733034412</v>
      </c>
      <c r="BE40" s="90">
        <f>'增加值 (2001-2060, 2020RMB)'!BE40*$B$73</f>
        <v>1312.7967467029466</v>
      </c>
      <c r="BF40" s="90">
        <f>'增加值 (2001-2060, 2020RMB)'!BF40*$B$73</f>
        <v>1276.0018959820161</v>
      </c>
      <c r="BG40" s="90">
        <f>'增加值 (2001-2060, 2020RMB)'!BG40*$B$73</f>
        <v>1239.8330503231655</v>
      </c>
      <c r="BH40" s="90">
        <f>'增加值 (2001-2060, 2020RMB)'!BH40*$B$73</f>
        <v>1204.3870972882587</v>
      </c>
      <c r="BI40" s="109">
        <f>'增加值 (2001-2060, 2020RMB)'!BI40*$B$73</f>
        <v>1169.7496091195185</v>
      </c>
    </row>
    <row r="41" spans="1:61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f>'增加值 (2001-2060, 2020RMB)'!I41*$B$73</f>
        <v>825.35203982323162</v>
      </c>
      <c r="J41" s="20">
        <f>'增加值 (2001-2060, 2020RMB)'!J41*$B$73</f>
        <v>860.62424293328729</v>
      </c>
      <c r="K41" s="21">
        <f>'增加值 (2001-2060, 2020RMB)'!K41*$B$73</f>
        <v>994.5601714893121</v>
      </c>
      <c r="L41" s="19">
        <f>'增加值 (2001-2060, 2020RMB)'!L41*$B$73</f>
        <v>1125.7598991764332</v>
      </c>
      <c r="M41" s="20">
        <f>'增加值 (2001-2060, 2020RMB)'!M41*$B$73</f>
        <v>1202.4657387811435</v>
      </c>
      <c r="N41" s="20">
        <f>'增加值 (2001-2060, 2020RMB)'!N41*$B$73</f>
        <v>1283.9402712372946</v>
      </c>
      <c r="O41" s="20">
        <f>'增加值 (2001-2060, 2020RMB)'!O41*$B$73</f>
        <v>1373.7400086801558</v>
      </c>
      <c r="P41" s="20">
        <f>'增加值 (2001-2060, 2020RMB)'!P41*$B$73</f>
        <v>1399.7199374534182</v>
      </c>
      <c r="Q41" s="19">
        <f>'增加值 (2001-2060, 2020RMB)'!Q41*$B$73</f>
        <v>1477.9749989056179</v>
      </c>
      <c r="R41" s="20">
        <f>'增加值 (2001-2060, 2020RMB)'!R41*$B$73</f>
        <v>1594.7588110067843</v>
      </c>
      <c r="S41" s="20">
        <f>'增加值 (2001-2060, 2020RMB)'!S41*$B$73</f>
        <v>1648.2392055673163</v>
      </c>
      <c r="T41" s="20">
        <f>'增加值 (2001-2060, 2020RMB)'!T41*$B$73</f>
        <v>1681.3499544976607</v>
      </c>
      <c r="U41" s="21">
        <f>'增加值 (2001-2060, 2020RMB)'!U41*$B$73</f>
        <v>1711.0551127601359</v>
      </c>
      <c r="V41" s="20">
        <f>'增加值 (2001-2060, 2020RMB)'!V41*$B$73</f>
        <v>2066.5774519172019</v>
      </c>
      <c r="W41" s="20">
        <f>'增加值 (2001-2060, 2020RMB)'!W41*$B$73</f>
        <v>2090.8982819264734</v>
      </c>
      <c r="X41" s="90">
        <f>'增加值 (2001-2060, 2020RMB)'!X41*$B$73</f>
        <v>2160.772142024246</v>
      </c>
      <c r="Y41" s="90">
        <f>'增加值 (2001-2060, 2020RMB)'!Y41*$B$73</f>
        <v>2237.4273655163893</v>
      </c>
      <c r="Z41" s="90">
        <f>'增加值 (2001-2060, 2020RMB)'!Z41*$B$73</f>
        <v>2320.1845963129826</v>
      </c>
      <c r="AA41" s="89">
        <f>'增加值 (2001-2060, 2020RMB)'!AA41*$B$73</f>
        <v>2408.2383378373524</v>
      </c>
      <c r="AB41" s="90">
        <f>'增加值 (2001-2060, 2020RMB)'!AB41*$B$73</f>
        <v>2500.6300074699416</v>
      </c>
      <c r="AC41" s="90">
        <f>'增加值 (2001-2060, 2020RMB)'!AC41*$B$73</f>
        <v>2596.2240562486863</v>
      </c>
      <c r="AD41" s="90">
        <f>'增加值 (2001-2060, 2020RMB)'!AD41*$B$73</f>
        <v>2693.6885031834822</v>
      </c>
      <c r="AE41" s="101">
        <f>'增加值 (2001-2060, 2020RMB)'!AE41*$B$73</f>
        <v>2791.4815399140475</v>
      </c>
      <c r="AF41" s="90">
        <f>'增加值 (2001-2060, 2020RMB)'!AF41*$B$73</f>
        <v>2887.9576526782353</v>
      </c>
      <c r="AG41" s="90">
        <f>'增加值 (2001-2060, 2020RMB)'!AG41*$B$73</f>
        <v>2981.7356986227819</v>
      </c>
      <c r="AH41" s="90">
        <f>'增加值 (2001-2060, 2020RMB)'!AH41*$B$73</f>
        <v>3071.4263027907373</v>
      </c>
      <c r="AI41" s="90">
        <f>'增加值 (2001-2060, 2020RMB)'!AI41*$B$73</f>
        <v>3155.5426150063695</v>
      </c>
      <c r="AJ41" s="106">
        <f>'增加值 (2001-2060, 2020RMB)'!AJ41*$B$73</f>
        <v>3232.5210576311961</v>
      </c>
      <c r="AK41" s="89">
        <f>'增加值 (2001-2060, 2020RMB)'!AK41*$B$73</f>
        <v>3301.0013589547721</v>
      </c>
      <c r="AL41" s="90">
        <f>'增加值 (2001-2060, 2020RMB)'!AL41*$B$73</f>
        <v>3360.6549917888001</v>
      </c>
      <c r="AM41" s="90">
        <f>'增加值 (2001-2060, 2020RMB)'!AM41*$B$73</f>
        <v>3411.5064719203388</v>
      </c>
      <c r="AN41" s="90">
        <f>'增加值 (2001-2060, 2020RMB)'!AN41*$B$73</f>
        <v>3453.6845670554394</v>
      </c>
      <c r="AO41" s="101">
        <f>'增加值 (2001-2060, 2020RMB)'!AO41*$B$73</f>
        <v>3487.4139315387793</v>
      </c>
      <c r="AP41" s="90">
        <f>'增加值 (2001-2060, 2020RMB)'!AP41*$B$73</f>
        <v>3513.0055941731557</v>
      </c>
      <c r="AQ41" s="90">
        <f>'增加值 (2001-2060, 2020RMB)'!AQ41*$B$73</f>
        <v>3530.8466576880091</v>
      </c>
      <c r="AR41" s="90">
        <f>'增加值 (2001-2060, 2020RMB)'!AR41*$B$73</f>
        <v>3541.3895531704948</v>
      </c>
      <c r="AS41" s="90">
        <f>'增加值 (2001-2060, 2020RMB)'!AS41*$B$73</f>
        <v>3545.1411677307801</v>
      </c>
      <c r="AT41" s="90">
        <f>'增加值 (2001-2060, 2020RMB)'!AT41*$B$73</f>
        <v>3542.6521311977249</v>
      </c>
      <c r="AU41" s="89">
        <f>'增加值 (2001-2060, 2020RMB)'!AU41*$B$73</f>
        <v>3534.5065100891547</v>
      </c>
      <c r="AV41" s="90">
        <f>'增加值 (2001-2060, 2020RMB)'!AV41*$B$73</f>
        <v>3521.3121167033187</v>
      </c>
      <c r="AW41" s="90">
        <f>'增加值 (2001-2060, 2020RMB)'!AW41*$B$73</f>
        <v>3503.6915999461926</v>
      </c>
      <c r="AX41" s="90">
        <f>'增加值 (2001-2060, 2020RMB)'!AX41*$B$73</f>
        <v>3482.2744441819341</v>
      </c>
      <c r="AY41" s="101">
        <f>'增加值 (2001-2060, 2020RMB)'!AY41*$B$73</f>
        <v>3457.6899643985344</v>
      </c>
      <c r="AZ41" s="89">
        <f>'增加值 (2001-2060, 2020RMB)'!AZ41*$B$73</f>
        <v>3430.5613514258862</v>
      </c>
      <c r="BA41" s="90">
        <f>'增加值 (2001-2060, 2020RMB)'!BA41*$B$73</f>
        <v>3401.5007906251776</v>
      </c>
      <c r="BB41" s="90">
        <f>'增加值 (2001-2060, 2020RMB)'!BB41*$B$73</f>
        <v>3371.1056518951468</v>
      </c>
      <c r="BC41" s="90">
        <f>'增加值 (2001-2060, 2020RMB)'!BC41*$B$73</f>
        <v>3339.9557282666556</v>
      </c>
      <c r="BD41" s="101">
        <f>'增加值 (2001-2060, 2020RMB)'!BD41*$B$73</f>
        <v>3308.611484825245</v>
      </c>
      <c r="BE41" s="90">
        <f>'增加值 (2001-2060, 2020RMB)'!BE41*$B$73</f>
        <v>3277.6132690883055</v>
      </c>
      <c r="BF41" s="90">
        <f>'增加值 (2001-2060, 2020RMB)'!BF41*$B$73</f>
        <v>3247.4814280243604</v>
      </c>
      <c r="BG41" s="90">
        <f>'增加值 (2001-2060, 2020RMB)'!BG41*$B$73</f>
        <v>3218.7172753164791</v>
      </c>
      <c r="BH41" s="90">
        <f>'增加值 (2001-2060, 2020RMB)'!BH41*$B$73</f>
        <v>3191.804854885142</v>
      </c>
      <c r="BI41" s="109">
        <f>'增加值 (2001-2060, 2020RMB)'!BI41*$B$73</f>
        <v>3167.2134527457383</v>
      </c>
    </row>
    <row r="42" spans="1:61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f>'增加值 (2001-2060, 2020RMB)'!I42*$B$73</f>
        <v>957.48912910180843</v>
      </c>
      <c r="J42" s="20">
        <f>'增加值 (2001-2060, 2020RMB)'!J42*$B$73</f>
        <v>1007.4847756088832</v>
      </c>
      <c r="K42" s="21">
        <f>'增加值 (2001-2060, 2020RMB)'!K42*$B$73</f>
        <v>1190.6924414462044</v>
      </c>
      <c r="L42" s="19">
        <f>'增加值 (2001-2060, 2020RMB)'!L42*$B$73</f>
        <v>1343.1889625419417</v>
      </c>
      <c r="M42" s="20">
        <f>'增加值 (2001-2060, 2020RMB)'!M42*$B$73</f>
        <v>1386.1188711991374</v>
      </c>
      <c r="N42" s="20">
        <f>'增加值 (2001-2060, 2020RMB)'!N42*$B$73</f>
        <v>1437.9007595991709</v>
      </c>
      <c r="O42" s="20">
        <f>'增加值 (2001-2060, 2020RMB)'!O42*$B$73</f>
        <v>1504.0047055880304</v>
      </c>
      <c r="P42" s="20">
        <f>'增加值 (2001-2060, 2020RMB)'!P42*$B$73</f>
        <v>1468.2394548218376</v>
      </c>
      <c r="Q42" s="19">
        <f>'增加值 (2001-2060, 2020RMB)'!Q42*$B$73</f>
        <v>1517.3701234262553</v>
      </c>
      <c r="R42" s="20">
        <f>'增加值 (2001-2060, 2020RMB)'!R42*$B$73</f>
        <v>1697.1667887148062</v>
      </c>
      <c r="S42" s="20">
        <f>'增加值 (2001-2060, 2020RMB)'!S42*$B$73</f>
        <v>1811.5369065308341</v>
      </c>
      <c r="T42" s="20">
        <f>'增加值 (2001-2060, 2020RMB)'!T42*$B$73</f>
        <v>1821.7287125216355</v>
      </c>
      <c r="U42" s="21">
        <f>'增加值 (2001-2060, 2020RMB)'!U42*$B$73</f>
        <v>1852.1517291354023</v>
      </c>
      <c r="V42" s="20">
        <f>'增加值 (2001-2060, 2020RMB)'!V42*$B$73</f>
        <v>2167.5672054910888</v>
      </c>
      <c r="W42" s="20">
        <f>'增加值 (2001-2060, 2020RMB)'!W42*$B$73</f>
        <v>2175.4614760435193</v>
      </c>
      <c r="X42" s="90">
        <f>'增加值 (2001-2060, 2020RMB)'!X42*$B$73</f>
        <v>2252.6002717919946</v>
      </c>
      <c r="Y42" s="90">
        <f>'增加值 (2001-2060, 2020RMB)'!Y42*$B$73</f>
        <v>2336.9774955684106</v>
      </c>
      <c r="Z42" s="90">
        <f>'增加值 (2001-2060, 2020RMB)'!Z42*$B$73</f>
        <v>2427.9173091785183</v>
      </c>
      <c r="AA42" s="89">
        <f>'增加值 (2001-2060, 2020RMB)'!AA42*$B$73</f>
        <v>2524.6054489494404</v>
      </c>
      <c r="AB42" s="90">
        <f>'增加值 (2001-2060, 2020RMB)'!AB42*$B$73</f>
        <v>2626.0603472959519</v>
      </c>
      <c r="AC42" s="90">
        <f>'增加值 (2001-2060, 2020RMB)'!AC42*$B$73</f>
        <v>2731.1072281749439</v>
      </c>
      <c r="AD42" s="90">
        <f>'增加值 (2001-2060, 2020RMB)'!AD42*$B$73</f>
        <v>2838.3566423910434</v>
      </c>
      <c r="AE42" s="101">
        <f>'增加值 (2001-2060, 2020RMB)'!AE42*$B$73</f>
        <v>2946.1892416609958</v>
      </c>
      <c r="AF42" s="90">
        <f>'增加值 (2001-2060, 2020RMB)'!AF42*$B$73</f>
        <v>3052.8630099063307</v>
      </c>
      <c r="AG42" s="90">
        <f>'增加值 (2001-2060, 2020RMB)'!AG42*$B$73</f>
        <v>3156.8903248396632</v>
      </c>
      <c r="AH42" s="90">
        <f>'增加值 (2001-2060, 2020RMB)'!AH42*$B$73</f>
        <v>3256.7611474823102</v>
      </c>
      <c r="AI42" s="90">
        <f>'增加值 (2001-2060, 2020RMB)'!AI42*$B$73</f>
        <v>3350.8523875650849</v>
      </c>
      <c r="AJ42" s="106">
        <f>'增加值 (2001-2060, 2020RMB)'!AJ42*$B$73</f>
        <v>3437.4500493317751</v>
      </c>
      <c r="AK42" s="89">
        <f>'增加值 (2001-2060, 2020RMB)'!AK42*$B$73</f>
        <v>3515.0516619054274</v>
      </c>
      <c r="AL42" s="90">
        <f>'增加值 (2001-2060, 2020RMB)'!AL42*$B$73</f>
        <v>3583.264167369493</v>
      </c>
      <c r="AM42" s="90">
        <f>'增加值 (2001-2060, 2020RMB)'!AM42*$B$73</f>
        <v>3642.0767081450826</v>
      </c>
      <c r="AN42" s="90">
        <f>'增加值 (2001-2060, 2020RMB)'!AN42*$B$73</f>
        <v>3691.5932879951133</v>
      </c>
      <c r="AO42" s="101">
        <f>'增加值 (2001-2060, 2020RMB)'!AO42*$B$73</f>
        <v>3732.0242226211617</v>
      </c>
      <c r="AP42" s="90">
        <f>'增加值 (2001-2060, 2020RMB)'!AP42*$B$73</f>
        <v>3763.6762345921029</v>
      </c>
      <c r="AQ42" s="90">
        <f>'增加值 (2001-2060, 2020RMB)'!AQ42*$B$73</f>
        <v>3786.9415849603979</v>
      </c>
      <c r="AR42" s="90">
        <f>'增加值 (2001-2060, 2020RMB)'!AR42*$B$73</f>
        <v>3802.2866207652601</v>
      </c>
      <c r="AS42" s="90">
        <f>'增加值 (2001-2060, 2020RMB)'!AS42*$B$73</f>
        <v>3810.2400930469585</v>
      </c>
      <c r="AT42" s="90">
        <f>'增加值 (2001-2060, 2020RMB)'!AT42*$B$73</f>
        <v>3811.3815665926954</v>
      </c>
      <c r="AU42" s="89">
        <f>'增加值 (2001-2060, 2020RMB)'!AU42*$B$73</f>
        <v>3806.3302030139616</v>
      </c>
      <c r="AV42" s="90">
        <f>'增加值 (2001-2060, 2020RMB)'!AV42*$B$73</f>
        <v>3795.734155414827</v>
      </c>
      <c r="AW42" s="90">
        <f>'增加值 (2001-2060, 2020RMB)'!AW42*$B$73</f>
        <v>3780.2607681331265</v>
      </c>
      <c r="AX42" s="90">
        <f>'增加值 (2001-2060, 2020RMB)'!AX42*$B$73</f>
        <v>3760.5877308121453</v>
      </c>
      <c r="AY42" s="101">
        <f>'增加值 (2001-2060, 2020RMB)'!AY42*$B$73</f>
        <v>3737.3952940475897</v>
      </c>
      <c r="AZ42" s="89">
        <f>'增加值 (2001-2060, 2020RMB)'!AZ42*$B$73</f>
        <v>3711.3596153582521</v>
      </c>
      <c r="BA42" s="90">
        <f>'增加值 (2001-2060, 2020RMB)'!BA42*$B$73</f>
        <v>3683.1472702090919</v>
      </c>
      <c r="BB42" s="90">
        <f>'增加值 (2001-2060, 2020RMB)'!BB42*$B$73</f>
        <v>3653.4109339068946</v>
      </c>
      <c r="BC42" s="90">
        <f>'增加值 (2001-2060, 2020RMB)'!BC42*$B$73</f>
        <v>3622.7862167393955</v>
      </c>
      <c r="BD42" s="101">
        <f>'增加值 (2001-2060, 2020RMB)'!BD42*$B$73</f>
        <v>3591.8896168448719</v>
      </c>
      <c r="BE42" s="90">
        <f>'增加值 (2001-2060, 2020RMB)'!BE42*$B$73</f>
        <v>3561.3175428914424</v>
      </c>
      <c r="BF42" s="90">
        <f>'增加值 (2001-2060, 2020RMB)'!BF42*$B$73</f>
        <v>3531.6463514871716</v>
      </c>
      <c r="BG42" s="90">
        <f>'增加值 (2001-2060, 2020RMB)'!BG42*$B$73</f>
        <v>3503.4333420109765</v>
      </c>
      <c r="BH42" s="90">
        <f>'增加值 (2001-2060, 2020RMB)'!BH42*$B$73</f>
        <v>3477.2186538892115</v>
      </c>
      <c r="BI42" s="109">
        <f>'增加值 (2001-2060, 2020RMB)'!BI42*$B$73</f>
        <v>3453.5280178778298</v>
      </c>
    </row>
    <row r="43" spans="1:61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f>'增加值 (2001-2060, 2020RMB)'!I43*$B$73</f>
        <v>636.84917179891238</v>
      </c>
      <c r="J43" s="20">
        <f>'增加值 (2001-2060, 2020RMB)'!J43*$B$73</f>
        <v>682.17640383462935</v>
      </c>
      <c r="K43" s="21">
        <f>'增加值 (2001-2060, 2020RMB)'!K43*$B$73</f>
        <v>798.94066636712569</v>
      </c>
      <c r="L43" s="19">
        <f>'增加值 (2001-2060, 2020RMB)'!L43*$B$73</f>
        <v>919.68852177451481</v>
      </c>
      <c r="M43" s="20">
        <f>'增加值 (2001-2060, 2020RMB)'!M43*$B$73</f>
        <v>953.46054365731106</v>
      </c>
      <c r="N43" s="20">
        <f>'增加值 (2001-2060, 2020RMB)'!N43*$B$73</f>
        <v>982.73916071012547</v>
      </c>
      <c r="O43" s="20">
        <f>'增加值 (2001-2060, 2020RMB)'!O43*$B$73</f>
        <v>1007.190217386193</v>
      </c>
      <c r="P43" s="20">
        <f>'增加值 (2001-2060, 2020RMB)'!P43*$B$73</f>
        <v>988.01686580060073</v>
      </c>
      <c r="Q43" s="19">
        <f>'增加值 (2001-2060, 2020RMB)'!Q43*$B$73</f>
        <v>1028.7917095739863</v>
      </c>
      <c r="R43" s="20">
        <f>'增加值 (2001-2060, 2020RMB)'!R43*$B$73</f>
        <v>1164.2331935578331</v>
      </c>
      <c r="S43" s="20">
        <f>'增加值 (2001-2060, 2020RMB)'!S43*$B$73</f>
        <v>1285.5808657429811</v>
      </c>
      <c r="T43" s="20">
        <f>'增加值 (2001-2060, 2020RMB)'!T43*$B$73</f>
        <v>1325.0409909702028</v>
      </c>
      <c r="U43" s="21">
        <f>'增加值 (2001-2060, 2020RMB)'!U43*$B$73</f>
        <v>1362.5508537800022</v>
      </c>
      <c r="V43" s="20">
        <f>'增加值 (2001-2060, 2020RMB)'!V43*$B$73</f>
        <v>1597.4262241195795</v>
      </c>
      <c r="W43" s="20">
        <f>'增加值 (2001-2060, 2020RMB)'!W43*$B$73</f>
        <v>1681.134442521691</v>
      </c>
      <c r="X43" s="90">
        <f>'增加值 (2001-2060, 2020RMB)'!X43*$B$73</f>
        <v>1776.5611107090499</v>
      </c>
      <c r="Y43" s="90">
        <f>'增加值 (2001-2060, 2020RMB)'!Y43*$B$73</f>
        <v>1879.8676138324595</v>
      </c>
      <c r="Z43" s="90">
        <f>'增加值 (2001-2060, 2020RMB)'!Z43*$B$73</f>
        <v>1990.8166037574081</v>
      </c>
      <c r="AA43" s="89">
        <f>'增加值 (2001-2060, 2020RMB)'!AA43*$B$73</f>
        <v>2109.0145665538648</v>
      </c>
      <c r="AB43" s="90">
        <f>'增加值 (2001-2060, 2020RMB)'!AB43*$B$73</f>
        <v>2233.8793063991384</v>
      </c>
      <c r="AC43" s="90">
        <f>'增加值 (2001-2060, 2020RMB)'!AC43*$B$73</f>
        <v>2364.6076751925862</v>
      </c>
      <c r="AD43" s="90">
        <f>'增加值 (2001-2060, 2020RMB)'!AD43*$B$73</f>
        <v>2500.1450893525257</v>
      </c>
      <c r="AE43" s="101">
        <f>'增加值 (2001-2060, 2020RMB)'!AE43*$B$73</f>
        <v>2639.1587923558832</v>
      </c>
      <c r="AF43" s="90">
        <f>'增加值 (2001-2060, 2020RMB)'!AF43*$B$73</f>
        <v>2780.0859251622437</v>
      </c>
      <c r="AG43" s="90">
        <f>'增加值 (2001-2060, 2020RMB)'!AG43*$B$73</f>
        <v>2921.3556787445891</v>
      </c>
      <c r="AH43" s="90">
        <f>'增加值 (2001-2060, 2020RMB)'!AH43*$B$73</f>
        <v>3061.2305398687072</v>
      </c>
      <c r="AI43" s="90">
        <f>'增加值 (2001-2060, 2020RMB)'!AI43*$B$73</f>
        <v>3197.7527963762077</v>
      </c>
      <c r="AJ43" s="106">
        <f>'增加值 (2001-2060, 2020RMB)'!AJ43*$B$73</f>
        <v>3328.7628107033242</v>
      </c>
      <c r="AK43" s="89">
        <f>'增加值 (2001-2060, 2020RMB)'!AK43*$B$73</f>
        <v>3452.2354977656169</v>
      </c>
      <c r="AL43" s="90">
        <f>'增加值 (2001-2060, 2020RMB)'!AL43*$B$73</f>
        <v>3567.3239482968511</v>
      </c>
      <c r="AM43" s="90">
        <f>'增加值 (2001-2060, 2020RMB)'!AM43*$B$73</f>
        <v>3673.6083340666796</v>
      </c>
      <c r="AN43" s="90">
        <f>'增加值 (2001-2060, 2020RMB)'!AN43*$B$73</f>
        <v>3770.8123007418512</v>
      </c>
      <c r="AO43" s="101">
        <f>'增加值 (2001-2060, 2020RMB)'!AO43*$B$73</f>
        <v>3858.8005719003563</v>
      </c>
      <c r="AP43" s="90">
        <f>'增加值 (2001-2060, 2020RMB)'!AP43*$B$73</f>
        <v>3937.5737699987667</v>
      </c>
      <c r="AQ43" s="90">
        <f>'增加值 (2001-2060, 2020RMB)'!AQ43*$B$73</f>
        <v>4007.2608813907987</v>
      </c>
      <c r="AR43" s="90">
        <f>'增加值 (2001-2060, 2020RMB)'!AR43*$B$73</f>
        <v>4068.1098283691399</v>
      </c>
      <c r="AS43" s="90">
        <f>'增加值 (2001-2060, 2020RMB)'!AS43*$B$73</f>
        <v>4120.4766253805028</v>
      </c>
      <c r="AT43" s="90">
        <f>'增加值 (2001-2060, 2020RMB)'!AT43*$B$73</f>
        <v>4164.8135914531485</v>
      </c>
      <c r="AU43" s="89">
        <f>'增加值 (2001-2060, 2020RMB)'!AU43*$B$73</f>
        <v>4201.6570695110859</v>
      </c>
      <c r="AV43" s="90">
        <f>'增加值 (2001-2060, 2020RMB)'!AV43*$B$73</f>
        <v>4231.6150690304121</v>
      </c>
      <c r="AW43" s="90">
        <f>'增加值 (2001-2060, 2020RMB)'!AW43*$B$73</f>
        <v>4255.3552049433229</v>
      </c>
      <c r="AX43" s="90">
        <f>'增加值 (2001-2060, 2020RMB)'!AX43*$B$73</f>
        <v>4273.5932562550079</v>
      </c>
      <c r="AY43" s="101">
        <f>'增加值 (2001-2060, 2020RMB)'!AY43*$B$73</f>
        <v>4287.0826157067777</v>
      </c>
      <c r="AZ43" s="89">
        <f>'增加值 (2001-2060, 2020RMB)'!AZ43*$B$73</f>
        <v>4296.6048498358896</v>
      </c>
      <c r="BA43" s="90">
        <f>'增加值 (2001-2060, 2020RMB)'!BA43*$B$73</f>
        <v>4302.9615393592167</v>
      </c>
      <c r="BB43" s="90">
        <f>'增加值 (2001-2060, 2020RMB)'!BB43*$B$73</f>
        <v>4306.9675248997128</v>
      </c>
      <c r="BC43" s="90">
        <f>'增加值 (2001-2060, 2020RMB)'!BC43*$B$73</f>
        <v>4309.4456441812054</v>
      </c>
      <c r="BD43" s="101">
        <f>'增加值 (2001-2060, 2020RMB)'!BD43*$B$73</f>
        <v>4311.2230150242867</v>
      </c>
      <c r="BE43" s="90">
        <f>'增加值 (2001-2060, 2020RMB)'!BE43*$B$73</f>
        <v>4313.128894504649</v>
      </c>
      <c r="BF43" s="90">
        <f>'增加值 (2001-2060, 2020RMB)'!BF43*$B$73</f>
        <v>4315.9941289199705</v>
      </c>
      <c r="BG43" s="90">
        <f>'增加值 (2001-2060, 2020RMB)'!BG43*$B$73</f>
        <v>4320.6522019757413</v>
      </c>
      <c r="BH43" s="90">
        <f>'增加值 (2001-2060, 2020RMB)'!BH43*$B$73</f>
        <v>4327.9418899492111</v>
      </c>
      <c r="BI43" s="109">
        <f>'增加值 (2001-2060, 2020RMB)'!BI43*$B$73</f>
        <v>4338.7115425962429</v>
      </c>
    </row>
    <row r="44" spans="1:61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f>'增加值 (2001-2060, 2020RMB)'!I44*$B$73</f>
        <v>1184.6348046443532</v>
      </c>
      <c r="J44" s="20">
        <f>'增加值 (2001-2060, 2020RMB)'!J44*$B$73</f>
        <v>1329.5903424186711</v>
      </c>
      <c r="K44" s="21">
        <f>'增加值 (2001-2060, 2020RMB)'!K44*$B$73</f>
        <v>1580.4100986226067</v>
      </c>
      <c r="L44" s="19">
        <f>'增加值 (2001-2060, 2020RMB)'!L44*$B$73</f>
        <v>1700.8156350918027</v>
      </c>
      <c r="M44" s="20">
        <f>'增加值 (2001-2060, 2020RMB)'!M44*$B$73</f>
        <v>1755.1757153883541</v>
      </c>
      <c r="N44" s="20">
        <f>'增加值 (2001-2060, 2020RMB)'!N44*$B$73</f>
        <v>1915.783500409816</v>
      </c>
      <c r="O44" s="20">
        <f>'增加值 (2001-2060, 2020RMB)'!O44*$B$73</f>
        <v>2053.4482547886432</v>
      </c>
      <c r="P44" s="20">
        <f>'增加值 (2001-2060, 2020RMB)'!P44*$B$73</f>
        <v>2078.6458541383354</v>
      </c>
      <c r="Q44" s="19">
        <f>'增加值 (2001-2060, 2020RMB)'!Q44*$B$73</f>
        <v>2342.9399942398995</v>
      </c>
      <c r="R44" s="20">
        <f>'增加值 (2001-2060, 2020RMB)'!R44*$B$73</f>
        <v>2660.8766392878988</v>
      </c>
      <c r="S44" s="20">
        <f>'增加值 (2001-2060, 2020RMB)'!S44*$B$73</f>
        <v>2779.2531419745264</v>
      </c>
      <c r="T44" s="20">
        <f>'增加值 (2001-2060, 2020RMB)'!T44*$B$73</f>
        <v>2727.8977768813766</v>
      </c>
      <c r="U44" s="21">
        <f>'增加值 (2001-2060, 2020RMB)'!U44*$B$73</f>
        <v>2813.0369617424208</v>
      </c>
      <c r="V44" s="20">
        <f>'增加值 (2001-2060, 2020RMB)'!V44*$B$73</f>
        <v>3089.9937233622504</v>
      </c>
      <c r="W44" s="20">
        <f>'增加值 (2001-2060, 2020RMB)'!W44*$B$73</f>
        <v>3336.6660504229862</v>
      </c>
      <c r="X44" s="90">
        <f>'增加值 (2001-2060, 2020RMB)'!X44*$B$73</f>
        <v>3451.4902874443173</v>
      </c>
      <c r="Y44" s="90">
        <f>'增加值 (2001-2060, 2020RMB)'!Y44*$B$73</f>
        <v>3577.2695782706965</v>
      </c>
      <c r="Z44" s="90">
        <f>'增加值 (2001-2060, 2020RMB)'!Z44*$B$73</f>
        <v>3712.9429040491195</v>
      </c>
      <c r="AA44" s="89">
        <f>'增加值 (2001-2060, 2020RMB)'!AA44*$B$73</f>
        <v>3857.2425425496467</v>
      </c>
      <c r="AB44" s="90">
        <f>'增加值 (2001-2060, 2020RMB)'!AB44*$B$73</f>
        <v>4008.6504530799416</v>
      </c>
      <c r="AC44" s="90">
        <f>'增加值 (2001-2060, 2020RMB)'!AC44*$B$73</f>
        <v>4165.3593926013891</v>
      </c>
      <c r="AD44" s="90">
        <f>'增加值 (2001-2060, 2020RMB)'!AD44*$B$73</f>
        <v>4325.2409631255068</v>
      </c>
      <c r="AE44" s="101">
        <f>'增加值 (2001-2060, 2020RMB)'!AE44*$B$73</f>
        <v>4485.8232897788184</v>
      </c>
      <c r="AF44" s="90">
        <f>'增加值 (2001-2060, 2020RMB)'!AF44*$B$73</f>
        <v>4644.4580260813427</v>
      </c>
      <c r="AG44" s="90">
        <f>'增加值 (2001-2060, 2020RMB)'!AG44*$B$73</f>
        <v>4798.9034006138709</v>
      </c>
      <c r="AH44" s="90">
        <f>'增加值 (2001-2060, 2020RMB)'!AH44*$B$73</f>
        <v>4946.8942880228715</v>
      </c>
      <c r="AI44" s="90">
        <f>'增加值 (2001-2060, 2020RMB)'!AI44*$B$73</f>
        <v>5086.0014537329862</v>
      </c>
      <c r="AJ44" s="106">
        <f>'增加值 (2001-2060, 2020RMB)'!AJ44*$B$73</f>
        <v>5213.6650900205223</v>
      </c>
      <c r="AK44" s="89">
        <f>'增加值 (2001-2060, 2020RMB)'!AK44*$B$73</f>
        <v>5327.6499186274796</v>
      </c>
      <c r="AL44" s="90">
        <f>'增加值 (2001-2060, 2020RMB)'!AL44*$B$73</f>
        <v>5427.3938682002799</v>
      </c>
      <c r="AM44" s="90">
        <f>'增加值 (2001-2060, 2020RMB)'!AM44*$B$73</f>
        <v>5512.909326369414</v>
      </c>
      <c r="AN44" s="90">
        <f>'增加值 (2001-2060, 2020RMB)'!AN44*$B$73</f>
        <v>5584.379806265305</v>
      </c>
      <c r="AO44" s="101">
        <f>'增加值 (2001-2060, 2020RMB)'!AO44*$B$73</f>
        <v>5642.146702482878</v>
      </c>
      <c r="AP44" s="90">
        <f>'增加值 (2001-2060, 2020RMB)'!AP44*$B$73</f>
        <v>5686.6940971672075</v>
      </c>
      <c r="AQ44" s="90">
        <f>'增加值 (2001-2060, 2020RMB)'!AQ44*$B$73</f>
        <v>5718.6322028720942</v>
      </c>
      <c r="AR44" s="90">
        <f>'增加值 (2001-2060, 2020RMB)'!AR44*$B$73</f>
        <v>5738.6800064647705</v>
      </c>
      <c r="AS44" s="90">
        <f>'增加值 (2001-2060, 2020RMB)'!AS44*$B$73</f>
        <v>5747.6476394260462</v>
      </c>
      <c r="AT44" s="90">
        <f>'增加值 (2001-2060, 2020RMB)'!AT44*$B$73</f>
        <v>5746.418948304733</v>
      </c>
      <c r="AU44" s="89">
        <f>'增加值 (2001-2060, 2020RMB)'!AU44*$B$73</f>
        <v>5735.9346787105087</v>
      </c>
      <c r="AV44" s="90">
        <f>'增加值 (2001-2060, 2020RMB)'!AV44*$B$73</f>
        <v>5717.1766207589972</v>
      </c>
      <c r="AW44" s="90">
        <f>'增加值 (2001-2060, 2020RMB)'!AW44*$B$73</f>
        <v>5691.1529966680937</v>
      </c>
      <c r="AX44" s="90">
        <f>'增加值 (2001-2060, 2020RMB)'!AX44*$B$73</f>
        <v>5658.8853051548576</v>
      </c>
      <c r="AY44" s="101">
        <f>'增加值 (2001-2060, 2020RMB)'!AY44*$B$73</f>
        <v>5621.3967748002078</v>
      </c>
      <c r="AZ44" s="89">
        <f>'增加值 (2001-2060, 2020RMB)'!AZ44*$B$73</f>
        <v>5579.7025215176482</v>
      </c>
      <c r="BA44" s="90">
        <f>'增加值 (2001-2060, 2020RMB)'!BA44*$B$73</f>
        <v>5534.8014550463695</v>
      </c>
      <c r="BB44" s="90">
        <f>'增加值 (2001-2060, 2020RMB)'!BB44*$B$73</f>
        <v>5487.6699368773552</v>
      </c>
      <c r="BC44" s="90">
        <f>'增加值 (2001-2060, 2020RMB)'!BC44*$B$73</f>
        <v>5439.2571576811551</v>
      </c>
      <c r="BD44" s="101">
        <f>'增加值 (2001-2060, 2020RMB)'!BD44*$B$73</f>
        <v>5390.4821762489564</v>
      </c>
      <c r="BE44" s="90">
        <f>'增加值 (2001-2060, 2020RMB)'!BE44*$B$73</f>
        <v>5342.2325440164941</v>
      </c>
      <c r="BF44" s="90">
        <f>'增加值 (2001-2060, 2020RMB)'!BF44*$B$73</f>
        <v>5295.3644290419998</v>
      </c>
      <c r="BG44" s="90">
        <f>'增加值 (2001-2060, 2020RMB)'!BG44*$B$73</f>
        <v>5250.70415035109</v>
      </c>
      <c r="BH44" s="90">
        <f>'增加值 (2001-2060, 2020RMB)'!BH44*$B$73</f>
        <v>5209.0510372816652</v>
      </c>
      <c r="BI44" s="109">
        <f>'增加值 (2001-2060, 2020RMB)'!BI44*$B$73</f>
        <v>5171.1815382984887</v>
      </c>
    </row>
    <row r="45" spans="1:61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f>'增加值 (2001-2060, 2020RMB)'!I45*$B$73</f>
        <v>439.16700116624838</v>
      </c>
      <c r="J45" s="20">
        <f>'增加值 (2001-2060, 2020RMB)'!J45*$B$73</f>
        <v>492.90481857395127</v>
      </c>
      <c r="K45" s="21">
        <f>'增加值 (2001-2060, 2020RMB)'!K45*$B$73</f>
        <v>585.88854632995037</v>
      </c>
      <c r="L45" s="19">
        <f>'增加值 (2001-2060, 2020RMB)'!L45*$B$73</f>
        <v>630.52520411484909</v>
      </c>
      <c r="M45" s="20">
        <f>'增加值 (2001-2060, 2020RMB)'!M45*$B$73</f>
        <v>627.86780663475895</v>
      </c>
      <c r="N45" s="20">
        <f>'增加值 (2001-2060, 2020RMB)'!N45*$B$73</f>
        <v>625.07955852316729</v>
      </c>
      <c r="O45" s="20">
        <f>'增加值 (2001-2060, 2020RMB)'!O45*$B$73</f>
        <v>675.39018356764871</v>
      </c>
      <c r="P45" s="20">
        <f>'增加值 (2001-2060, 2020RMB)'!P45*$B$73</f>
        <v>684.31855733125531</v>
      </c>
      <c r="Q45" s="19">
        <f>'增加值 (2001-2060, 2020RMB)'!Q45*$B$73</f>
        <v>689.18639066633614</v>
      </c>
      <c r="R45" s="20">
        <f>'增加值 (2001-2060, 2020RMB)'!R45*$B$73</f>
        <v>740.85280156929605</v>
      </c>
      <c r="S45" s="20">
        <f>'增加值 (2001-2060, 2020RMB)'!S45*$B$73</f>
        <v>776.76236454005254</v>
      </c>
      <c r="T45" s="20">
        <f>'增加值 (2001-2060, 2020RMB)'!T45*$B$73</f>
        <v>804.34925709304082</v>
      </c>
      <c r="U45" s="21">
        <f>'增加值 (2001-2060, 2020RMB)'!U45*$B$73</f>
        <v>775.76461349021258</v>
      </c>
      <c r="V45" s="20">
        <f>'增加值 (2001-2060, 2020RMB)'!V45*$B$73</f>
        <v>875.56611675062425</v>
      </c>
      <c r="W45" s="20">
        <f>'增加值 (2001-2060, 2020RMB)'!W45*$B$73</f>
        <v>910.77433504394821</v>
      </c>
      <c r="X45" s="90">
        <f>'增加值 (2001-2060, 2020RMB)'!X45*$B$73</f>
        <v>931.20873000811787</v>
      </c>
      <c r="Y45" s="90">
        <f>'增加值 (2001-2060, 2020RMB)'!Y45*$B$73</f>
        <v>954.3114990324566</v>
      </c>
      <c r="Z45" s="90">
        <f>'增加值 (2001-2060, 2020RMB)'!Z45*$B$73</f>
        <v>979.71822774778946</v>
      </c>
      <c r="AA45" s="89">
        <f>'增加值 (2001-2060, 2020RMB)'!AA45*$B$73</f>
        <v>1007.0271570096305</v>
      </c>
      <c r="AB45" s="90">
        <f>'增加值 (2001-2060, 2020RMB)'!AB45*$B$73</f>
        <v>1035.7887501750674</v>
      </c>
      <c r="AC45" s="90">
        <f>'增加值 (2001-2060, 2020RMB)'!AC45*$B$73</f>
        <v>1065.4970699502805</v>
      </c>
      <c r="AD45" s="90">
        <f>'增加值 (2001-2060, 2020RMB)'!AD45*$B$73</f>
        <v>1095.5833976082479</v>
      </c>
      <c r="AE45" s="101">
        <f>'增加值 (2001-2060, 2020RMB)'!AE45*$B$73</f>
        <v>1125.4126369659562</v>
      </c>
      <c r="AF45" s="90">
        <f>'增加值 (2001-2060, 2020RMB)'!AF45*$B$73</f>
        <v>1154.3354474196983</v>
      </c>
      <c r="AG45" s="90">
        <f>'增加值 (2001-2060, 2020RMB)'!AG45*$B$73</f>
        <v>1181.8589914075224</v>
      </c>
      <c r="AH45" s="90">
        <f>'增加值 (2001-2060, 2020RMB)'!AH45*$B$73</f>
        <v>1207.5131135006461</v>
      </c>
      <c r="AI45" s="90">
        <f>'增加值 (2001-2060, 2020RMB)'!AI45*$B$73</f>
        <v>1230.8065060484569</v>
      </c>
      <c r="AJ45" s="106">
        <f>'增加值 (2001-2060, 2020RMB)'!AJ45*$B$73</f>
        <v>1251.2342393163985</v>
      </c>
      <c r="AK45" s="89">
        <f>'增加值 (2001-2060, 2020RMB)'!AK45*$B$73</f>
        <v>1268.3768049316975</v>
      </c>
      <c r="AL45" s="90">
        <f>'增加值 (2001-2060, 2020RMB)'!AL45*$B$73</f>
        <v>1282.1880507378037</v>
      </c>
      <c r="AM45" s="90">
        <f>'增加值 (2001-2060, 2020RMB)'!AM45*$B$73</f>
        <v>1292.7442069354909</v>
      </c>
      <c r="AN45" s="90">
        <f>'增加值 (2001-2060, 2020RMB)'!AN45*$B$73</f>
        <v>1300.1533983119098</v>
      </c>
      <c r="AO45" s="101">
        <f>'增加值 (2001-2060, 2020RMB)'!AO45*$B$73</f>
        <v>1304.5519837863626</v>
      </c>
      <c r="AP45" s="90">
        <f>'增加值 (2001-2060, 2020RMB)'!AP45*$B$73</f>
        <v>1306.1006972972543</v>
      </c>
      <c r="AQ45" s="90">
        <f>'增加值 (2001-2060, 2020RMB)'!AQ45*$B$73</f>
        <v>1304.9807025260743</v>
      </c>
      <c r="AR45" s="90">
        <f>'增加值 (2001-2060, 2020RMB)'!AR45*$B$73</f>
        <v>1301.389663943653</v>
      </c>
      <c r="AS45" s="90">
        <f>'增加值 (2001-2060, 2020RMB)'!AS45*$B$73</f>
        <v>1295.5379246126843</v>
      </c>
      <c r="AT45" s="90">
        <f>'增加值 (2001-2060, 2020RMB)'!AT45*$B$73</f>
        <v>1287.6448678267154</v>
      </c>
      <c r="AU45" s="89">
        <f>'增加值 (2001-2060, 2020RMB)'!AU45*$B$73</f>
        <v>1277.9355256936904</v>
      </c>
      <c r="AV45" s="90">
        <f>'增加值 (2001-2060, 2020RMB)'!AV45*$B$73</f>
        <v>1266.6374837892884</v>
      </c>
      <c r="AW45" s="90">
        <f>'增加值 (2001-2060, 2020RMB)'!AW45*$B$73</f>
        <v>1253.9781175253904</v>
      </c>
      <c r="AX45" s="90">
        <f>'增加值 (2001-2060, 2020RMB)'!AX45*$B$73</f>
        <v>1240.182183317268</v>
      </c>
      <c r="AY45" s="101">
        <f>'增加值 (2001-2060, 2020RMB)'!AY45*$B$73</f>
        <v>1225.4697763016181</v>
      </c>
      <c r="AZ45" s="89">
        <f>'增加值 (2001-2060, 2020RMB)'!AZ45*$B$73</f>
        <v>1210.054656472646</v>
      </c>
      <c r="BA45" s="90">
        <f>'增加值 (2001-2060, 2020RMB)'!BA45*$B$73</f>
        <v>1194.1429367913511</v>
      </c>
      <c r="BB45" s="90">
        <f>'增加值 (2001-2060, 2020RMB)'!BB45*$B$73</f>
        <v>1177.9321201330727</v>
      </c>
      <c r="BC45" s="90">
        <f>'增加值 (2001-2060, 2020RMB)'!BC45*$B$73</f>
        <v>1161.6104668539895</v>
      </c>
      <c r="BD45" s="101">
        <f>'增加值 (2001-2060, 2020RMB)'!BD45*$B$73</f>
        <v>1145.3566712121319</v>
      </c>
      <c r="BE45" s="90">
        <f>'增加值 (2001-2060, 2020RMB)'!BE45*$B$73</f>
        <v>1129.3398227669111</v>
      </c>
      <c r="BF45" s="90">
        <f>'增加值 (2001-2060, 2020RMB)'!BF45*$B$73</f>
        <v>1113.7196280755227</v>
      </c>
      <c r="BG45" s="90">
        <f>'增加值 (2001-2060, 2020RMB)'!BG45*$B$73</f>
        <v>1098.6468683617773</v>
      </c>
      <c r="BH45" s="90">
        <f>'增加值 (2001-2060, 2020RMB)'!BH45*$B$73</f>
        <v>1084.264070210274</v>
      </c>
      <c r="BI45" s="109">
        <f>'增加值 (2001-2060, 2020RMB)'!BI45*$B$73</f>
        <v>1070.7063685985661</v>
      </c>
    </row>
    <row r="46" spans="1:61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f>'增加值 (2001-2060, 2020RMB)'!I46*$B$73</f>
        <v>1217.5195160253679</v>
      </c>
      <c r="J46" s="20">
        <f>'增加值 (2001-2060, 2020RMB)'!J46*$B$73</f>
        <v>1292.6341207581518</v>
      </c>
      <c r="K46" s="21">
        <f>'增加值 (2001-2060, 2020RMB)'!K46*$B$73</f>
        <v>1490.0363414785679</v>
      </c>
      <c r="L46" s="19">
        <f>'增加值 (2001-2060, 2020RMB)'!L46*$B$73</f>
        <v>1639.350314270589</v>
      </c>
      <c r="M46" s="20">
        <f>'增加值 (2001-2060, 2020RMB)'!M46*$B$73</f>
        <v>1712.0343556535668</v>
      </c>
      <c r="N46" s="20">
        <f>'增加值 (2001-2060, 2020RMB)'!N46*$B$73</f>
        <v>1803.6398418356748</v>
      </c>
      <c r="O46" s="20">
        <f>'增加值 (2001-2060, 2020RMB)'!O46*$B$73</f>
        <v>1891.7453428330407</v>
      </c>
      <c r="P46" s="20">
        <f>'增加值 (2001-2060, 2020RMB)'!P46*$B$73</f>
        <v>1925.726984191494</v>
      </c>
      <c r="Q46" s="19">
        <f>'增加值 (2001-2060, 2020RMB)'!Q46*$B$73</f>
        <v>2039.0277316223494</v>
      </c>
      <c r="R46" s="20">
        <f>'增加值 (2001-2060, 2020RMB)'!R46*$B$73</f>
        <v>2282.7007277873363</v>
      </c>
      <c r="S46" s="20">
        <f>'增加值 (2001-2060, 2020RMB)'!S46*$B$73</f>
        <v>2438.8021860920107</v>
      </c>
      <c r="T46" s="20">
        <f>'增加值 (2001-2060, 2020RMB)'!T46*$B$73</f>
        <v>2603.0134076603781</v>
      </c>
      <c r="U46" s="21">
        <f>'增加值 (2001-2060, 2020RMB)'!U46*$B$73</f>
        <v>2742.170325969631</v>
      </c>
      <c r="V46" s="20">
        <f>'增加值 (2001-2060, 2020RMB)'!V46*$B$73</f>
        <v>3334.778314369561</v>
      </c>
      <c r="W46" s="20">
        <f>'增加值 (2001-2060, 2020RMB)'!W46*$B$73</f>
        <v>3790.6958165959172</v>
      </c>
      <c r="X46" s="90">
        <f>'增加值 (2001-2060, 2020RMB)'!X46*$B$73</f>
        <v>4088.1442982934323</v>
      </c>
      <c r="Y46" s="90">
        <f>'增加值 (2001-2060, 2020RMB)'!Y46*$B$73</f>
        <v>4412.0456855431557</v>
      </c>
      <c r="Z46" s="90">
        <f>'增加值 (2001-2060, 2020RMB)'!Z46*$B$73</f>
        <v>4762.8125577824121</v>
      </c>
      <c r="AA46" s="89">
        <f>'增加值 (2001-2060, 2020RMB)'!AA46*$B$73</f>
        <v>5140.4351634753848</v>
      </c>
      <c r="AB46" s="90">
        <f>'增加值 (2001-2060, 2020RMB)'!AB46*$B$73</f>
        <v>5544.3723546967431</v>
      </c>
      <c r="AC46" s="90">
        <f>'增加值 (2001-2060, 2020RMB)'!AC46*$B$73</f>
        <v>5973.4358267473963</v>
      </c>
      <c r="AD46" s="90">
        <f>'增加值 (2001-2060, 2020RMB)'!AD46*$B$73</f>
        <v>6425.6716016894061</v>
      </c>
      <c r="AE46" s="101">
        <f>'增加值 (2001-2060, 2020RMB)'!AE46*$B$73</f>
        <v>6898.2441649139946</v>
      </c>
      <c r="AF46" s="90">
        <f>'增加值 (2001-2060, 2020RMB)'!AF46*$B$73</f>
        <v>7387.4201678704376</v>
      </c>
      <c r="AG46" s="90">
        <f>'增加值 (2001-2060, 2020RMB)'!AG46*$B$73</f>
        <v>7888.7989230457215</v>
      </c>
      <c r="AH46" s="90">
        <f>'增加值 (2001-2060, 2020RMB)'!AH46*$B$73</f>
        <v>8397.069607176154</v>
      </c>
      <c r="AI46" s="90">
        <f>'增加值 (2001-2060, 2020RMB)'!AI46*$B$73</f>
        <v>8905.9106695270821</v>
      </c>
      <c r="AJ46" s="106">
        <f>'增加值 (2001-2060, 2020RMB)'!AJ46*$B$73</f>
        <v>9408.0055353546359</v>
      </c>
      <c r="AK46" s="89">
        <f>'增加值 (2001-2060, 2020RMB)'!AK46*$B$73</f>
        <v>9896.0945473411102</v>
      </c>
      <c r="AL46" s="90">
        <f>'增加值 (2001-2060, 2020RMB)'!AL46*$B$73</f>
        <v>10366.433924921792</v>
      </c>
      <c r="AM46" s="90">
        <f>'增加值 (2001-2060, 2020RMB)'!AM46*$B$73</f>
        <v>10816.578404268779</v>
      </c>
      <c r="AN46" s="90">
        <f>'增加值 (2001-2060, 2020RMB)'!AN46*$B$73</f>
        <v>11244.524282026541</v>
      </c>
      <c r="AO46" s="101">
        <f>'增加值 (2001-2060, 2020RMB)'!AO46*$B$73</f>
        <v>11648.731373900166</v>
      </c>
      <c r="AP46" s="90">
        <f>'增加值 (2001-2060, 2020RMB)'!AP46*$B$73</f>
        <v>12028.13318061372</v>
      </c>
      <c r="AQ46" s="90">
        <f>'增加值 (2001-2060, 2020RMB)'!AQ46*$B$73</f>
        <v>12382.136136141358</v>
      </c>
      <c r="AR46" s="90">
        <f>'增加值 (2001-2060, 2020RMB)'!AR46*$B$73</f>
        <v>12710.609139672766</v>
      </c>
      <c r="AS46" s="90">
        <f>'增加值 (2001-2060, 2020RMB)'!AS46*$B$73</f>
        <v>13013.864814078383</v>
      </c>
      <c r="AT46" s="90">
        <f>'增加值 (2001-2060, 2020RMB)'!AT46*$B$73</f>
        <v>13292.634090060941</v>
      </c>
      <c r="AU46" s="89">
        <f>'增加值 (2001-2060, 2020RMB)'!AU46*$B$73</f>
        <v>13548.035791802928</v>
      </c>
      <c r="AV46" s="90">
        <f>'增加值 (2001-2060, 2020RMB)'!AV46*$B$73</f>
        <v>13781.542905534892</v>
      </c>
      <c r="AW46" s="90">
        <f>'增加值 (2001-2060, 2020RMB)'!AW46*$B$73</f>
        <v>13994.947158445835</v>
      </c>
      <c r="AX46" s="90">
        <f>'增加值 (2001-2060, 2020RMB)'!AX46*$B$73</f>
        <v>14190.323434695369</v>
      </c>
      <c r="AY46" s="101">
        <f>'增加值 (2001-2060, 2020RMB)'!AY46*$B$73</f>
        <v>14369.995421507681</v>
      </c>
      <c r="AZ46" s="89">
        <f>'增加值 (2001-2060, 2020RMB)'!AZ46*$B$73</f>
        <v>14536.503724797898</v>
      </c>
      <c r="BA46" s="90">
        <f>'增加值 (2001-2060, 2020RMB)'!BA46*$B$73</f>
        <v>14692.57753304204</v>
      </c>
      <c r="BB46" s="90">
        <f>'增加值 (2001-2060, 2020RMB)'!BB46*$B$73</f>
        <v>14841.110751470471</v>
      </c>
      <c r="BC46" s="90">
        <f>'增加值 (2001-2060, 2020RMB)'!BC46*$B$73</f>
        <v>14985.143386001815</v>
      </c>
      <c r="BD46" s="101">
        <f>'增加值 (2001-2060, 2020RMB)'!BD46*$B$73</f>
        <v>15127.84883598956</v>
      </c>
      <c r="BE46" s="90">
        <f>'增加值 (2001-2060, 2020RMB)'!BE46*$B$73</f>
        <v>15272.527663759365</v>
      </c>
      <c r="BF46" s="90">
        <f>'增加值 (2001-2060, 2020RMB)'!BF46*$B$73</f>
        <v>15422.6083528417</v>
      </c>
      <c r="BG46" s="90">
        <f>'增加值 (2001-2060, 2020RMB)'!BG46*$B$73</f>
        <v>15581.655550655645</v>
      </c>
      <c r="BH46" s="90">
        <f>'增加值 (2001-2060, 2020RMB)'!BH46*$B$73</f>
        <v>15753.386319681031</v>
      </c>
      <c r="BI46" s="109">
        <f>'增加值 (2001-2060, 2020RMB)'!BI46*$B$73</f>
        <v>15941.69499844382</v>
      </c>
    </row>
    <row r="47" spans="1:61" x14ac:dyDescent="0.2">
      <c r="A47" s="30" t="s">
        <v>104</v>
      </c>
      <c r="B47" s="19"/>
      <c r="C47" s="20"/>
      <c r="D47" s="20"/>
      <c r="E47" s="20"/>
      <c r="F47" s="21"/>
      <c r="G47" s="19"/>
      <c r="H47" s="20"/>
      <c r="I47" s="20">
        <f>'增加值 (2001-2060, 2020RMB)'!I47*$B$73</f>
        <v>1706.6024804589906</v>
      </c>
      <c r="J47" s="20">
        <f>'增加值 (2001-2060, 2020RMB)'!J47*$B$73</f>
        <v>1703.5010482581254</v>
      </c>
      <c r="K47" s="21">
        <f>'增加值 (2001-2060, 2020RMB)'!K47*$B$73</f>
        <v>1933.8707410286615</v>
      </c>
      <c r="L47" s="19">
        <f>'增加值 (2001-2060, 2020RMB)'!L47*$B$73</f>
        <v>2153.675657808727</v>
      </c>
      <c r="M47" s="20">
        <f>'增加值 (2001-2060, 2020RMB)'!M47*$B$73</f>
        <v>2298.3702505757124</v>
      </c>
      <c r="N47" s="20">
        <f>'增加值 (2001-2060, 2020RMB)'!N47*$B$73</f>
        <v>2430.0821452448795</v>
      </c>
      <c r="O47" s="20">
        <f>'增加值 (2001-2060, 2020RMB)'!O47*$B$73</f>
        <v>2614.0226283800762</v>
      </c>
      <c r="P47" s="20">
        <f>'增加值 (2001-2060, 2020RMB)'!P47*$B$73</f>
        <v>2740.3367900106496</v>
      </c>
      <c r="Q47" s="19">
        <f>'增加值 (2001-2060, 2020RMB)'!Q47*$B$73</f>
        <v>2941.6791661197531</v>
      </c>
      <c r="R47" s="20">
        <f>'增加值 (2001-2060, 2020RMB)'!R47*$B$73</f>
        <v>3388.5062004678171</v>
      </c>
      <c r="S47" s="20">
        <f>'增加值 (2001-2060, 2020RMB)'!S47*$B$73</f>
        <v>3815.9156485707945</v>
      </c>
      <c r="T47" s="20">
        <f>'增加值 (2001-2060, 2020RMB)'!T47*$B$73</f>
        <v>4021.3431733748421</v>
      </c>
      <c r="U47" s="21">
        <f>'增加值 (2001-2060, 2020RMB)'!U47*$B$73</f>
        <v>4189.6426485802067</v>
      </c>
      <c r="V47" s="20">
        <f>'增加值 (2001-2060, 2020RMB)'!V47*$B$73</f>
        <v>5047.07826989772</v>
      </c>
      <c r="W47" s="20">
        <f>'增加值 (2001-2060, 2020RMB)'!W47*$B$73</f>
        <v>5516.6342563589078</v>
      </c>
      <c r="X47" s="90">
        <f>'增加值 (2001-2060, 2020RMB)'!X47*$B$73</f>
        <v>6046.4754655460074</v>
      </c>
      <c r="Y47" s="90">
        <f>'增加值 (2001-2060, 2020RMB)'!Y47*$B$73</f>
        <v>6595.9801879881443</v>
      </c>
      <c r="Z47" s="90">
        <f>'增加值 (2001-2060, 2020RMB)'!Z47*$B$73</f>
        <v>7166.0679859063412</v>
      </c>
      <c r="AA47" s="89">
        <f>'增加值 (2001-2060, 2020RMB)'!AA47*$B$73</f>
        <v>7758.5869105313168</v>
      </c>
      <c r="AB47" s="90">
        <f>'增加值 (2001-2060, 2020RMB)'!AB47*$B$73</f>
        <v>8376.4509181797512</v>
      </c>
      <c r="AC47" s="90">
        <f>'增加值 (2001-2060, 2020RMB)'!AC47*$B$73</f>
        <v>9023.785634162592</v>
      </c>
      <c r="AD47" s="90">
        <f>'增加值 (2001-2060, 2020RMB)'!AD47*$B$73</f>
        <v>9706.0915695430158</v>
      </c>
      <c r="AE47" s="101">
        <f>'增加值 (2001-2060, 2020RMB)'!AE47*$B$73</f>
        <v>10430.43644087873</v>
      </c>
      <c r="AF47" s="90">
        <f>'增加值 (2001-2060, 2020RMB)'!AF47*$B$73</f>
        <v>11203.17097235178</v>
      </c>
      <c r="AG47" s="90">
        <f>'增加值 (2001-2060, 2020RMB)'!AG47*$B$73</f>
        <v>12021.177025739806</v>
      </c>
      <c r="AH47" s="90">
        <f>'增加值 (2001-2060, 2020RMB)'!AH47*$B$73</f>
        <v>12876.86200637227</v>
      </c>
      <c r="AI47" s="90">
        <f>'增加值 (2001-2060, 2020RMB)'!AI47*$B$73</f>
        <v>13760.036462695696</v>
      </c>
      <c r="AJ47" s="106">
        <f>'增加值 (2001-2060, 2020RMB)'!AJ47*$B$73</f>
        <v>14657.675270701782</v>
      </c>
      <c r="AK47" s="89">
        <f>'增加值 (2001-2060, 2020RMB)'!AK47*$B$73</f>
        <v>15556.108882443077</v>
      </c>
      <c r="AL47" s="90">
        <f>'增加值 (2001-2060, 2020RMB)'!AL47*$B$73</f>
        <v>16449.068807158597</v>
      </c>
      <c r="AM47" s="90">
        <f>'增加值 (2001-2060, 2020RMB)'!AM47*$B$73</f>
        <v>17332.657194208954</v>
      </c>
      <c r="AN47" s="90">
        <f>'增加值 (2001-2060, 2020RMB)'!AN47*$B$73</f>
        <v>18203.357056736713</v>
      </c>
      <c r="AO47" s="101">
        <f>'增加值 (2001-2060, 2020RMB)'!AO47*$B$73</f>
        <v>19058.089423958874</v>
      </c>
      <c r="AP47" s="90">
        <f>'增加值 (2001-2060, 2020RMB)'!AP47*$B$73</f>
        <v>19894.259929821634</v>
      </c>
      <c r="AQ47" s="90">
        <f>'增加值 (2001-2060, 2020RMB)'!AQ47*$B$73</f>
        <v>20709.794666978101</v>
      </c>
      <c r="AR47" s="90">
        <f>'增加值 (2001-2060, 2020RMB)'!AR47*$B$73</f>
        <v>21503.165527425681</v>
      </c>
      <c r="AS47" s="90">
        <f>'增加值 (2001-2060, 2020RMB)'!AS47*$B$73</f>
        <v>22273.405601713217</v>
      </c>
      <c r="AT47" s="90">
        <f>'增加值 (2001-2060, 2020RMB)'!AT47*$B$73</f>
        <v>23020.11550859797</v>
      </c>
      <c r="AU47" s="89">
        <f>'增加值 (2001-2060, 2020RMB)'!AU47*$B$73</f>
        <v>23743.461771405862</v>
      </c>
      <c r="AV47" s="90">
        <f>'增加值 (2001-2060, 2020RMB)'!AV47*$B$73</f>
        <v>24444.168544670571</v>
      </c>
      <c r="AW47" s="90">
        <f>'增加值 (2001-2060, 2020RMB)'!AW47*$B$73</f>
        <v>25123.504126645217</v>
      </c>
      <c r="AX47" s="90">
        <f>'增加值 (2001-2060, 2020RMB)'!AX47*$B$73</f>
        <v>25783.263774423958</v>
      </c>
      <c r="AY47" s="101">
        <f>'增加值 (2001-2060, 2020RMB)'!AY47*$B$73</f>
        <v>26425.750375240568</v>
      </c>
      <c r="AZ47" s="89">
        <f>'增加值 (2001-2060, 2020RMB)'!AZ47*$B$73</f>
        <v>27053.754528183468</v>
      </c>
      <c r="BA47" s="90">
        <f>'增加值 (2001-2060, 2020RMB)'!BA47*$B$73</f>
        <v>27670.535564287373</v>
      </c>
      <c r="BB47" s="90">
        <f>'增加值 (2001-2060, 2020RMB)'!BB47*$B$73</f>
        <v>28279.804989531331</v>
      </c>
      <c r="BC47" s="90">
        <f>'增加值 (2001-2060, 2020RMB)'!BC47*$B$73</f>
        <v>28885.713784725973</v>
      </c>
      <c r="BD47" s="101">
        <f>'增加值 (2001-2060, 2020RMB)'!BD47*$B$73</f>
        <v>29492.844948614977</v>
      </c>
      <c r="BE47" s="90">
        <f>'增加值 (2001-2060, 2020RMB)'!BE47*$B$73</f>
        <v>30106.212635551434</v>
      </c>
      <c r="BF47" s="90">
        <f>'增加值 (2001-2060, 2020RMB)'!BF47*$B$73</f>
        <v>30731.269226467375</v>
      </c>
      <c r="BG47" s="90">
        <f>'增加值 (2001-2060, 2020RMB)'!BG47*$B$73</f>
        <v>31373.921690997107</v>
      </c>
      <c r="BH47" s="90">
        <f>'增加值 (2001-2060, 2020RMB)'!BH47*$B$73</f>
        <v>32040.558659144212</v>
      </c>
      <c r="BI47" s="109">
        <f>'增加值 (2001-2060, 2020RMB)'!BI47*$B$73</f>
        <v>32738.089732770266</v>
      </c>
    </row>
    <row r="48" spans="1:61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f>'增加值 (2001-2060, 2020RMB)'!I48*$B$73</f>
        <v>174.94890796108089</v>
      </c>
      <c r="J48" s="20">
        <f>'增加值 (2001-2060, 2020RMB)'!J48*$B$73</f>
        <v>169.15820543043426</v>
      </c>
      <c r="K48" s="21">
        <f>'增加值 (2001-2060, 2020RMB)'!K48*$B$73</f>
        <v>196.46933500099175</v>
      </c>
      <c r="L48" s="19">
        <f>'增加值 (2001-2060, 2020RMB)'!L48*$B$73</f>
        <v>219.55529259720151</v>
      </c>
      <c r="M48" s="20">
        <f>'增加值 (2001-2060, 2020RMB)'!M48*$B$73</f>
        <v>235.35118038279785</v>
      </c>
      <c r="N48" s="20">
        <f>'增加值 (2001-2060, 2020RMB)'!N48*$B$73</f>
        <v>249.50909097016776</v>
      </c>
      <c r="O48" s="20">
        <f>'增加值 (2001-2060, 2020RMB)'!O48*$B$73</f>
        <v>261.69729116037337</v>
      </c>
      <c r="P48" s="20">
        <f>'增加值 (2001-2060, 2020RMB)'!P48*$B$73</f>
        <v>261.68098067397437</v>
      </c>
      <c r="Q48" s="19">
        <f>'增加值 (2001-2060, 2020RMB)'!Q48*$B$73</f>
        <v>279.37539782966684</v>
      </c>
      <c r="R48" s="20">
        <f>'增加值 (2001-2060, 2020RMB)'!R48*$B$73</f>
        <v>318.13496199016924</v>
      </c>
      <c r="S48" s="20">
        <f>'增加值 (2001-2060, 2020RMB)'!S48*$B$73</f>
        <v>336.40604594488298</v>
      </c>
      <c r="T48" s="20">
        <f>'增加值 (2001-2060, 2020RMB)'!T48*$B$73</f>
        <v>358.40848198921412</v>
      </c>
      <c r="U48" s="21">
        <f>'增加值 (2001-2060, 2020RMB)'!U48*$B$73</f>
        <v>358.49983471901351</v>
      </c>
      <c r="V48" s="20">
        <f>'增加值 (2001-2060, 2020RMB)'!V48*$B$73</f>
        <v>418.05813758237923</v>
      </c>
      <c r="W48" s="20">
        <f>'增加值 (2001-2060, 2020RMB)'!W48*$B$73</f>
        <v>444.2119594191438</v>
      </c>
      <c r="X48" s="90">
        <f>'增加值 (2001-2060, 2020RMB)'!X48*$B$73</f>
        <v>472.71393545947524</v>
      </c>
      <c r="Y48" s="90">
        <f>'增加值 (2001-2060, 2020RMB)'!Y48*$B$73</f>
        <v>501.74496920943517</v>
      </c>
      <c r="Z48" s="90">
        <f>'增加值 (2001-2060, 2020RMB)'!Z48*$B$73</f>
        <v>531.34901433936489</v>
      </c>
      <c r="AA48" s="89">
        <f>'增加值 (2001-2060, 2020RMB)'!AA48*$B$73</f>
        <v>561.59693859809659</v>
      </c>
      <c r="AB48" s="90">
        <f>'增加值 (2001-2060, 2020RMB)'!AB48*$B$73</f>
        <v>592.58868179763761</v>
      </c>
      <c r="AC48" s="90">
        <f>'增加值 (2001-2060, 2020RMB)'!AC48*$B$73</f>
        <v>624.45552128338647</v>
      </c>
      <c r="AD48" s="90">
        <f>'增加值 (2001-2060, 2020RMB)'!AD48*$B$73</f>
        <v>657.36257129707951</v>
      </c>
      <c r="AE48" s="101">
        <f>'增加值 (2001-2060, 2020RMB)'!AE48*$B$73</f>
        <v>691.51166319260926</v>
      </c>
      <c r="AF48" s="90">
        <f>'增加值 (2001-2060, 2020RMB)'!AF48*$B$73</f>
        <v>727.0363550217553</v>
      </c>
      <c r="AG48" s="90">
        <f>'增加值 (2001-2060, 2020RMB)'!AG48*$B$73</f>
        <v>763.63670487764875</v>
      </c>
      <c r="AH48" s="90">
        <f>'增加值 (2001-2060, 2020RMB)'!AH48*$B$73</f>
        <v>800.8270168648329</v>
      </c>
      <c r="AI48" s="90">
        <f>'增加值 (2001-2060, 2020RMB)'!AI48*$B$73</f>
        <v>838.02909630941269</v>
      </c>
      <c r="AJ48" s="106">
        <f>'增加值 (2001-2060, 2020RMB)'!AJ48*$B$73</f>
        <v>874.57114638286737</v>
      </c>
      <c r="AK48" s="89">
        <f>'增加值 (2001-2060, 2020RMB)'!AK48*$B$73</f>
        <v>909.80345206096774</v>
      </c>
      <c r="AL48" s="90">
        <f>'增加值 (2001-2060, 2020RMB)'!AL48*$B$73</f>
        <v>943.47671662149924</v>
      </c>
      <c r="AM48" s="90">
        <f>'增加值 (2001-2060, 2020RMB)'!AM48*$B$73</f>
        <v>975.47077929705802</v>
      </c>
      <c r="AN48" s="90">
        <f>'增加值 (2001-2060, 2020RMB)'!AN48*$B$73</f>
        <v>1005.692269792554</v>
      </c>
      <c r="AO48" s="101">
        <f>'增加值 (2001-2060, 2020RMB)'!AO48*$B$73</f>
        <v>1034.0749768216563</v>
      </c>
      <c r="AP48" s="90">
        <f>'增加值 (2001-2060, 2020RMB)'!AP48*$B$73</f>
        <v>1060.5797107999401</v>
      </c>
      <c r="AQ48" s="90">
        <f>'增加值 (2001-2060, 2020RMB)'!AQ48*$B$73</f>
        <v>1085.1937117551518</v>
      </c>
      <c r="AR48" s="90">
        <f>'增加值 (2001-2060, 2020RMB)'!AR48*$B$73</f>
        <v>1107.9296624820086</v>
      </c>
      <c r="AS48" s="90">
        <f>'增加值 (2001-2060, 2020RMB)'!AS48*$B$73</f>
        <v>1128.8243730437075</v>
      </c>
      <c r="AT48" s="90">
        <f>'增加值 (2001-2060, 2020RMB)'!AT48*$B$73</f>
        <v>1147.9372060444935</v>
      </c>
      <c r="AU48" s="89">
        <f>'增加值 (2001-2060, 2020RMB)'!AU48*$B$73</f>
        <v>1165.3483129123531</v>
      </c>
      <c r="AV48" s="90">
        <f>'增加值 (2001-2060, 2020RMB)'!AV48*$B$73</f>
        <v>1181.156750062192</v>
      </c>
      <c r="AW48" s="90">
        <f>'增加值 (2001-2060, 2020RMB)'!AW48*$B$73</f>
        <v>1195.4785406334524</v>
      </c>
      <c r="AX48" s="90">
        <f>'增加值 (2001-2060, 2020RMB)'!AX48*$B$73</f>
        <v>1208.4447429156232</v>
      </c>
      <c r="AY48" s="101">
        <f>'增加值 (2001-2060, 2020RMB)'!AY48*$B$73</f>
        <v>1220.1995809992407</v>
      </c>
      <c r="AZ48" s="89">
        <f>'增加值 (2001-2060, 2020RMB)'!AZ48*$B$73</f>
        <v>1230.8986870149777</v>
      </c>
      <c r="BA48" s="90">
        <f>'增加值 (2001-2060, 2020RMB)'!BA48*$B$73</f>
        <v>1240.7074979185527</v>
      </c>
      <c r="BB48" s="90">
        <f>'增加值 (2001-2060, 2020RMB)'!BB48*$B$73</f>
        <v>1249.7998434775479</v>
      </c>
      <c r="BC48" s="90">
        <f>'增加值 (2001-2060, 2020RMB)'!BC48*$B$73</f>
        <v>1258.3567562078299</v>
      </c>
      <c r="BD48" s="101">
        <f>'增加值 (2001-2060, 2020RMB)'!BD48*$B$73</f>
        <v>1266.565528739183</v>
      </c>
      <c r="BE48" s="90">
        <f>'增加值 (2001-2060, 2020RMB)'!BE48*$B$73</f>
        <v>1274.6190396649724</v>
      </c>
      <c r="BF48" s="90">
        <f>'增加值 (2001-2060, 2020RMB)'!BF48*$B$73</f>
        <v>1282.7153655146426</v>
      </c>
      <c r="BG48" s="90">
        <f>'增加值 (2001-2060, 2020RMB)'!BG48*$B$73</f>
        <v>1291.057694213554</v>
      </c>
      <c r="BH48" s="90">
        <f>'增加值 (2001-2060, 2020RMB)'!BH48*$B$73</f>
        <v>1299.8545543714499</v>
      </c>
      <c r="BI48" s="109">
        <f>'增加值 (2001-2060, 2020RMB)'!BI48*$B$73</f>
        <v>1309.3203750641617</v>
      </c>
    </row>
    <row r="49" spans="1:61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f>'增加值 (2001-2060, 2020RMB)'!I49*$B$73</f>
        <v>73.191384341486625</v>
      </c>
      <c r="J49" s="20">
        <f>'增加值 (2001-2060, 2020RMB)'!J49*$B$73</f>
        <v>73.474659653845421</v>
      </c>
      <c r="K49" s="21">
        <f>'增加值 (2001-2060, 2020RMB)'!K49*$B$73</f>
        <v>83.624921112940243</v>
      </c>
      <c r="L49" s="19">
        <f>'增加值 (2001-2060, 2020RMB)'!L49*$B$73</f>
        <v>95.218972821549272</v>
      </c>
      <c r="M49" s="20">
        <f>'增加值 (2001-2060, 2020RMB)'!M49*$B$73</f>
        <v>96.993213780031667</v>
      </c>
      <c r="N49" s="20">
        <f>'增加值 (2001-2060, 2020RMB)'!N49*$B$73</f>
        <v>94.258989967267098</v>
      </c>
      <c r="O49" s="20">
        <f>'增加值 (2001-2060, 2020RMB)'!O49*$B$73</f>
        <v>95.067933320263947</v>
      </c>
      <c r="P49" s="20">
        <f>'增加值 (2001-2060, 2020RMB)'!P49*$B$73</f>
        <v>95.693349747696558</v>
      </c>
      <c r="Q49" s="19">
        <f>'增加值 (2001-2060, 2020RMB)'!Q49*$B$73</f>
        <v>98.428540730725757</v>
      </c>
      <c r="R49" s="20">
        <f>'增加值 (2001-2060, 2020RMB)'!R49*$B$73</f>
        <v>105.50856697718477</v>
      </c>
      <c r="S49" s="20">
        <f>'增加值 (2001-2060, 2020RMB)'!S49*$B$73</f>
        <v>108.5215335751294</v>
      </c>
      <c r="T49" s="20">
        <f>'增加值 (2001-2060, 2020RMB)'!T49*$B$73</f>
        <v>107.45795578155793</v>
      </c>
      <c r="U49" s="21">
        <f>'增加值 (2001-2060, 2020RMB)'!U49*$B$73</f>
        <v>100.10482337303415</v>
      </c>
      <c r="V49" s="20">
        <f>'增加值 (2001-2060, 2020RMB)'!V49*$B$73</f>
        <v>113.81705420803372</v>
      </c>
      <c r="W49" s="20">
        <f>'增加值 (2001-2060, 2020RMB)'!W49*$B$73</f>
        <v>124.98414275926726</v>
      </c>
      <c r="X49" s="90">
        <f>'增加值 (2001-2060, 2020RMB)'!X49*$B$73</f>
        <v>128.20101827846179</v>
      </c>
      <c r="Y49" s="90">
        <f>'增加值 (2001-2060, 2020RMB)'!Y49*$B$73</f>
        <v>131.41857852103203</v>
      </c>
      <c r="Z49" s="90">
        <f>'增加值 (2001-2060, 2020RMB)'!Z49*$B$73</f>
        <v>134.61458575874946</v>
      </c>
      <c r="AA49" s="89">
        <f>'增加值 (2001-2060, 2020RMB)'!AA49*$B$73</f>
        <v>137.76499072740003</v>
      </c>
      <c r="AB49" s="90">
        <f>'增加值 (2001-2060, 2020RMB)'!AB49*$B$73</f>
        <v>140.84399698550854</v>
      </c>
      <c r="AC49" s="90">
        <f>'增加值 (2001-2060, 2020RMB)'!AC49*$B$73</f>
        <v>143.82416871425738</v>
      </c>
      <c r="AD49" s="90">
        <f>'增加值 (2001-2060, 2020RMB)'!AD49*$B$73</f>
        <v>146.6765857906137</v>
      </c>
      <c r="AE49" s="101">
        <f>'增加值 (2001-2060, 2020RMB)'!AE49*$B$73</f>
        <v>149.37104933042792</v>
      </c>
      <c r="AF49" s="90">
        <f>'增加值 (2001-2060, 2020RMB)'!AF49*$B$73</f>
        <v>151.8757376504303</v>
      </c>
      <c r="AG49" s="90">
        <f>'增加值 (2001-2060, 2020RMB)'!AG49*$B$73</f>
        <v>154.15563908669438</v>
      </c>
      <c r="AH49" s="90">
        <f>'增加值 (2001-2060, 2020RMB)'!AH49*$B$73</f>
        <v>156.17462627466819</v>
      </c>
      <c r="AI49" s="90">
        <f>'增加值 (2001-2060, 2020RMB)'!AI49*$B$73</f>
        <v>157.89652580256799</v>
      </c>
      <c r="AJ49" s="106">
        <f>'增加值 (2001-2060, 2020RMB)'!AJ49*$B$73</f>
        <v>159.28567091614062</v>
      </c>
      <c r="AK49" s="89">
        <f>'增加值 (2001-2060, 2020RMB)'!AK49*$B$73</f>
        <v>160.31432575813457</v>
      </c>
      <c r="AL49" s="90">
        <f>'增加值 (2001-2060, 2020RMB)'!AL49*$B$73</f>
        <v>160.98400454252595</v>
      </c>
      <c r="AM49" s="90">
        <f>'增加值 (2001-2060, 2020RMB)'!AM49*$B$73</f>
        <v>161.30566795828219</v>
      </c>
      <c r="AN49" s="90">
        <f>'增加值 (2001-2060, 2020RMB)'!AN49*$B$73</f>
        <v>161.29272346696521</v>
      </c>
      <c r="AO49" s="101">
        <f>'增加值 (2001-2060, 2020RMB)'!AO49*$B$73</f>
        <v>160.96072003205262</v>
      </c>
      <c r="AP49" s="90">
        <f>'增加值 (2001-2060, 2020RMB)'!AP49*$B$73</f>
        <v>160.32703417227793</v>
      </c>
      <c r="AQ49" s="90">
        <f>'增加值 (2001-2060, 2020RMB)'!AQ49*$B$73</f>
        <v>159.41055400438017</v>
      </c>
      <c r="AR49" s="90">
        <f>'增加值 (2001-2060, 2020RMB)'!AR49*$B$73</f>
        <v>158.23136733055054</v>
      </c>
      <c r="AS49" s="90">
        <f>'增加值 (2001-2060, 2020RMB)'!AS49*$B$73</f>
        <v>156.8104591260726</v>
      </c>
      <c r="AT49" s="90">
        <f>'增加值 (2001-2060, 2020RMB)'!AT49*$B$73</f>
        <v>155.16942302489849</v>
      </c>
      <c r="AU49" s="89">
        <f>'增加值 (2001-2060, 2020RMB)'!AU49*$B$73</f>
        <v>153.3301906146481</v>
      </c>
      <c r="AV49" s="90">
        <f>'增加值 (2001-2060, 2020RMB)'!AV49*$B$73</f>
        <v>151.31478156434156</v>
      </c>
      <c r="AW49" s="90">
        <f>'增加值 (2001-2060, 2020RMB)'!AW49*$B$73</f>
        <v>149.14507684103927</v>
      </c>
      <c r="AX49" s="90">
        <f>'增加值 (2001-2060, 2020RMB)'!AX49*$B$73</f>
        <v>146.84261654468096</v>
      </c>
      <c r="AY49" s="101">
        <f>'增加值 (2001-2060, 2020RMB)'!AY49*$B$73</f>
        <v>144.4284232189369</v>
      </c>
      <c r="AZ49" s="89">
        <f>'增加值 (2001-2060, 2020RMB)'!AZ49*$B$73</f>
        <v>141.92285089111729</v>
      </c>
      <c r="BA49" s="90">
        <f>'增加值 (2001-2060, 2020RMB)'!BA49*$B$73</f>
        <v>139.34545956369521</v>
      </c>
      <c r="BB49" s="90">
        <f>'增加值 (2001-2060, 2020RMB)'!BB49*$B$73</f>
        <v>136.71491442796125</v>
      </c>
      <c r="BC49" s="90">
        <f>'增加值 (2001-2060, 2020RMB)'!BC49*$B$73</f>
        <v>134.04890869795116</v>
      </c>
      <c r="BD49" s="101">
        <f>'增加值 (2001-2060, 2020RMB)'!BD49*$B$73</f>
        <v>131.36410866867547</v>
      </c>
      <c r="BE49" s="90">
        <f>'增加值 (2001-2060, 2020RMB)'!BE49*$B$73</f>
        <v>128.67611938343691</v>
      </c>
      <c r="BF49" s="90">
        <f>'增加值 (2001-2060, 2020RMB)'!BF49*$B$73</f>
        <v>125.99946914552348</v>
      </c>
      <c r="BG49" s="90">
        <f>'增加值 (2001-2060, 2020RMB)'!BG49*$B$73</f>
        <v>123.34761102365333</v>
      </c>
      <c r="BH49" s="90">
        <f>'增加值 (2001-2060, 2020RMB)'!BH49*$B$73</f>
        <v>120.73293947116343</v>
      </c>
      <c r="BI49" s="109">
        <f>'增加值 (2001-2060, 2020RMB)'!BI49*$B$73</f>
        <v>118.16682019877072</v>
      </c>
    </row>
    <row r="50" spans="1:61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f>'增加值 (2001-2060, 2020RMB)'!I50*$B$73</f>
        <v>38.268905171653408</v>
      </c>
      <c r="J50" s="20">
        <f>'增加值 (2001-2060, 2020RMB)'!J50*$B$73</f>
        <v>46.833211685533172</v>
      </c>
      <c r="K50" s="21">
        <f>'增加值 (2001-2060, 2020RMB)'!K50*$B$73</f>
        <v>57.80561397974823</v>
      </c>
      <c r="L50" s="19">
        <f>'增加值 (2001-2060, 2020RMB)'!L50*$B$73</f>
        <v>64.764645035532666</v>
      </c>
      <c r="M50" s="20">
        <f>'增加值 (2001-2060, 2020RMB)'!M50*$B$73</f>
        <v>70.965520559665123</v>
      </c>
      <c r="N50" s="20">
        <f>'增加值 (2001-2060, 2020RMB)'!N50*$B$73</f>
        <v>77.796310354086884</v>
      </c>
      <c r="O50" s="20">
        <f>'增加值 (2001-2060, 2020RMB)'!O50*$B$73</f>
        <v>86.892132718429352</v>
      </c>
      <c r="P50" s="20">
        <f>'增加值 (2001-2060, 2020RMB)'!P50*$B$73</f>
        <v>99.251999418529735</v>
      </c>
      <c r="Q50" s="19">
        <f>'增加值 (2001-2060, 2020RMB)'!Q50*$B$73</f>
        <v>104.80094610845228</v>
      </c>
      <c r="R50" s="20">
        <f>'增加值 (2001-2060, 2020RMB)'!R50*$B$73</f>
        <v>107.56571695122068</v>
      </c>
      <c r="S50" s="20">
        <f>'增加值 (2001-2060, 2020RMB)'!S50*$B$73</f>
        <v>111.70845905906732</v>
      </c>
      <c r="T50" s="20">
        <f>'增加值 (2001-2060, 2020RMB)'!T50*$B$73</f>
        <v>121.81502945383929</v>
      </c>
      <c r="U50" s="21">
        <f>'增加值 (2001-2060, 2020RMB)'!U50*$B$73</f>
        <v>121.02120146583695</v>
      </c>
      <c r="V50" s="20">
        <f>'增加值 (2001-2060, 2020RMB)'!V50*$B$73</f>
        <v>164.0597870260292</v>
      </c>
      <c r="W50" s="20">
        <f>'增加值 (2001-2060, 2020RMB)'!W50*$B$73</f>
        <v>204.32170048770587</v>
      </c>
      <c r="X50" s="90">
        <f>'增加值 (2001-2060, 2020RMB)'!X50*$B$73</f>
        <v>216.02594219580172</v>
      </c>
      <c r="Y50" s="90">
        <f>'增加值 (2001-2060, 2020RMB)'!Y50*$B$73</f>
        <v>230.62163855947674</v>
      </c>
      <c r="Z50" s="90">
        <f>'增加值 (2001-2060, 2020RMB)'!Z50*$B$73</f>
        <v>248.11095599262237</v>
      </c>
      <c r="AA50" s="89">
        <f>'增加值 (2001-2060, 2020RMB)'!AA50*$B$73</f>
        <v>268.46803570499986</v>
      </c>
      <c r="AB50" s="90">
        <f>'增加值 (2001-2060, 2020RMB)'!AB50*$B$73</f>
        <v>291.60098997766198</v>
      </c>
      <c r="AC50" s="90">
        <f>'增加值 (2001-2060, 2020RMB)'!AC50*$B$73</f>
        <v>317.31030750007892</v>
      </c>
      <c r="AD50" s="90">
        <f>'增加值 (2001-2060, 2020RMB)'!AD50*$B$73</f>
        <v>345.24480641652707</v>
      </c>
      <c r="AE50" s="101">
        <f>'增加值 (2001-2060, 2020RMB)'!AE50*$B$73</f>
        <v>374.85812443505785</v>
      </c>
      <c r="AF50" s="90">
        <f>'增加值 (2001-2060, 2020RMB)'!AF50*$B$73</f>
        <v>405.50751433371084</v>
      </c>
      <c r="AG50" s="90">
        <f>'增加值 (2001-2060, 2020RMB)'!AG50*$B$73</f>
        <v>436.92215804810348</v>
      </c>
      <c r="AH50" s="90">
        <f>'增加值 (2001-2060, 2020RMB)'!AH50*$B$73</f>
        <v>468.93191695176318</v>
      </c>
      <c r="AI50" s="90">
        <f>'增加值 (2001-2060, 2020RMB)'!AI50*$B$73</f>
        <v>501.35280605089332</v>
      </c>
      <c r="AJ50" s="106">
        <f>'增加值 (2001-2060, 2020RMB)'!AJ50*$B$73</f>
        <v>533.98912797936589</v>
      </c>
      <c r="AK50" s="89">
        <f>'增加值 (2001-2060, 2020RMB)'!AK50*$B$73</f>
        <v>566.64053014349099</v>
      </c>
      <c r="AL50" s="90">
        <f>'增加值 (2001-2060, 2020RMB)'!AL50*$B$73</f>
        <v>599.12073485020812</v>
      </c>
      <c r="AM50" s="90">
        <f>'增加值 (2001-2060, 2020RMB)'!AM50*$B$73</f>
        <v>631.24997356523693</v>
      </c>
      <c r="AN50" s="90">
        <f>'增加值 (2001-2060, 2020RMB)'!AN50*$B$73</f>
        <v>662.85344195670848</v>
      </c>
      <c r="AO50" s="101">
        <f>'增加值 (2001-2060, 2020RMB)'!AO50*$B$73</f>
        <v>693.76373025526004</v>
      </c>
      <c r="AP50" s="90">
        <f>'增加值 (2001-2060, 2020RMB)'!AP50*$B$73</f>
        <v>723.82305539479421</v>
      </c>
      <c r="AQ50" s="90">
        <f>'增加值 (2001-2060, 2020RMB)'!AQ50*$B$73</f>
        <v>752.88525401416894</v>
      </c>
      <c r="AR50" s="90">
        <f>'增加值 (2001-2060, 2020RMB)'!AR50*$B$73</f>
        <v>780.81750408273388</v>
      </c>
      <c r="AS50" s="90">
        <f>'增加值 (2001-2060, 2020RMB)'!AS50*$B$73</f>
        <v>807.50175203336926</v>
      </c>
      <c r="AT50" s="90">
        <f>'增加值 (2001-2060, 2020RMB)'!AT50*$B$73</f>
        <v>832.83583148742935</v>
      </c>
      <c r="AU50" s="89">
        <f>'增加值 (2001-2060, 2020RMB)'!AU50*$B$73</f>
        <v>856.734268607025</v>
      </c>
      <c r="AV50" s="90">
        <f>'增加值 (2001-2060, 2020RMB)'!AV50*$B$73</f>
        <v>879.12877752268435</v>
      </c>
      <c r="AW50" s="90">
        <f>'增加值 (2001-2060, 2020RMB)'!AW50*$B$73</f>
        <v>899.96845691884323</v>
      </c>
      <c r="AX50" s="90">
        <f>'增加值 (2001-2060, 2020RMB)'!AX50*$B$73</f>
        <v>919.21970553075175</v>
      </c>
      <c r="AY50" s="101">
        <f>'增加值 (2001-2060, 2020RMB)'!AY50*$B$73</f>
        <v>936.86587988539395</v>
      </c>
      <c r="AZ50" s="89">
        <f>'增加值 (2001-2060, 2020RMB)'!AZ50*$B$73</f>
        <v>952.90672203304189</v>
      </c>
      <c r="BA50" s="90">
        <f>'增加值 (2001-2060, 2020RMB)'!BA50*$B$73</f>
        <v>967.35758824379559</v>
      </c>
      <c r="BB50" s="90">
        <f>'增加值 (2001-2060, 2020RMB)'!BB50*$B$73</f>
        <v>980.24851171082059</v>
      </c>
      <c r="BC50" s="90">
        <f>'增加值 (2001-2060, 2020RMB)'!BC50*$B$73</f>
        <v>991.62313327443883</v>
      </c>
      <c r="BD50" s="101">
        <f>'增加值 (2001-2060, 2020RMB)'!BD50*$B$73</f>
        <v>1001.5375341565729</v>
      </c>
      <c r="BE50" s="90">
        <f>'增加值 (2001-2060, 2020RMB)'!BE50*$B$73</f>
        <v>1010.059003795012</v>
      </c>
      <c r="BF50" s="90">
        <f>'增加值 (2001-2060, 2020RMB)'!BF50*$B$73</f>
        <v>1017.2647742294508</v>
      </c>
      <c r="BG50" s="90">
        <f>'增加值 (2001-2060, 2020RMB)'!BG50*$B$73</f>
        <v>1023.2407502627779</v>
      </c>
      <c r="BH50" s="90">
        <f>'增加值 (2001-2060, 2020RMB)'!BH50*$B$73</f>
        <v>1028.0802619497142</v>
      </c>
      <c r="BI50" s="109">
        <f>'增加值 (2001-2060, 2020RMB)'!BI50*$B$73</f>
        <v>1031.882862995071</v>
      </c>
    </row>
    <row r="51" spans="1:61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f>'增加值 (2001-2060, 2020RMB)'!I51*$B$73</f>
        <v>22.452835911654002</v>
      </c>
      <c r="J51" s="20">
        <f>'增加值 (2001-2060, 2020RMB)'!J51*$B$73</f>
        <v>23.412379173753692</v>
      </c>
      <c r="K51" s="21">
        <f>'增加值 (2001-2060, 2020RMB)'!K51*$B$73</f>
        <v>27.055965524115788</v>
      </c>
      <c r="L51" s="19">
        <f>'增加值 (2001-2060, 2020RMB)'!L51*$B$73</f>
        <v>30.625116401895806</v>
      </c>
      <c r="M51" s="20">
        <f>'增加值 (2001-2060, 2020RMB)'!M51*$B$73</f>
        <v>32.536888744587912</v>
      </c>
      <c r="N51" s="20">
        <f>'增加值 (2001-2060, 2020RMB)'!N51*$B$73</f>
        <v>35.699637404168797</v>
      </c>
      <c r="O51" s="20">
        <f>'增加值 (2001-2060, 2020RMB)'!O51*$B$73</f>
        <v>38.367627851350051</v>
      </c>
      <c r="P51" s="20">
        <f>'增加值 (2001-2060, 2020RMB)'!P51*$B$73</f>
        <v>39.602824835326153</v>
      </c>
      <c r="Q51" s="19">
        <f>'增加值 (2001-2060, 2020RMB)'!Q51*$B$73</f>
        <v>41.15991326248249</v>
      </c>
      <c r="R51" s="20">
        <f>'增加值 (2001-2060, 2020RMB)'!R51*$B$73</f>
        <v>45.745408371569674</v>
      </c>
      <c r="S51" s="20">
        <f>'增加值 (2001-2060, 2020RMB)'!S51*$B$73</f>
        <v>50.832278851937239</v>
      </c>
      <c r="T51" s="20">
        <f>'增加值 (2001-2060, 2020RMB)'!T51*$B$73</f>
        <v>55.823300807607737</v>
      </c>
      <c r="U51" s="21">
        <f>'增加值 (2001-2060, 2020RMB)'!U51*$B$73</f>
        <v>52.219430202324659</v>
      </c>
      <c r="V51" s="20">
        <f>'增加值 (2001-2060, 2020RMB)'!V51*$B$73</f>
        <v>57.360679492383881</v>
      </c>
      <c r="W51" s="20">
        <f>'增加值 (2001-2060, 2020RMB)'!W51*$B$73</f>
        <v>65.377607731033848</v>
      </c>
      <c r="X51" s="90">
        <f>'增加值 (2001-2060, 2020RMB)'!X51*$B$73</f>
        <v>68.093761596162068</v>
      </c>
      <c r="Y51" s="90">
        <f>'增加值 (2001-2060, 2020RMB)'!Y51*$B$73</f>
        <v>70.780172357640524</v>
      </c>
      <c r="Z51" s="90">
        <f>'增加值 (2001-2060, 2020RMB)'!Z51*$B$73</f>
        <v>73.426450822725826</v>
      </c>
      <c r="AA51" s="89">
        <f>'增加值 (2001-2060, 2020RMB)'!AA51*$B$73</f>
        <v>76.022251757853681</v>
      </c>
      <c r="AB51" s="90">
        <f>'增加值 (2001-2060, 2020RMB)'!AB51*$B$73</f>
        <v>78.557351920738185</v>
      </c>
      <c r="AC51" s="90">
        <f>'增加值 (2001-2060, 2020RMB)'!AC51*$B$73</f>
        <v>81.021727155020386</v>
      </c>
      <c r="AD51" s="90">
        <f>'增加值 (2001-2060, 2020RMB)'!AD51*$B$73</f>
        <v>83.40562765754548</v>
      </c>
      <c r="AE51" s="101">
        <f>'增加值 (2001-2060, 2020RMB)'!AE51*$B$73</f>
        <v>85.699650562648671</v>
      </c>
      <c r="AF51" s="90">
        <f>'增加值 (2001-2060, 2020RMB)'!AF51*$B$73</f>
        <v>87.892310546226739</v>
      </c>
      <c r="AG51" s="90">
        <f>'增加值 (2001-2060, 2020RMB)'!AG51*$B$73</f>
        <v>89.962136469156022</v>
      </c>
      <c r="AH51" s="90">
        <f>'增加值 (2001-2060, 2020RMB)'!AH51*$B$73</f>
        <v>91.884500329480801</v>
      </c>
      <c r="AI51" s="90">
        <f>'增加值 (2001-2060, 2020RMB)'!AI51*$B$73</f>
        <v>93.634294454616935</v>
      </c>
      <c r="AJ51" s="106">
        <f>'增加值 (2001-2060, 2020RMB)'!AJ51*$B$73</f>
        <v>95.186286307974243</v>
      </c>
      <c r="AK51" s="89">
        <f>'增加值 (2001-2060, 2020RMB)'!AK51*$B$73</f>
        <v>96.519468365998804</v>
      </c>
      <c r="AL51" s="90">
        <f>'增加值 (2001-2060, 2020RMB)'!AL51*$B$73</f>
        <v>97.629706487796867</v>
      </c>
      <c r="AM51" s="90">
        <f>'增加值 (2001-2060, 2020RMB)'!AM51*$B$73</f>
        <v>98.518722062825503</v>
      </c>
      <c r="AN51" s="90">
        <f>'增加值 (2001-2060, 2020RMB)'!AN51*$B$73</f>
        <v>99.190134325221237</v>
      </c>
      <c r="AO51" s="101">
        <f>'增加值 (2001-2060, 2020RMB)'!AO51*$B$73</f>
        <v>99.649312920503547</v>
      </c>
      <c r="AP51" s="90">
        <f>'增加值 (2001-2060, 2020RMB)'!AP51*$B$73</f>
        <v>99.903213807572953</v>
      </c>
      <c r="AQ51" s="90">
        <f>'增加值 (2001-2060, 2020RMB)'!AQ51*$B$73</f>
        <v>99.960203060097413</v>
      </c>
      <c r="AR51" s="90">
        <f>'增加值 (2001-2060, 2020RMB)'!AR51*$B$73</f>
        <v>99.829872988298163</v>
      </c>
      <c r="AS51" s="90">
        <f>'增加值 (2001-2060, 2020RMB)'!AS51*$B$73</f>
        <v>99.522854755681706</v>
      </c>
      <c r="AT51" s="90">
        <f>'增加值 (2001-2060, 2020RMB)'!AT51*$B$73</f>
        <v>99.050631334960002</v>
      </c>
      <c r="AU51" s="89">
        <f>'增加值 (2001-2060, 2020RMB)'!AU51*$B$73</f>
        <v>98.425354253218515</v>
      </c>
      <c r="AV51" s="90">
        <f>'增加值 (2001-2060, 2020RMB)'!AV51*$B$73</f>
        <v>97.659667137989501</v>
      </c>
      <c r="AW51" s="90">
        <f>'增加值 (2001-2060, 2020RMB)'!AW51*$B$73</f>
        <v>96.766538611820238</v>
      </c>
      <c r="AX51" s="90">
        <f>'增加值 (2001-2060, 2020RMB)'!AX51*$B$73</f>
        <v>95.759106610165389</v>
      </c>
      <c r="AY51" s="101">
        <f>'增加值 (2001-2060, 2020RMB)'!AY51*$B$73</f>
        <v>94.650535730923536</v>
      </c>
      <c r="AZ51" s="89">
        <f>'增加值 (2001-2060, 2020RMB)'!AZ51*$B$73</f>
        <v>93.453888776372722</v>
      </c>
      <c r="BA51" s="90">
        <f>'增加值 (2001-2060, 2020RMB)'!BA51*$B$73</f>
        <v>92.182013229927492</v>
      </c>
      <c r="BB51" s="90">
        <f>'增加值 (2001-2060, 2020RMB)'!BB51*$B$73</f>
        <v>90.847443028951432</v>
      </c>
      <c r="BC51" s="90">
        <f>'增加值 (2001-2060, 2020RMB)'!BC51*$B$73</f>
        <v>89.462315656401216</v>
      </c>
      <c r="BD51" s="101">
        <f>'增加值 (2001-2060, 2020RMB)'!BD51*$B$73</f>
        <v>88.038304281818824</v>
      </c>
      <c r="BE51" s="90">
        <f>'增加值 (2001-2060, 2020RMB)'!BE51*$B$73</f>
        <v>86.586564437665757</v>
      </c>
      <c r="BF51" s="90">
        <f>'增加值 (2001-2060, 2020RMB)'!BF51*$B$73</f>
        <v>85.117694520111542</v>
      </c>
      <c r="BG51" s="90">
        <f>'增加值 (2001-2060, 2020RMB)'!BG51*$B$73</f>
        <v>83.641709252666899</v>
      </c>
      <c r="BH51" s="90">
        <f>'增加值 (2001-2060, 2020RMB)'!BH51*$B$73</f>
        <v>82.168025143926144</v>
      </c>
      <c r="BI51" s="109">
        <f>'增加值 (2001-2060, 2020RMB)'!BI51*$B$73</f>
        <v>80.705456903803082</v>
      </c>
    </row>
    <row r="52" spans="1:61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f>'增加值 (2001-2060, 2020RMB)'!I52*$B$73</f>
        <v>1466.9497714236093</v>
      </c>
      <c r="J52" s="20">
        <f>'增加值 (2001-2060, 2020RMB)'!J52*$B$73</f>
        <v>1474.0179441560417</v>
      </c>
      <c r="K52" s="21">
        <f>'增加值 (2001-2060, 2020RMB)'!K52*$B$73</f>
        <v>1588.8989412835126</v>
      </c>
      <c r="L52" s="19">
        <f>'增加值 (2001-2060, 2020RMB)'!L52*$B$73</f>
        <v>1680.9431100365668</v>
      </c>
      <c r="M52" s="20">
        <f>'增加值 (2001-2060, 2020RMB)'!M52*$B$73</f>
        <v>1680.2596337294835</v>
      </c>
      <c r="N52" s="20">
        <f>'增加值 (2001-2060, 2020RMB)'!N52*$B$73</f>
        <v>1695.144439478476</v>
      </c>
      <c r="O52" s="20">
        <f>'增加值 (2001-2060, 2020RMB)'!O52*$B$73</f>
        <v>1660.9369108534145</v>
      </c>
      <c r="P52" s="20">
        <f>'增加值 (2001-2060, 2020RMB)'!P52*$B$73</f>
        <v>1583.6219721367613</v>
      </c>
      <c r="Q52" s="19">
        <f>'增加值 (2001-2060, 2020RMB)'!Q52*$B$73</f>
        <v>1619.613841507062</v>
      </c>
      <c r="R52" s="20">
        <f>'增加值 (2001-2060, 2020RMB)'!R52*$B$73</f>
        <v>1767.2620779648926</v>
      </c>
      <c r="S52" s="20">
        <f>'增加值 (2001-2060, 2020RMB)'!S52*$B$73</f>
        <v>1928.5876837904223</v>
      </c>
      <c r="T52" s="20">
        <f>'增加值 (2001-2060, 2020RMB)'!T52*$B$73</f>
        <v>1980.3465919708456</v>
      </c>
      <c r="U52" s="21">
        <f>'增加值 (2001-2060, 2020RMB)'!U52*$B$73</f>
        <v>1952.1155968033461</v>
      </c>
      <c r="V52" s="20">
        <f>'增加值 (2001-2060, 2020RMB)'!V52*$B$73</f>
        <v>2254.0667697181825</v>
      </c>
      <c r="W52" s="20">
        <f>'增加值 (2001-2060, 2020RMB)'!W52*$B$73</f>
        <v>2406.5305171590167</v>
      </c>
      <c r="X52" s="90">
        <f>'增加值 (2001-2060, 2020RMB)'!X52*$B$73</f>
        <v>2512.6116026439968</v>
      </c>
      <c r="Y52" s="90">
        <f>'增加值 (2001-2060, 2020RMB)'!Y52*$B$73</f>
        <v>2638.4406398471888</v>
      </c>
      <c r="Z52" s="90">
        <f>'增加值 (2001-2060, 2020RMB)'!Z52*$B$73</f>
        <v>2782.58906306789</v>
      </c>
      <c r="AA52" s="89">
        <f>'增加值 (2001-2060, 2020RMB)'!AA52*$B$73</f>
        <v>2943.217783083453</v>
      </c>
      <c r="AB52" s="90">
        <f>'增加值 (2001-2060, 2020RMB)'!AB52*$B$73</f>
        <v>3117.8778938432151</v>
      </c>
      <c r="AC52" s="90">
        <f>'增加值 (2001-2060, 2020RMB)'!AC52*$B$73</f>
        <v>3303.3225763876949</v>
      </c>
      <c r="AD52" s="90">
        <f>'增加值 (2001-2060, 2020RMB)'!AD52*$B$73</f>
        <v>3495.3433794574303</v>
      </c>
      <c r="AE52" s="101">
        <f>'增加值 (2001-2060, 2020RMB)'!AE52*$B$73</f>
        <v>3688.6503217723825</v>
      </c>
      <c r="AF52" s="90">
        <f>'增加值 (2001-2060, 2020RMB)'!AF52*$B$73</f>
        <v>3877.6854897626858</v>
      </c>
      <c r="AG52" s="90">
        <f>'增加值 (2001-2060, 2020RMB)'!AG52*$B$73</f>
        <v>4059.5819595134458</v>
      </c>
      <c r="AH52" s="90">
        <f>'增加值 (2001-2060, 2020RMB)'!AH52*$B$73</f>
        <v>4232.205457722921</v>
      </c>
      <c r="AI52" s="90">
        <f>'增加值 (2001-2060, 2020RMB)'!AI52*$B$73</f>
        <v>4393.4119587155901</v>
      </c>
      <c r="AJ52" s="106">
        <f>'增加值 (2001-2060, 2020RMB)'!AJ52*$B$73</f>
        <v>4541.0881023089169</v>
      </c>
      <c r="AK52" s="89">
        <f>'增加值 (2001-2060, 2020RMB)'!AK52*$B$73</f>
        <v>4673.4635051238765</v>
      </c>
      <c r="AL52" s="90">
        <f>'增加值 (2001-2060, 2020RMB)'!AL52*$B$73</f>
        <v>4790.0168262400248</v>
      </c>
      <c r="AM52" s="90">
        <f>'增加值 (2001-2060, 2020RMB)'!AM52*$B$73</f>
        <v>4890.7769766363945</v>
      </c>
      <c r="AN52" s="90">
        <f>'增加值 (2001-2060, 2020RMB)'!AN52*$B$73</f>
        <v>4976.0495608602205</v>
      </c>
      <c r="AO52" s="101">
        <f>'增加值 (2001-2060, 2020RMB)'!AO52*$B$73</f>
        <v>5046.3914363628528</v>
      </c>
      <c r="AP52" s="90">
        <f>'增加值 (2001-2060, 2020RMB)'!AP52*$B$73</f>
        <v>5102.5815298580274</v>
      </c>
      <c r="AQ52" s="90">
        <f>'增加值 (2001-2060, 2020RMB)'!AQ52*$B$73</f>
        <v>5145.5894527297505</v>
      </c>
      <c r="AR52" s="90">
        <f>'增加值 (2001-2060, 2020RMB)'!AR52*$B$73</f>
        <v>5176.5433527652849</v>
      </c>
      <c r="AS52" s="90">
        <f>'增加值 (2001-2060, 2020RMB)'!AS52*$B$73</f>
        <v>5196.6982853764339</v>
      </c>
      <c r="AT52" s="90">
        <f>'增加值 (2001-2060, 2020RMB)'!AT52*$B$73</f>
        <v>5207.4062013442754</v>
      </c>
      <c r="AU52" s="89">
        <f>'增加值 (2001-2060, 2020RMB)'!AU52*$B$73</f>
        <v>5210.0884462829736</v>
      </c>
      <c r="AV52" s="90">
        <f>'增加值 (2001-2060, 2020RMB)'!AV52*$B$73</f>
        <v>5206.2114638775101</v>
      </c>
      <c r="AW52" s="90">
        <f>'增加值 (2001-2060, 2020RMB)'!AW52*$B$73</f>
        <v>5197.2662024772935</v>
      </c>
      <c r="AX52" s="90">
        <f>'增加值 (2001-2060, 2020RMB)'!AX52*$B$73</f>
        <v>5184.7515521371524</v>
      </c>
      <c r="AY52" s="101">
        <f>'增加值 (2001-2060, 2020RMB)'!AY52*$B$73</f>
        <v>5170.1619933776656</v>
      </c>
      <c r="AZ52" s="89">
        <f>'增加值 (2001-2060, 2020RMB)'!AZ52*$B$73</f>
        <v>5154.9795240915837</v>
      </c>
      <c r="BA52" s="90">
        <f>'增加值 (2001-2060, 2020RMB)'!BA52*$B$73</f>
        <v>5140.6698494561306</v>
      </c>
      <c r="BB52" s="90">
        <f>'增加值 (2001-2060, 2020RMB)'!BB52*$B$73</f>
        <v>5128.682772193737</v>
      </c>
      <c r="BC52" s="90">
        <f>'增加值 (2001-2060, 2020RMB)'!BC52*$B$73</f>
        <v>5120.4567068196975</v>
      </c>
      <c r="BD52" s="101">
        <f>'增加值 (2001-2060, 2020RMB)'!BD52*$B$73</f>
        <v>5117.4272609060217</v>
      </c>
      <c r="BE52" s="90">
        <f>'增加值 (2001-2060, 2020RMB)'!BE52*$B$73</f>
        <v>5121.0398782002767</v>
      </c>
      <c r="BF52" s="90">
        <f>'增加值 (2001-2060, 2020RMB)'!BF52*$B$73</f>
        <v>5132.7666225456787</v>
      </c>
      <c r="BG52" s="90">
        <f>'增加值 (2001-2060, 2020RMB)'!BG52*$B$73</f>
        <v>5154.1272988915653</v>
      </c>
      <c r="BH52" s="90">
        <f>'增加值 (2001-2060, 2020RMB)'!BH52*$B$73</f>
        <v>5186.7152607818634</v>
      </c>
      <c r="BI52" s="109">
        <f>'增加值 (2001-2060, 2020RMB)'!BI52*$B$73</f>
        <v>5232.2284472371603</v>
      </c>
    </row>
    <row r="53" spans="1:61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f>'增加值 (2001-2060, 2020RMB)'!I53*$B$73</f>
        <v>87.53053933252626</v>
      </c>
      <c r="J53" s="20">
        <f>'增加值 (2001-2060, 2020RMB)'!J53*$B$73</f>
        <v>95.08803735377785</v>
      </c>
      <c r="K53" s="21">
        <f>'增加值 (2001-2060, 2020RMB)'!K53*$B$73</f>
        <v>108.87049937819883</v>
      </c>
      <c r="L53" s="19">
        <f>'增加值 (2001-2060, 2020RMB)'!L53*$B$73</f>
        <v>118.31566272018181</v>
      </c>
      <c r="M53" s="20">
        <f>'增加值 (2001-2060, 2020RMB)'!M53*$B$73</f>
        <v>125.81415161256815</v>
      </c>
      <c r="N53" s="20">
        <f>'增加值 (2001-2060, 2020RMB)'!N53*$B$73</f>
        <v>140.31477005110062</v>
      </c>
      <c r="O53" s="20">
        <f>'增加值 (2001-2060, 2020RMB)'!O53*$B$73</f>
        <v>156.72015248722698</v>
      </c>
      <c r="P53" s="20">
        <f>'增加值 (2001-2060, 2020RMB)'!P53*$B$73</f>
        <v>165.1852348132401</v>
      </c>
      <c r="Q53" s="19">
        <f>'增加值 (2001-2060, 2020RMB)'!Q53*$B$73</f>
        <v>184.25366435012344</v>
      </c>
      <c r="R53" s="20">
        <f>'增加值 (2001-2060, 2020RMB)'!R53*$B$73</f>
        <v>209.81637237905477</v>
      </c>
      <c r="S53" s="20">
        <f>'增加值 (2001-2060, 2020RMB)'!S53*$B$73</f>
        <v>245.89161153311522</v>
      </c>
      <c r="T53" s="20">
        <f>'增加值 (2001-2060, 2020RMB)'!T53*$B$73</f>
        <v>264.34481065829374</v>
      </c>
      <c r="U53" s="21">
        <f>'增加值 (2001-2060, 2020RMB)'!U53*$B$73</f>
        <v>255.71778339066671</v>
      </c>
      <c r="V53" s="20">
        <f>'增加值 (2001-2060, 2020RMB)'!V53*$B$73</f>
        <v>314.44198403038911</v>
      </c>
      <c r="W53" s="20">
        <f>'增加值 (2001-2060, 2020RMB)'!W53*$B$73</f>
        <v>339.54369713094945</v>
      </c>
      <c r="X53" s="90">
        <f>'增加值 (2001-2060, 2020RMB)'!X53*$B$73</f>
        <v>367.18238214382745</v>
      </c>
      <c r="Y53" s="90">
        <f>'增加值 (2001-2060, 2020RMB)'!Y53*$B$73</f>
        <v>399.77756862212794</v>
      </c>
      <c r="Z53" s="90">
        <f>'增加值 (2001-2060, 2020RMB)'!Z53*$B$73</f>
        <v>437.44536336213872</v>
      </c>
      <c r="AA53" s="89">
        <f>'增加值 (2001-2060, 2020RMB)'!AA53*$B$73</f>
        <v>480.19363981013908</v>
      </c>
      <c r="AB53" s="90">
        <f>'增加值 (2001-2060, 2020RMB)'!AB53*$B$73</f>
        <v>527.85490618569702</v>
      </c>
      <c r="AC53" s="90">
        <f>'增加值 (2001-2060, 2020RMB)'!AC53*$B$73</f>
        <v>580.01159707482361</v>
      </c>
      <c r="AD53" s="90">
        <f>'增加值 (2001-2060, 2020RMB)'!AD53*$B$73</f>
        <v>635.91801761811985</v>
      </c>
      <c r="AE53" s="101">
        <f>'增加值 (2001-2060, 2020RMB)'!AE53*$B$73</f>
        <v>694.42652930523457</v>
      </c>
      <c r="AF53" s="90">
        <f>'增加值 (2001-2060, 2020RMB)'!AF53*$B$73</f>
        <v>754.1551530449924</v>
      </c>
      <c r="AG53" s="90">
        <f>'增加值 (2001-2060, 2020RMB)'!AG53*$B$73</f>
        <v>814.27915698434208</v>
      </c>
      <c r="AH53" s="90">
        <f>'增加值 (2001-2060, 2020RMB)'!AH53*$B$73</f>
        <v>874.10431364459748</v>
      </c>
      <c r="AI53" s="90">
        <f>'增加值 (2001-2060, 2020RMB)'!AI53*$B$73</f>
        <v>932.8883107189049</v>
      </c>
      <c r="AJ53" s="106">
        <f>'增加值 (2001-2060, 2020RMB)'!AJ53*$B$73</f>
        <v>989.85503163251644</v>
      </c>
      <c r="AK53" s="89">
        <f>'增加值 (2001-2060, 2020RMB)'!AK53*$B$73</f>
        <v>1044.27933551047</v>
      </c>
      <c r="AL53" s="90">
        <f>'增加值 (2001-2060, 2020RMB)'!AL53*$B$73</f>
        <v>1095.7372197380778</v>
      </c>
      <c r="AM53" s="90">
        <f>'增加值 (2001-2060, 2020RMB)'!AM53*$B$73</f>
        <v>1143.9597811309304</v>
      </c>
      <c r="AN53" s="90">
        <f>'增加值 (2001-2060, 2020RMB)'!AN53*$B$73</f>
        <v>1188.7750513018168</v>
      </c>
      <c r="AO53" s="101">
        <f>'增加值 (2001-2060, 2020RMB)'!AO53*$B$73</f>
        <v>1230.1077755571346</v>
      </c>
      <c r="AP53" s="90">
        <f>'增加值 (2001-2060, 2020RMB)'!AP53*$B$73</f>
        <v>1267.976406704279</v>
      </c>
      <c r="AQ53" s="90">
        <f>'增加值 (2001-2060, 2020RMB)'!AQ53*$B$73</f>
        <v>1302.4878496334341</v>
      </c>
      <c r="AR53" s="90">
        <f>'增加值 (2001-2060, 2020RMB)'!AR53*$B$73</f>
        <v>1333.8305468354417</v>
      </c>
      <c r="AS53" s="90">
        <f>'增加值 (2001-2060, 2020RMB)'!AS53*$B$73</f>
        <v>1362.2665102461272</v>
      </c>
      <c r="AT53" s="90">
        <f>'增加值 (2001-2060, 2020RMB)'!AT53*$B$73</f>
        <v>1388.1228875511172</v>
      </c>
      <c r="AU53" s="89">
        <f>'增加值 (2001-2060, 2020RMB)'!AU53*$B$73</f>
        <v>1411.7836093443307</v>
      </c>
      <c r="AV53" s="90">
        <f>'增加值 (2001-2060, 2020RMB)'!AV53*$B$73</f>
        <v>1433.681605839319</v>
      </c>
      <c r="AW53" s="90">
        <f>'增加值 (2001-2060, 2020RMB)'!AW53*$B$73</f>
        <v>1454.2920165374094</v>
      </c>
      <c r="AX53" s="90">
        <f>'增加值 (2001-2060, 2020RMB)'!AX53*$B$73</f>
        <v>1474.1267510189784</v>
      </c>
      <c r="AY53" s="101">
        <f>'增加值 (2001-2060, 2020RMB)'!AY53*$B$73</f>
        <v>1493.7307005196571</v>
      </c>
      <c r="AZ53" s="89">
        <f>'增加值 (2001-2060, 2020RMB)'!AZ53*$B$73</f>
        <v>1513.6798537811783</v>
      </c>
      <c r="BA53" s="90">
        <f>'增加值 (2001-2060, 2020RMB)'!BA53*$B$73</f>
        <v>1534.5815414438218</v>
      </c>
      <c r="BB53" s="90">
        <f>'增加值 (2001-2060, 2020RMB)'!BB53*$B$73</f>
        <v>1557.0770248464094</v>
      </c>
      <c r="BC53" s="90">
        <f>'增加值 (2001-2060, 2020RMB)'!BC53*$B$73</f>
        <v>1581.846661015803</v>
      </c>
      <c r="BD53" s="101">
        <f>'增加值 (2001-2060, 2020RMB)'!BD53*$B$73</f>
        <v>1609.617919446991</v>
      </c>
      <c r="BE53" s="90">
        <f>'增加值 (2001-2060, 2020RMB)'!BE53*$B$73</f>
        <v>1641.1766022457136</v>
      </c>
      <c r="BF53" s="90">
        <f>'增加值 (2001-2060, 2020RMB)'!BF53*$B$73</f>
        <v>1677.3817329251092</v>
      </c>
      <c r="BG53" s="90">
        <f>'增加值 (2001-2060, 2020RMB)'!BG53*$B$73</f>
        <v>1719.1847383984475</v>
      </c>
      <c r="BH53" s="90">
        <f>'增加值 (2001-2060, 2020RMB)'!BH53*$B$73</f>
        <v>1767.6537645179001</v>
      </c>
      <c r="BI53" s="109">
        <f>'增加值 (2001-2060, 2020RMB)'!BI53*$B$73</f>
        <v>1824.0042535235459</v>
      </c>
    </row>
    <row r="54" spans="1:61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f>'增加值 (2001-2060, 2020RMB)'!I54*$B$73</f>
        <v>106.41260783441682</v>
      </c>
      <c r="J54" s="20">
        <f>'增加值 (2001-2060, 2020RMB)'!J54*$B$73</f>
        <v>106.01747682394466</v>
      </c>
      <c r="K54" s="21">
        <f>'增加值 (2001-2060, 2020RMB)'!K54*$B$73</f>
        <v>108.72061703685718</v>
      </c>
      <c r="L54" s="25">
        <f>'增加值 (2001-2060, 2020RMB)'!L54*$B$73</f>
        <v>112.09366041509065</v>
      </c>
      <c r="M54" s="26">
        <f>'增加值 (2001-2060, 2020RMB)'!M54*$B$73</f>
        <v>111.51452051101201</v>
      </c>
      <c r="N54" s="26">
        <f>'增加值 (2001-2060, 2020RMB)'!N54*$B$73</f>
        <v>113.03205913023037</v>
      </c>
      <c r="O54" s="26">
        <f>'增加值 (2001-2060, 2020RMB)'!O54*$B$73</f>
        <v>116.38619015098108</v>
      </c>
      <c r="P54" s="26">
        <f>'增加值 (2001-2060, 2020RMB)'!P54*$B$73</f>
        <v>116.59976918770862</v>
      </c>
      <c r="Q54" s="25">
        <f>'增加值 (2001-2060, 2020RMB)'!Q54*$B$73</f>
        <v>121.7531333299423</v>
      </c>
      <c r="R54" s="26">
        <f>'增加值 (2001-2060, 2020RMB)'!R54*$B$73</f>
        <v>133.96162549530575</v>
      </c>
      <c r="S54" s="26">
        <f>'增加值 (2001-2060, 2020RMB)'!S54*$B$73</f>
        <v>142.45560376808243</v>
      </c>
      <c r="T54" s="26">
        <f>'增加值 (2001-2060, 2020RMB)'!T54*$B$73</f>
        <v>148.20170190389067</v>
      </c>
      <c r="U54" s="27">
        <f>'增加值 (2001-2060, 2020RMB)'!U54*$B$73</f>
        <v>150.38995216573491</v>
      </c>
      <c r="V54" s="26">
        <f>'增加值 (2001-2060, 2020RMB)'!V54*$B$73</f>
        <v>171.45992894014705</v>
      </c>
      <c r="W54" s="26">
        <f>'增加值 (2001-2060, 2020RMB)'!W54*$B$73</f>
        <v>178.87718995463754</v>
      </c>
      <c r="X54" s="92">
        <f>'增加值 (2001-2060, 2020RMB)'!X54*$B$73</f>
        <v>186.42027317159869</v>
      </c>
      <c r="Y54" s="92">
        <f>'增加值 (2001-2060, 2020RMB)'!Y54*$B$73</f>
        <v>195.38657683475802</v>
      </c>
      <c r="Z54" s="92">
        <f>'增加值 (2001-2060, 2020RMB)'!Z54*$B$73</f>
        <v>205.66516117728929</v>
      </c>
      <c r="AA54" s="91">
        <f>'增加值 (2001-2060, 2020RMB)'!AA54*$B$73</f>
        <v>217.11617161680655</v>
      </c>
      <c r="AB54" s="92">
        <f>'增加值 (2001-2060, 2020RMB)'!AB54*$B$73</f>
        <v>229.55674874399651</v>
      </c>
      <c r="AC54" s="92">
        <f>'增加值 (2001-2060, 2020RMB)'!AC54*$B$73</f>
        <v>242.74786684150055</v>
      </c>
      <c r="AD54" s="92">
        <f>'增加值 (2001-2060, 2020RMB)'!AD54*$B$73</f>
        <v>256.38301944426888</v>
      </c>
      <c r="AE54" s="102">
        <f>'增加值 (2001-2060, 2020RMB)'!AE54*$B$73</f>
        <v>270.08010047072224</v>
      </c>
      <c r="AF54" s="92">
        <f>'增加值 (2001-2060, 2020RMB)'!AF54*$B$73</f>
        <v>283.44024692392401</v>
      </c>
      <c r="AG54" s="92">
        <f>'增加值 (2001-2060, 2020RMB)'!AG54*$B$73</f>
        <v>296.25967618231374</v>
      </c>
      <c r="AH54" s="92">
        <f>'增加值 (2001-2060, 2020RMB)'!AH54*$B$73</f>
        <v>308.38784555109299</v>
      </c>
      <c r="AI54" s="92">
        <f>'增加值 (2001-2060, 2020RMB)'!AI54*$B$73</f>
        <v>319.67393944223397</v>
      </c>
      <c r="AJ54" s="107">
        <f>'增加值 (2001-2060, 2020RMB)'!AJ54*$B$73</f>
        <v>329.96970774442144</v>
      </c>
      <c r="AK54" s="91">
        <f>'增加值 (2001-2060, 2020RMB)'!AK54*$B$73</f>
        <v>339.15189647420925</v>
      </c>
      <c r="AL54" s="92">
        <f>'增加值 (2001-2060, 2020RMB)'!AL54*$B$73</f>
        <v>347.1872860528614</v>
      </c>
      <c r="AM54" s="92">
        <f>'增加值 (2001-2060, 2020RMB)'!AM54*$B$73</f>
        <v>354.08187774095092</v>
      </c>
      <c r="AN54" s="92">
        <f>'增加值 (2001-2060, 2020RMB)'!AN54*$B$73</f>
        <v>359.86105459805833</v>
      </c>
      <c r="AO54" s="102">
        <f>'增加值 (2001-2060, 2020RMB)'!AO54*$B$73</f>
        <v>364.56770745461409</v>
      </c>
      <c r="AP54" s="92">
        <f>'增加值 (2001-2060, 2020RMB)'!AP54*$B$73</f>
        <v>368.26011521574299</v>
      </c>
      <c r="AQ54" s="92">
        <f>'增加值 (2001-2060, 2020RMB)'!AQ54*$B$73</f>
        <v>371.00968692480041</v>
      </c>
      <c r="AR54" s="92">
        <f>'增加值 (2001-2060, 2020RMB)'!AR54*$B$73</f>
        <v>372.89866499191447</v>
      </c>
      <c r="AS54" s="92">
        <f>'增加值 (2001-2060, 2020RMB)'!AS54*$B$73</f>
        <v>374.01787771999392</v>
      </c>
      <c r="AT54" s="92">
        <f>'增加值 (2001-2060, 2020RMB)'!AT54*$B$73</f>
        <v>374.46461593135376</v>
      </c>
      <c r="AU54" s="91">
        <f>'增加值 (2001-2060, 2020RMB)'!AU54*$B$73</f>
        <v>374.34069422482128</v>
      </c>
      <c r="AV54" s="92">
        <f>'增加值 (2001-2060, 2020RMB)'!AV54*$B$73</f>
        <v>373.75074314989746</v>
      </c>
      <c r="AW54" s="92">
        <f>'增加值 (2001-2060, 2020RMB)'!AW54*$B$73</f>
        <v>372.80076517373237</v>
      </c>
      <c r="AX54" s="92">
        <f>'增加值 (2001-2060, 2020RMB)'!AX54*$B$73</f>
        <v>371.596975355849</v>
      </c>
      <c r="AY54" s="102">
        <f>'增加值 (2001-2060, 2020RMB)'!AY54*$B$73</f>
        <v>370.24493757177908</v>
      </c>
      <c r="AZ54" s="91">
        <f>'增加值 (2001-2060, 2020RMB)'!AZ54*$B$73</f>
        <v>368.84899921412801</v>
      </c>
      <c r="BA54" s="92">
        <f>'增加值 (2001-2060, 2020RMB)'!BA54*$B$73</f>
        <v>367.51202168596313</v>
      </c>
      <c r="BB54" s="92">
        <f>'增加值 (2001-2060, 2020RMB)'!BB54*$B$73</f>
        <v>366.3354007211712</v>
      </c>
      <c r="BC54" s="92">
        <f>'增加值 (2001-2060, 2020RMB)'!BC54*$B$73</f>
        <v>365.41936958533319</v>
      </c>
      <c r="BD54" s="102">
        <f>'增加值 (2001-2060, 2020RMB)'!BD54*$B$73</f>
        <v>364.86357946165538</v>
      </c>
      <c r="BE54" s="92">
        <f>'增加值 (2001-2060, 2020RMB)'!BE54*$B$73</f>
        <v>364.76795474448357</v>
      </c>
      <c r="BF54" s="92">
        <f>'增加值 (2001-2060, 2020RMB)'!BF54*$B$73</f>
        <v>365.23382651822283</v>
      </c>
      <c r="BG54" s="92">
        <f>'增加值 (2001-2060, 2020RMB)'!BG54*$B$73</f>
        <v>366.36535523086218</v>
      </c>
      <c r="BH54" s="92">
        <f>'增加值 (2001-2060, 2020RMB)'!BH54*$B$73</f>
        <v>368.27126361920176</v>
      </c>
      <c r="BI54" s="110">
        <f>'增加值 (2001-2060, 2020RMB)'!BI54*$B$73</f>
        <v>371.06691358560983</v>
      </c>
    </row>
    <row r="55" spans="1:61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6"/>
      <c r="X55" s="26"/>
      <c r="Y55" s="26"/>
      <c r="Z55" s="27"/>
      <c r="AA55" s="25"/>
      <c r="AB55" s="26"/>
      <c r="AC55" s="26"/>
      <c r="AD55" s="26"/>
      <c r="AE55" s="27"/>
      <c r="AF55" s="25"/>
      <c r="AG55" s="26"/>
      <c r="AH55" s="26"/>
      <c r="AI55" s="26"/>
      <c r="AJ55" s="27"/>
      <c r="AK55" s="25"/>
      <c r="AL55" s="26"/>
      <c r="AM55" s="26"/>
      <c r="AN55" s="26"/>
      <c r="AO55" s="27"/>
      <c r="AP55" s="25"/>
      <c r="AQ55" s="26"/>
      <c r="AR55" s="26"/>
      <c r="AS55" s="26"/>
      <c r="AT55" s="27"/>
      <c r="AU55" s="25"/>
      <c r="AV55" s="26"/>
      <c r="AW55" s="26"/>
      <c r="AX55" s="26"/>
      <c r="AY55" s="27"/>
      <c r="AZ55" s="25"/>
      <c r="BA55" s="26"/>
      <c r="BB55" s="26"/>
      <c r="BC55" s="26"/>
      <c r="BD55" s="27"/>
      <c r="BE55" s="25"/>
      <c r="BF55" s="26"/>
      <c r="BG55" s="26"/>
      <c r="BH55" s="26"/>
      <c r="BI55" s="27"/>
    </row>
    <row r="56" spans="1:61" s="9" customFormat="1" x14ac:dyDescent="0.2">
      <c r="A56" s="4" t="s">
        <v>35</v>
      </c>
      <c r="B56" s="6">
        <f>'增加值 (2001-2060, 2020RMB)'!B56*$B$73</f>
        <v>11730.482669734743</v>
      </c>
      <c r="C56" s="7">
        <f>'增加值 (2001-2060, 2020RMB)'!C56*$B$73</f>
        <v>13108.874183657019</v>
      </c>
      <c r="D56" s="7">
        <f>'增加值 (2001-2060, 2020RMB)'!D56*$B$73</f>
        <v>14337.784240769022</v>
      </c>
      <c r="E56" s="7">
        <f>'增加值 (2001-2060, 2020RMB)'!E56*$B$73</f>
        <v>15459.422375449758</v>
      </c>
      <c r="F56" s="8">
        <f>'增加值 (2001-2060, 2020RMB)'!F56*$B$73</f>
        <v>17273.636063649894</v>
      </c>
      <c r="G56" s="6">
        <f>'增加值 (2001-2060, 2020RMB)'!G56*$B$73</f>
        <v>19694.761127124206</v>
      </c>
      <c r="H56" s="7">
        <f>'增加值 (2001-2060, 2020RMB)'!H56*$B$73</f>
        <v>23078.243406504054</v>
      </c>
      <c r="I56" s="7">
        <f>'增加值 (2001-2060, 2020RMB)'!I56*$B$73</f>
        <v>25291.651582382106</v>
      </c>
      <c r="J56" s="7">
        <f>'增加值 (2001-2060, 2020RMB)'!J56*$B$73</f>
        <v>28679.622191899831</v>
      </c>
      <c r="K56" s="8">
        <f>'增加值 (2001-2060, 2020RMB)'!K56*$B$73</f>
        <v>31561.511645681105</v>
      </c>
      <c r="L56" s="6">
        <f>'增加值 (2001-2060, 2020RMB)'!L56*$B$73</f>
        <v>34671.929868600484</v>
      </c>
      <c r="M56" s="7">
        <f>'增加值 (2001-2060, 2020RMB)'!M56*$B$73</f>
        <v>38404.500506279139</v>
      </c>
      <c r="N56" s="7">
        <f>'增加值 (2001-2060, 2020RMB)'!N56*$B$73</f>
        <v>42701.586933757055</v>
      </c>
      <c r="O56" s="7">
        <f>'增加值 (2001-2060, 2020RMB)'!O56*$B$73</f>
        <v>47241.243324139745</v>
      </c>
      <c r="P56" s="8">
        <f>'增加值 (2001-2060, 2020RMB)'!P56*$B$73</f>
        <v>53180.755179823311</v>
      </c>
      <c r="Q56" s="6">
        <f>'增加值 (2001-2060, 2020RMB)'!Q56*$B$73</f>
        <v>58589.483647686553</v>
      </c>
      <c r="R56" s="7">
        <f>'增加值 (2001-2060, 2020RMB)'!R56*$B$73</f>
        <v>63053.676079981604</v>
      </c>
      <c r="S56" s="7">
        <f>'增加值 (2001-2060, 2020RMB)'!S56*$B$73</f>
        <v>68013.466806064927</v>
      </c>
      <c r="T56" s="7">
        <f>'增加值 (2001-2060, 2020RMB)'!T56*$B$73</f>
        <v>73452.648769989857</v>
      </c>
      <c r="U56" s="8">
        <f>'增加值 (2001-2060, 2020RMB)'!U56*$B$73</f>
        <v>75322.905301471183</v>
      </c>
      <c r="V56" s="6">
        <f>'增加值 (2001-2060, 2020RMB)'!V56*$B$73</f>
        <v>80297.687979749375</v>
      </c>
      <c r="W56" s="7">
        <f>'增加值 (2001-2060, 2020RMB)'!W56*$B$73</f>
        <v>81482.999677440661</v>
      </c>
      <c r="X56" s="85">
        <f>'增加值 (2001-2060, 2020RMB)'!X56*$B$73</f>
        <v>87138.286005320071</v>
      </c>
      <c r="Y56" s="85">
        <f>'增加值 (2001-2060, 2020RMB)'!Y56*$B$73</f>
        <v>93141.086934781182</v>
      </c>
      <c r="Z56" s="86">
        <f>'增加值 (2001-2060, 2020RMB)'!Z56*$B$73</f>
        <v>99475.853306026664</v>
      </c>
      <c r="AA56" s="87">
        <f>'增加值 (2001-2060, 2020RMB)'!AA56*$B$73</f>
        <v>106116.99788347863</v>
      </c>
      <c r="AB56" s="85">
        <f>'增加值 (2001-2060, 2020RMB)'!AB56*$B$73</f>
        <v>113026.68315825198</v>
      </c>
      <c r="AC56" s="85">
        <f>'增加值 (2001-2060, 2020RMB)'!AC56*$B$73</f>
        <v>120152.55254298409</v>
      </c>
      <c r="AD56" s="85">
        <f>'增加值 (2001-2060, 2020RMB)'!AD56*$B$73</f>
        <v>127425.54452559617</v>
      </c>
      <c r="AE56" s="88">
        <f>'增加值 (2001-2060, 2020RMB)'!AE56*$B$73</f>
        <v>134757.97989026763</v>
      </c>
      <c r="AF56" s="87">
        <f>'增加值 (2001-2060, 2020RMB)'!AF56*$B$73</f>
        <v>142069.27949007021</v>
      </c>
      <c r="AG56" s="85">
        <f>'增加值 (2001-2060, 2020RMB)'!AG56*$B$73</f>
        <v>149378.27430597693</v>
      </c>
      <c r="AH56" s="85">
        <f>'增加值 (2001-2060, 2020RMB)'!AH56*$B$73</f>
        <v>156741.97403018214</v>
      </c>
      <c r="AI56" s="85">
        <f>'增加值 (2001-2060, 2020RMB)'!AI56*$B$73</f>
        <v>164231.27390179201</v>
      </c>
      <c r="AJ56" s="88">
        <f>'增加值 (2001-2060, 2020RMB)'!AJ56*$B$73</f>
        <v>171931.20285551791</v>
      </c>
      <c r="AK56" s="87">
        <f>'增加值 (2001-2060, 2020RMB)'!AK56*$B$73</f>
        <v>179919.30183563824</v>
      </c>
      <c r="AL56" s="85">
        <f>'增加值 (2001-2060, 2020RMB)'!AL56*$B$73</f>
        <v>188193.00265828124</v>
      </c>
      <c r="AM56" s="85">
        <f>'增加值 (2001-2060, 2020RMB)'!AM56*$B$73</f>
        <v>196725.47376006912</v>
      </c>
      <c r="AN56" s="85">
        <f>'增加值 (2001-2060, 2020RMB)'!AN56*$B$73</f>
        <v>205486.20064379257</v>
      </c>
      <c r="AO56" s="88">
        <f>'增加值 (2001-2060, 2020RMB)'!AO56*$B$73</f>
        <v>214440.89313790735</v>
      </c>
      <c r="AP56" s="87">
        <f>'增加值 (2001-2060, 2020RMB)'!AP56*$B$73</f>
        <v>223551.45759565083</v>
      </c>
      <c r="AQ56" s="85">
        <f>'增加值 (2001-2060, 2020RMB)'!AQ56*$B$73</f>
        <v>232776.04111641768</v>
      </c>
      <c r="AR56" s="85">
        <f>'增加值 (2001-2060, 2020RMB)'!AR56*$B$73</f>
        <v>242069.1545719328</v>
      </c>
      <c r="AS56" s="85">
        <f>'增加值 (2001-2060, 2020RMB)'!AS56*$B$73</f>
        <v>251381.88056782394</v>
      </c>
      <c r="AT56" s="88">
        <f>'增加值 (2001-2060, 2020RMB)'!AT56*$B$73</f>
        <v>260662.17142912062</v>
      </c>
      <c r="AU56" s="87">
        <f>'增加值 (2001-2060, 2020RMB)'!AU56*$B$73</f>
        <v>269855.24083426205</v>
      </c>
      <c r="AV56" s="85">
        <f>'增加值 (2001-2060, 2020RMB)'!AV56*$B$73</f>
        <v>278904.05081604654</v>
      </c>
      <c r="AW56" s="85">
        <f>'增加值 (2001-2060, 2020RMB)'!AW56*$B$73</f>
        <v>287749.89349572192</v>
      </c>
      <c r="AX56" s="85">
        <f>'增加值 (2001-2060, 2020RMB)'!AX56*$B$73</f>
        <v>296333.06413600972</v>
      </c>
      <c r="AY56" s="88">
        <f>'增加值 (2001-2060, 2020RMB)'!AY56*$B$73</f>
        <v>304593.61893510673</v>
      </c>
      <c r="AZ56" s="87">
        <f>'增加值 (2001-2060, 2020RMB)'!AZ56*$B$73</f>
        <v>312472.20751256146</v>
      </c>
      <c r="BA56" s="85">
        <f>'增加值 (2001-2060, 2020RMB)'!BA56*$B$73</f>
        <v>319910.96636969986</v>
      </c>
      <c r="BB56" s="85">
        <f>'增加值 (2001-2060, 2020RMB)'!BB56*$B$73</f>
        <v>326854.45588748466</v>
      </c>
      <c r="BC56" s="85">
        <f>'增加值 (2001-2060, 2020RMB)'!BC56*$B$73</f>
        <v>333250.6198326716</v>
      </c>
      <c r="BD56" s="88">
        <f>'增加值 (2001-2060, 2020RMB)'!BD56*$B$73</f>
        <v>339051.74308718619</v>
      </c>
      <c r="BE56" s="87">
        <f>'增加值 (2001-2060, 2020RMB)'!BE56*$B$73</f>
        <v>344215.38062467688</v>
      </c>
      <c r="BF56" s="85">
        <f>'增加值 (2001-2060, 2020RMB)'!BF56*$B$73</f>
        <v>348705.22886953386</v>
      </c>
      <c r="BG56" s="85">
        <f>'增加值 (2001-2060, 2020RMB)'!BG56*$B$73</f>
        <v>352491.90971735067</v>
      </c>
      <c r="BH56" s="85">
        <f>'增加值 (2001-2060, 2020RMB)'!BH56*$B$73</f>
        <v>355553.63787575386</v>
      </c>
      <c r="BI56" s="88">
        <f>'增加值 (2001-2060, 2020RMB)'!BI56*$B$73</f>
        <v>357876.74395818223</v>
      </c>
    </row>
    <row r="57" spans="1:61" s="9" customFormat="1" x14ac:dyDescent="0.2">
      <c r="A57" s="10" t="s">
        <v>4</v>
      </c>
      <c r="B57" s="22">
        <f>'增加值 (2001-2060, 2020RMB)'!B57*$B$73</f>
        <v>1779.9865638888584</v>
      </c>
      <c r="C57" s="23">
        <f>'增加值 (2001-2060, 2020RMB)'!C57*$B$73</f>
        <v>1929.1588520812261</v>
      </c>
      <c r="D57" s="23">
        <f>'增加值 (2001-2060, 2020RMB)'!D57*$B$73</f>
        <v>1985.0248512961471</v>
      </c>
      <c r="E57" s="23">
        <f>'增加值 (2001-2060, 2020RMB)'!E57*$B$73</f>
        <v>2182.07444004124</v>
      </c>
      <c r="F57" s="24">
        <f>'增加值 (2001-2060, 2020RMB)'!F57*$B$73</f>
        <v>2407.624493080024</v>
      </c>
      <c r="G57" s="22">
        <f>'增加值 (2001-2060, 2020RMB)'!G57*$B$73</f>
        <v>2645.6825519970384</v>
      </c>
      <c r="H57" s="23">
        <f>'增加值 (2001-2060, 2020RMB)'!H57*$B$73</f>
        <v>2941.9624785618234</v>
      </c>
      <c r="I57" s="23">
        <f>'增加值 (2001-2060, 2020RMB)'!I57*$B$73</f>
        <v>3059.9397008816027</v>
      </c>
      <c r="J57" s="23">
        <f>'增加值 (2001-2060, 2020RMB)'!J57*$B$73</f>
        <v>3095.4018659274147</v>
      </c>
      <c r="K57" s="24">
        <f>'增加值 (2001-2060, 2020RMB)'!K57*$B$73</f>
        <v>3291.39308279641</v>
      </c>
      <c r="L57" s="22">
        <f>'增加值 (2001-2060, 2020RMB)'!L57*$B$73</f>
        <v>3542.9109069855335</v>
      </c>
      <c r="M57" s="23">
        <f>'增加值 (2001-2060, 2020RMB)'!M57*$B$73</f>
        <v>3767.9972255756365</v>
      </c>
      <c r="N57" s="23">
        <f>'增加值 (2001-2060, 2020RMB)'!N57*$B$73</f>
        <v>4043.2714638691973</v>
      </c>
      <c r="O57" s="23">
        <f>'增加值 (2001-2060, 2020RMB)'!O57*$B$73</f>
        <v>4383.8584752774987</v>
      </c>
      <c r="P57" s="24">
        <f>'增加值 (2001-2060, 2020RMB)'!P57*$B$73</f>
        <v>4687.1653536769218</v>
      </c>
      <c r="Q57" s="22">
        <f>'增加值 (2001-2060, 2020RMB)'!Q57*$B$73</f>
        <v>4999.8462132332597</v>
      </c>
      <c r="R57" s="23">
        <f>'增加值 (2001-2060, 2020RMB)'!R57*$B$73</f>
        <v>5388.8957503803813</v>
      </c>
      <c r="S57" s="23">
        <f>'增加值 (2001-2060, 2020RMB)'!S57*$B$73</f>
        <v>5655.0114353556883</v>
      </c>
      <c r="T57" s="23">
        <f>'增加值 (2001-2060, 2020RMB)'!T57*$B$73</f>
        <v>5880.6127058084239</v>
      </c>
      <c r="U57" s="23">
        <f>'增加值 (2001-2060, 2020RMB)'!U57*$B$73</f>
        <v>5590.1498155235904</v>
      </c>
      <c r="V57" s="22">
        <f>'增加值 (2001-2060, 2020RMB)'!V57*$B$73</f>
        <v>6197.4853776568434</v>
      </c>
      <c r="W57" s="23">
        <f>'增加值 (2001-2060, 2020RMB)'!W57*$B$73</f>
        <v>6398.3223470050361</v>
      </c>
      <c r="X57" s="98">
        <f>'增加值 (2001-2060, 2020RMB)'!X57*$B$73</f>
        <v>6679.1036917377596</v>
      </c>
      <c r="Y57" s="98">
        <f>'增加值 (2001-2060, 2020RMB)'!Y57*$B$73</f>
        <v>6952.835105393192</v>
      </c>
      <c r="Z57" s="99">
        <f>'增加值 (2001-2060, 2020RMB)'!Z57*$B$73</f>
        <v>7217.1863266649689</v>
      </c>
      <c r="AA57" s="98">
        <f>'增加值 (2001-2060, 2020RMB)'!AA57*$B$73</f>
        <v>7469.761228328779</v>
      </c>
      <c r="AB57" s="98">
        <f>'增加值 (2001-2060, 2020RMB)'!AB57*$B$73</f>
        <v>7708.1277913241538</v>
      </c>
      <c r="AC57" s="98">
        <f>'增加值 (2001-2060, 2020RMB)'!AC57*$B$73</f>
        <v>7929.8513588114556</v>
      </c>
      <c r="AD57" s="98">
        <f>'增加值 (2001-2060, 2020RMB)'!AD57*$B$73</f>
        <v>8132.5307067742524</v>
      </c>
      <c r="AE57" s="98">
        <f>'增加值 (2001-2060, 2020RMB)'!AE57*$B$73</f>
        <v>8313.8363428744397</v>
      </c>
      <c r="AF57" s="100">
        <f>'增加值 (2001-2060, 2020RMB)'!AF57*$B$73</f>
        <v>8472.7219710035442</v>
      </c>
      <c r="AG57" s="98">
        <f>'增加值 (2001-2060, 2020RMB)'!AG57*$B$73</f>
        <v>8613.1306705505922</v>
      </c>
      <c r="AH57" s="98">
        <f>'增加值 (2001-2060, 2020RMB)'!AH57*$B$73</f>
        <v>8740.7086562495115</v>
      </c>
      <c r="AI57" s="98">
        <f>'增加值 (2001-2060, 2020RMB)'!AI57*$B$73</f>
        <v>8861.5708325451906</v>
      </c>
      <c r="AJ57" s="99">
        <f>'增加值 (2001-2060, 2020RMB)'!AJ57*$B$73</f>
        <v>8982.2300437832146</v>
      </c>
      <c r="AK57" s="98">
        <f>'增加值 (2001-2060, 2020RMB)'!AK57*$B$73</f>
        <v>9108.0499497045766</v>
      </c>
      <c r="AL57" s="98">
        <f>'增加值 (2001-2060, 2020RMB)'!AL57*$B$73</f>
        <v>9238.5234691768419</v>
      </c>
      <c r="AM57" s="98">
        <f>'增加值 (2001-2060, 2020RMB)'!AM57*$B$73</f>
        <v>9371.5466393796032</v>
      </c>
      <c r="AN57" s="98">
        <f>'增加值 (2001-2060, 2020RMB)'!AN57*$B$73</f>
        <v>9504.8906789976209</v>
      </c>
      <c r="AO57" s="98">
        <f>'增加值 (2001-2060, 2020RMB)'!AO57*$B$73</f>
        <v>9636.1985831073889</v>
      </c>
      <c r="AP57" s="100">
        <f>'增加值 (2001-2060, 2020RMB)'!AP57*$B$73</f>
        <v>9762.9873273616031</v>
      </c>
      <c r="AQ57" s="98">
        <f>'增加值 (2001-2060, 2020RMB)'!AQ57*$B$73</f>
        <v>9882.6562135705699</v>
      </c>
      <c r="AR57" s="98">
        <f>'增加值 (2001-2060, 2020RMB)'!AR57*$B$73</f>
        <v>9992.5018512255883</v>
      </c>
      <c r="AS57" s="98">
        <f>'增加值 (2001-2060, 2020RMB)'!AS57*$B$73</f>
        <v>10089.740186172856</v>
      </c>
      <c r="AT57" s="99">
        <f>'增加值 (2001-2060, 2020RMB)'!AT57*$B$73</f>
        <v>10171.535854540856</v>
      </c>
      <c r="AU57" s="98">
        <f>'增加值 (2001-2060, 2020RMB)'!AU57*$B$73</f>
        <v>10235.038954687421</v>
      </c>
      <c r="AV57" s="98">
        <f>'增加值 (2001-2060, 2020RMB)'!AV57*$B$73</f>
        <v>10277.429092132072</v>
      </c>
      <c r="AW57" s="98">
        <f>'增加值 (2001-2060, 2020RMB)'!AW57*$B$73</f>
        <v>10295.966264884937</v>
      </c>
      <c r="AX57" s="98">
        <f>'增加值 (2001-2060, 2020RMB)'!AX57*$B$73</f>
        <v>10288.047825601472</v>
      </c>
      <c r="AY57" s="98">
        <f>'增加值 (2001-2060, 2020RMB)'!AY57*$B$73</f>
        <v>10251.270393028704</v>
      </c>
      <c r="AZ57" s="100">
        <f>'增加值 (2001-2060, 2020RMB)'!AZ57*$B$73</f>
        <v>10183.495203163326</v>
      </c>
      <c r="BA57" s="98">
        <f>'增加值 (2001-2060, 2020RMB)'!BA57*$B$73</f>
        <v>10082.915009756285</v>
      </c>
      <c r="BB57" s="98">
        <f>'增加值 (2001-2060, 2020RMB)'!BB57*$B$73</f>
        <v>9948.1202876817733</v>
      </c>
      <c r="BC57" s="98">
        <f>'增加值 (2001-2060, 2020RMB)'!BC57*$B$73</f>
        <v>9778.1621878820915</v>
      </c>
      <c r="BD57" s="99">
        <f>'增加值 (2001-2060, 2020RMB)'!BD57*$B$73</f>
        <v>9572.609467637978</v>
      </c>
      <c r="BE57" s="98">
        <f>'增加值 (2001-2060, 2020RMB)'!BE57*$B$73</f>
        <v>9331.596503408955</v>
      </c>
      <c r="BF57" s="98">
        <f>'增加值 (2001-2060, 2020RMB)'!BF57*$B$73</f>
        <v>9055.8595118714984</v>
      </c>
      <c r="BG57" s="98">
        <f>'增加值 (2001-2060, 2020RMB)'!BG57*$B$73</f>
        <v>8746.7582797351643</v>
      </c>
      <c r="BH57" s="98">
        <f>'增加值 (2001-2060, 2020RMB)'!BH57*$B$73</f>
        <v>8406.2810486755516</v>
      </c>
      <c r="BI57" s="99">
        <f>'增加值 (2001-2060, 2020RMB)'!BI57*$B$73</f>
        <v>8037.0307224977596</v>
      </c>
    </row>
    <row r="58" spans="1:61" s="9" customFormat="1" x14ac:dyDescent="0.2">
      <c r="A58" s="14" t="s">
        <v>5</v>
      </c>
      <c r="B58" s="19">
        <f>'增加值 (2001-2060, 2020RMB)'!B58*$B$73</f>
        <v>2362.7117797094429</v>
      </c>
      <c r="C58" s="20">
        <f>'增加值 (2001-2060, 2020RMB)'!C58*$B$73</f>
        <v>2573.3444367700249</v>
      </c>
      <c r="D58" s="20">
        <f>'增加值 (2001-2060, 2020RMB)'!D58*$B$73</f>
        <v>2801.7270959215039</v>
      </c>
      <c r="E58" s="20">
        <f>'增加值 (2001-2060, 2020RMB)'!E58*$B$73</f>
        <v>2920.4838349826118</v>
      </c>
      <c r="F58" s="21">
        <f>'增加值 (2001-2060, 2020RMB)'!F58*$B$73</f>
        <v>3152.2666777508543</v>
      </c>
      <c r="G58" s="19">
        <f>'增加值 (2001-2060, 2020RMB)'!G58*$B$73</f>
        <v>3589.4510971490809</v>
      </c>
      <c r="H58" s="20">
        <f>'增加值 (2001-2060, 2020RMB)'!H58*$B$73</f>
        <v>4218.2477668630136</v>
      </c>
      <c r="I58" s="20">
        <f>'增加值 (2001-2060, 2020RMB)'!I58*$B$73</f>
        <v>4895.5370973890995</v>
      </c>
      <c r="J58" s="20">
        <f>'增加值 (2001-2060, 2020RMB)'!J58*$B$73</f>
        <v>5433.8893236138974</v>
      </c>
      <c r="K58" s="21">
        <f>'增加值 (2001-2060, 2020RMB)'!K58*$B$73</f>
        <v>6292.0320746686066</v>
      </c>
      <c r="L58" s="19">
        <f>'增加值 (2001-2060, 2020RMB)'!L58*$B$73</f>
        <v>7094.0132342074357</v>
      </c>
      <c r="M58" s="20">
        <f>'增加值 (2001-2060, 2020RMB)'!M58*$B$73</f>
        <v>7902.1354756587762</v>
      </c>
      <c r="N58" s="20">
        <f>'增加值 (2001-2060, 2020RMB)'!N58*$B$73</f>
        <v>8739.1592692995291</v>
      </c>
      <c r="O58" s="20">
        <f>'增加值 (2001-2060, 2020RMB)'!O58*$B$73</f>
        <v>9705.1311198647836</v>
      </c>
      <c r="P58" s="21">
        <f>'增加值 (2001-2060, 2020RMB)'!P58*$B$73</f>
        <v>10400.3329964403</v>
      </c>
      <c r="Q58" s="19">
        <f>'增加值 (2001-2060, 2020RMB)'!Q58*$B$73</f>
        <v>11160.329112181693</v>
      </c>
      <c r="R58" s="20">
        <f>'增加值 (2001-2060, 2020RMB)'!R58*$B$73</f>
        <v>11781.305829047558</v>
      </c>
      <c r="S58" s="20">
        <f>'增加值 (2001-2060, 2020RMB)'!S58*$B$73</f>
        <v>12463.716870418164</v>
      </c>
      <c r="T58" s="20">
        <f>'增加值 (2001-2060, 2020RMB)'!T58*$B$73</f>
        <v>13245.465177376198</v>
      </c>
      <c r="U58" s="20">
        <f>'增加值 (2001-2060, 2020RMB)'!U58*$B$73</f>
        <v>13235.517772002033</v>
      </c>
      <c r="V58" s="19">
        <f>'增加值 (2001-2060, 2020RMB)'!V58*$B$73</f>
        <v>14550.774153396518</v>
      </c>
      <c r="W58" s="20">
        <f>'增加值 (2001-2060, 2020RMB)'!W58*$B$73</f>
        <v>14750.68615862355</v>
      </c>
      <c r="X58" s="90">
        <f>'增加值 (2001-2060, 2020RMB)'!X58*$B$73</f>
        <v>15432.261891869593</v>
      </c>
      <c r="Y58" s="90">
        <f>'增加值 (2001-2060, 2020RMB)'!Y58*$B$73</f>
        <v>16099.179854607333</v>
      </c>
      <c r="Z58" s="101">
        <f>'增加值 (2001-2060, 2020RMB)'!Z58*$B$73</f>
        <v>16745.816137468952</v>
      </c>
      <c r="AA58" s="90">
        <f>'增加值 (2001-2060, 2020RMB)'!AA58*$B$73</f>
        <v>17366.363111087278</v>
      </c>
      <c r="AB58" s="90">
        <f>'增加值 (2001-2060, 2020RMB)'!AB58*$B$73</f>
        <v>17954.90131292498</v>
      </c>
      <c r="AC58" s="90">
        <f>'增加值 (2001-2060, 2020RMB)'!AC58*$B$73</f>
        <v>18505.479691921486</v>
      </c>
      <c r="AD58" s="90">
        <f>'增加值 (2001-2060, 2020RMB)'!AD58*$B$73</f>
        <v>19012.203111100567</v>
      </c>
      <c r="AE58" s="90">
        <f>'增加值 (2001-2060, 2020RMB)'!AE58*$B$73</f>
        <v>19469.325695457643</v>
      </c>
      <c r="AF58" s="89">
        <f>'增加值 (2001-2060, 2020RMB)'!AF58*$B$73</f>
        <v>19874.112210433137</v>
      </c>
      <c r="AG58" s="90">
        <f>'增加值 (2001-2060, 2020RMB)'!AG58*$B$73</f>
        <v>20235.620626951171</v>
      </c>
      <c r="AH58" s="90">
        <f>'增加值 (2001-2060, 2020RMB)'!AH58*$B$73</f>
        <v>20567.016072451264</v>
      </c>
      <c r="AI58" s="90">
        <f>'增加值 (2001-2060, 2020RMB)'!AI58*$B$73</f>
        <v>20882.669594215808</v>
      </c>
      <c r="AJ58" s="101">
        <f>'增加值 (2001-2060, 2020RMB)'!AJ58*$B$73</f>
        <v>21197.991869898207</v>
      </c>
      <c r="AK58" s="90">
        <f>'增加值 (2001-2060, 2020RMB)'!AK58*$B$73</f>
        <v>21525.753316969112</v>
      </c>
      <c r="AL58" s="90">
        <f>'增加值 (2001-2060, 2020RMB)'!AL58*$B$73</f>
        <v>21864.810222214463</v>
      </c>
      <c r="AM58" s="90">
        <f>'增加值 (2001-2060, 2020RMB)'!AM58*$B$73</f>
        <v>22210.202507628146</v>
      </c>
      <c r="AN58" s="90">
        <f>'增加值 (2001-2060, 2020RMB)'!AN58*$B$73</f>
        <v>22556.645541061604</v>
      </c>
      <c r="AO58" s="90">
        <f>'增加值 (2001-2060, 2020RMB)'!AO58*$B$73</f>
        <v>22898.521380666127</v>
      </c>
      <c r="AP58" s="89">
        <f>'增加值 (2001-2060, 2020RMB)'!AP58*$B$73</f>
        <v>23229.883396776029</v>
      </c>
      <c r="AQ58" s="90">
        <f>'增加值 (2001-2060, 2020RMB)'!AQ58*$B$73</f>
        <v>23544.475659144442</v>
      </c>
      <c r="AR58" s="90">
        <f>'增加值 (2001-2060, 2020RMB)'!AR58*$B$73</f>
        <v>23835.768391061378</v>
      </c>
      <c r="AS58" s="90">
        <f>'增加值 (2001-2060, 2020RMB)'!AS58*$B$73</f>
        <v>24097.010594272393</v>
      </c>
      <c r="AT58" s="101">
        <f>'增加值 (2001-2060, 2020RMB)'!AT58*$B$73</f>
        <v>24321.30062909257</v>
      </c>
      <c r="AU58" s="90">
        <f>'增加值 (2001-2060, 2020RMB)'!AU58*$B$73</f>
        <v>24501.675085643295</v>
      </c>
      <c r="AV58" s="90">
        <f>'增加值 (2001-2060, 2020RMB)'!AV58*$B$73</f>
        <v>24631.215703118025</v>
      </c>
      <c r="AW58" s="90">
        <f>'增加值 (2001-2060, 2020RMB)'!AW58*$B$73</f>
        <v>24703.173390015581</v>
      </c>
      <c r="AX58" s="90">
        <f>'增加值 (2001-2060, 2020RMB)'!AX58*$B$73</f>
        <v>24711.107583859255</v>
      </c>
      <c r="AY58" s="90">
        <f>'增加值 (2001-2060, 2020RMB)'!AY58*$B$73</f>
        <v>24649.038288789438</v>
      </c>
      <c r="AZ58" s="89">
        <f>'增加值 (2001-2060, 2020RMB)'!AZ58*$B$73</f>
        <v>24511.607179399169</v>
      </c>
      <c r="BA58" s="90">
        <f>'增加值 (2001-2060, 2020RMB)'!BA58*$B$73</f>
        <v>24294.243206291041</v>
      </c>
      <c r="BB58" s="90">
        <f>'增加值 (2001-2060, 2020RMB)'!BB58*$B$73</f>
        <v>23993.327240428429</v>
      </c>
      <c r="BC58" s="90">
        <f>'增加值 (2001-2060, 2020RMB)'!BC58*$B$73</f>
        <v>23606.349515134425</v>
      </c>
      <c r="BD58" s="101">
        <f>'增加值 (2001-2060, 2020RMB)'!BD58*$B$73</f>
        <v>23132.053037427409</v>
      </c>
      <c r="BE58" s="90">
        <f>'增加值 (2001-2060, 2020RMB)'!BE58*$B$73</f>
        <v>22570.555815821044</v>
      </c>
      <c r="BF58" s="90">
        <f>'增加值 (2001-2060, 2020RMB)'!BF58*$B$73</f>
        <v>21923.444756469409</v>
      </c>
      <c r="BG58" s="90">
        <f>'增加值 (2001-2060, 2020RMB)'!BG58*$B$73</f>
        <v>21193.834469101592</v>
      </c>
      <c r="BH58" s="90">
        <f>'增加值 (2001-2060, 2020RMB)'!BH58*$B$73</f>
        <v>20386.385036092353</v>
      </c>
      <c r="BI58" s="101">
        <f>'增加值 (2001-2060, 2020RMB)'!BI58*$B$73</f>
        <v>19507.274045361686</v>
      </c>
    </row>
    <row r="59" spans="1:61" s="9" customFormat="1" x14ac:dyDescent="0.2">
      <c r="A59" s="14" t="s">
        <v>6</v>
      </c>
      <c r="B59" s="19">
        <f>'增加值 (2001-2060, 2020RMB)'!B59*$B$73</f>
        <v>621.73762635740661</v>
      </c>
      <c r="C59" s="20">
        <f>'增加值 (2001-2060, 2020RMB)'!C59*$B$73</f>
        <v>701.40934312089519</v>
      </c>
      <c r="D59" s="20">
        <f>'增加值 (2001-2060, 2020RMB)'!D59*$B$73</f>
        <v>784.023119679194</v>
      </c>
      <c r="E59" s="20">
        <f>'增加值 (2001-2060, 2020RMB)'!E59*$B$73</f>
        <v>859.27753805008717</v>
      </c>
      <c r="F59" s="21">
        <f>'增加值 (2001-2060, 2020RMB)'!F59*$B$73</f>
        <v>946.84220208606928</v>
      </c>
      <c r="G59" s="19">
        <f>'增加值 (2001-2060, 2020RMB)'!G59*$B$73</f>
        <v>1040.4879412701976</v>
      </c>
      <c r="H59" s="20">
        <f>'增加值 (2001-2060, 2020RMB)'!H59*$B$73</f>
        <v>1117.5755063168929</v>
      </c>
      <c r="I59" s="20">
        <f>'增加值 (2001-2060, 2020RMB)'!I59*$B$73</f>
        <v>1236.8867185783361</v>
      </c>
      <c r="J59" s="20">
        <f>'增加值 (2001-2060, 2020RMB)'!J59*$B$73</f>
        <v>1303.3645705985221</v>
      </c>
      <c r="K59" s="21">
        <f>'增加值 (2001-2060, 2020RMB)'!K59*$B$73</f>
        <v>1351.3502978409845</v>
      </c>
      <c r="L59" s="19">
        <f>'增加值 (2001-2060, 2020RMB)'!L59*$B$73</f>
        <v>1389.3621958929532</v>
      </c>
      <c r="M59" s="20">
        <f>'增加值 (2001-2060, 2020RMB)'!M59*$B$73</f>
        <v>1512.2126961264596</v>
      </c>
      <c r="N59" s="20">
        <f>'增加值 (2001-2060, 2020RMB)'!N59*$B$73</f>
        <v>1587.9994591149652</v>
      </c>
      <c r="O59" s="20">
        <f>'增加值 (2001-2060, 2020RMB)'!O59*$B$73</f>
        <v>1725.1118531088246</v>
      </c>
      <c r="P59" s="21">
        <f>'增加值 (2001-2060, 2020RMB)'!P59*$B$73</f>
        <v>1889.9629928040622</v>
      </c>
      <c r="Q59" s="19">
        <f>'增加值 (2001-2060, 2020RMB)'!Q59*$B$73</f>
        <v>2059.9329462084656</v>
      </c>
      <c r="R59" s="20">
        <f>'增加值 (2001-2060, 2020RMB)'!R59*$B$73</f>
        <v>2185.6428258717096</v>
      </c>
      <c r="S59" s="20">
        <f>'增加值 (2001-2060, 2020RMB)'!S59*$B$73</f>
        <v>2316.0799936271524</v>
      </c>
      <c r="T59" s="20">
        <f>'增加值 (2001-2060, 2020RMB)'!T59*$B$73</f>
        <v>2479.1704794945354</v>
      </c>
      <c r="U59" s="20">
        <f>'增加值 (2001-2060, 2020RMB)'!U59*$B$73</f>
        <v>2105.5093645403431</v>
      </c>
      <c r="V59" s="19">
        <f>'增加值 (2001-2060, 2020RMB)'!V59*$B$73</f>
        <v>2351.0073575080228</v>
      </c>
      <c r="W59" s="20">
        <f>'增加值 (2001-2060, 2020RMB)'!W59*$B$73</f>
        <v>2299.888371562397</v>
      </c>
      <c r="X59" s="90">
        <f>'增加值 (2001-2060, 2020RMB)'!X59*$B$73</f>
        <v>2414.443324847331</v>
      </c>
      <c r="Y59" s="90">
        <f>'增加值 (2001-2060, 2020RMB)'!Y59*$B$73</f>
        <v>2527.1457980917867</v>
      </c>
      <c r="Z59" s="101">
        <f>'增加值 (2001-2060, 2020RMB)'!Z59*$B$73</f>
        <v>2637.0585320215723</v>
      </c>
      <c r="AA59" s="90">
        <f>'增加值 (2001-2060, 2020RMB)'!AA59*$B$73</f>
        <v>2743.2070779780784</v>
      </c>
      <c r="AB59" s="90">
        <f>'增加值 (2001-2060, 2020RMB)'!AB59*$B$73</f>
        <v>2844.591654147951</v>
      </c>
      <c r="AC59" s="90">
        <f>'增加值 (2001-2060, 2020RMB)'!AC59*$B$73</f>
        <v>2940.2005172694326</v>
      </c>
      <c r="AD59" s="90">
        <f>'增加值 (2001-2060, 2020RMB)'!AD59*$B$73</f>
        <v>3029.0246718585108</v>
      </c>
      <c r="AE59" s="90">
        <f>'增加值 (2001-2060, 2020RMB)'!AE59*$B$73</f>
        <v>3110.0736835705261</v>
      </c>
      <c r="AF59" s="89">
        <f>'增加值 (2001-2060, 2020RMB)'!AF59*$B$73</f>
        <v>3182.8388226764378</v>
      </c>
      <c r="AG59" s="90">
        <f>'增加值 (2001-2060, 2020RMB)'!AG59*$B$73</f>
        <v>3248.721865100496</v>
      </c>
      <c r="AH59" s="90">
        <f>'增加值 (2001-2060, 2020RMB)'!AH59*$B$73</f>
        <v>3309.8101128462254</v>
      </c>
      <c r="AI59" s="90">
        <f>'增加值 (2001-2060, 2020RMB)'!AI59*$B$73</f>
        <v>3368.4106699168333</v>
      </c>
      <c r="AJ59" s="101">
        <f>'增加值 (2001-2060, 2020RMB)'!AJ59*$B$73</f>
        <v>3427.0239925283017</v>
      </c>
      <c r="AK59" s="90">
        <f>'增加值 (2001-2060, 2020RMB)'!AK59*$B$73</f>
        <v>3487.742026223993</v>
      </c>
      <c r="AL59" s="90">
        <f>'增加值 (2001-2060, 2020RMB)'!AL59*$B$73</f>
        <v>3550.3927642809431</v>
      </c>
      <c r="AM59" s="90">
        <f>'增加值 (2001-2060, 2020RMB)'!AM59*$B$73</f>
        <v>3614.1753180286119</v>
      </c>
      <c r="AN59" s="90">
        <f>'增加值 (2001-2060, 2020RMB)'!AN59*$B$73</f>
        <v>3678.2287702288054</v>
      </c>
      <c r="AO59" s="90">
        <f>'增加值 (2001-2060, 2020RMB)'!AO59*$B$73</f>
        <v>3741.6305134200766</v>
      </c>
      <c r="AP59" s="89">
        <f>'增加值 (2001-2060, 2020RMB)'!AP59*$B$73</f>
        <v>3803.3967880124997</v>
      </c>
      <c r="AQ59" s="90">
        <f>'增加值 (2001-2060, 2020RMB)'!AQ59*$B$73</f>
        <v>3862.4856784701446</v>
      </c>
      <c r="AR59" s="90">
        <f>'增加值 (2001-2060, 2020RMB)'!AR59*$B$73</f>
        <v>3917.8028129152394</v>
      </c>
      <c r="AS59" s="90">
        <f>'增加值 (2001-2060, 2020RMB)'!AS59*$B$73</f>
        <v>3968.2099796679859</v>
      </c>
      <c r="AT59" s="101">
        <f>'增加值 (2001-2060, 2020RMB)'!AT59*$B$73</f>
        <v>4012.5368215308422</v>
      </c>
      <c r="AU59" s="90">
        <f>'增加值 (2001-2060, 2020RMB)'!AU59*$B$73</f>
        <v>4049.595693573991</v>
      </c>
      <c r="AV59" s="90">
        <f>'增加值 (2001-2060, 2020RMB)'!AV59*$B$73</f>
        <v>4078.1996722296876</v>
      </c>
      <c r="AW59" s="90">
        <f>'增加值 (2001-2060, 2020RMB)'!AW59*$B$73</f>
        <v>4097.1835833418754</v>
      </c>
      <c r="AX59" s="90">
        <f>'增加值 (2001-2060, 2020RMB)'!AX59*$B$73</f>
        <v>4105.427776656732</v>
      </c>
      <c r="AY59" s="90">
        <f>'增加值 (2001-2060, 2020RMB)'!AY59*$B$73</f>
        <v>4101.8842180812917</v>
      </c>
      <c r="AZ59" s="89">
        <f>'增加值 (2001-2060, 2020RMB)'!AZ59*$B$73</f>
        <v>4085.6043048286147</v>
      </c>
      <c r="BA59" s="90">
        <f>'增加值 (2001-2060, 2020RMB)'!BA59*$B$73</f>
        <v>4055.7676402524389</v>
      </c>
      <c r="BB59" s="90">
        <f>'增加值 (2001-2060, 2020RMB)'!BB59*$B$73</f>
        <v>4011.710844560233</v>
      </c>
      <c r="BC59" s="90">
        <f>'增加值 (2001-2060, 2020RMB)'!BC59*$B$73</f>
        <v>3952.9553360445134</v>
      </c>
      <c r="BD59" s="101">
        <f>'增加值 (2001-2060, 2020RMB)'!BD59*$B$73</f>
        <v>3879.2329073634678</v>
      </c>
      <c r="BE59" s="90">
        <f>'增加值 (2001-2060, 2020RMB)'!BE59*$B$73</f>
        <v>3790.5078553702238</v>
      </c>
      <c r="BF59" s="90">
        <f>'增加值 (2001-2060, 2020RMB)'!BF59*$B$73</f>
        <v>3686.9944129776113</v>
      </c>
      <c r="BG59" s="90">
        <f>'增加值 (2001-2060, 2020RMB)'!BG59*$B$73</f>
        <v>3569.1682876858818</v>
      </c>
      <c r="BH59" s="90">
        <f>'增加值 (2001-2060, 2020RMB)'!BH59*$B$73</f>
        <v>3437.7712408412481</v>
      </c>
      <c r="BI59" s="101">
        <f>'增加值 (2001-2060, 2020RMB)'!BI59*$B$73</f>
        <v>3293.8078474251543</v>
      </c>
    </row>
    <row r="60" spans="1:61" s="9" customFormat="1" x14ac:dyDescent="0.2">
      <c r="A60" s="14" t="s">
        <v>7</v>
      </c>
      <c r="B60" s="19">
        <f>'增加值 (2001-2060, 2020RMB)'!B60*$B$73</f>
        <v>1347.7673940303803</v>
      </c>
      <c r="C60" s="20">
        <f>'增加值 (2001-2060, 2020RMB)'!C60*$B$73</f>
        <v>1430.156352213399</v>
      </c>
      <c r="D60" s="20">
        <f>'增加值 (2001-2060, 2020RMB)'!D60*$B$73</f>
        <v>1516.2562216962042</v>
      </c>
      <c r="E60" s="20">
        <f>'增加值 (2001-2060, 2020RMB)'!E60*$B$73</f>
        <v>1547.534273804351</v>
      </c>
      <c r="F60" s="21">
        <f>'增加值 (2001-2060, 2020RMB)'!F60*$B$73</f>
        <v>1689.363091931338</v>
      </c>
      <c r="G60" s="19">
        <f>'增加值 (2001-2060, 2020RMB)'!G60*$B$73</f>
        <v>2165.0164621977192</v>
      </c>
      <c r="H60" s="20">
        <f>'增加值 (2001-2060, 2020RMB)'!H60*$B$73</f>
        <v>3061.7955148639662</v>
      </c>
      <c r="I60" s="20">
        <f>'增加值 (2001-2060, 2020RMB)'!I60*$B$73</f>
        <v>3429.7288409109169</v>
      </c>
      <c r="J60" s="20">
        <f>'增加值 (2001-2060, 2020RMB)'!J60*$B$73</f>
        <v>4091.0322632234879</v>
      </c>
      <c r="K60" s="21">
        <f>'增加值 (2001-2060, 2020RMB)'!K60*$B$73</f>
        <v>4509.1328253853526</v>
      </c>
      <c r="L60" s="19">
        <f>'增加值 (2001-2060, 2020RMB)'!L60*$B$73</f>
        <v>4987.390817657064</v>
      </c>
      <c r="M60" s="20">
        <f>'增加值 (2001-2060, 2020RMB)'!M60*$B$73</f>
        <v>5592.9147480115871</v>
      </c>
      <c r="N60" s="20">
        <f>'增加值 (2001-2060, 2020RMB)'!N60*$B$73</f>
        <v>6411.0259637493928</v>
      </c>
      <c r="O60" s="20">
        <f>'增加值 (2001-2060, 2020RMB)'!O60*$B$73</f>
        <v>7198.2825882291809</v>
      </c>
      <c r="P60" s="21">
        <f>'增加值 (2001-2060, 2020RMB)'!P60*$B$73</f>
        <v>8646.4873926158689</v>
      </c>
      <c r="Q60" s="19">
        <f>'增加值 (2001-2060, 2020RMB)'!Q60*$B$73</f>
        <v>9077.2806174726575</v>
      </c>
      <c r="R60" s="20">
        <f>'增加值 (2001-2060, 2020RMB)'!R60*$B$73</f>
        <v>9413.2889940005916</v>
      </c>
      <c r="S60" s="20">
        <f>'增加值 (2001-2060, 2020RMB)'!S60*$B$73</f>
        <v>9899.101919664623</v>
      </c>
      <c r="T60" s="20">
        <f>'增加值 (2001-2060, 2020RMB)'!T60*$B$73</f>
        <v>10558.966690894093</v>
      </c>
      <c r="U60" s="20">
        <f>'增加值 (2001-2060, 2020RMB)'!U60*$B$73</f>
        <v>11518.040116145148</v>
      </c>
      <c r="V60" s="19">
        <f>'增加值 (2001-2060, 2020RMB)'!V60*$B$73</f>
        <v>12010.857614349379</v>
      </c>
      <c r="W60" s="20">
        <f>'增加值 (2001-2060, 2020RMB)'!W60*$B$73</f>
        <v>12469.938513456913</v>
      </c>
      <c r="X60" s="90">
        <f>'增加值 (2001-2060, 2020RMB)'!X60*$B$73</f>
        <v>13140.301759848408</v>
      </c>
      <c r="Y60" s="90">
        <f>'增加值 (2001-2060, 2020RMB)'!Y60*$B$73</f>
        <v>13850.166378532303</v>
      </c>
      <c r="Z60" s="101">
        <f>'增加值 (2001-2060, 2020RMB)'!Z60*$B$73</f>
        <v>14591.783004066991</v>
      </c>
      <c r="AA60" s="90">
        <f>'增加值 (2001-2060, 2020RMB)'!AA60*$B$73</f>
        <v>15355.379348745884</v>
      </c>
      <c r="AB60" s="90">
        <f>'增加值 (2001-2060, 2020RMB)'!AB60*$B$73</f>
        <v>16128.970505334279</v>
      </c>
      <c r="AC60" s="90">
        <f>'增加值 (2001-2060, 2020RMB)'!AC60*$B$73</f>
        <v>16898.250773738255</v>
      </c>
      <c r="AD60" s="90">
        <f>'增加值 (2001-2060, 2020RMB)'!AD60*$B$73</f>
        <v>17646.596458862983</v>
      </c>
      <c r="AE60" s="90">
        <f>'增加值 (2001-2060, 2020RMB)'!AE60*$B$73</f>
        <v>18355.209822551369</v>
      </c>
      <c r="AF60" s="89">
        <f>'增加值 (2001-2060, 2020RMB)'!AF60*$B$73</f>
        <v>19008.000855378636</v>
      </c>
      <c r="AG60" s="90">
        <f>'增加值 (2001-2060, 2020RMB)'!AG60*$B$73</f>
        <v>19606.91732624322</v>
      </c>
      <c r="AH60" s="90">
        <f>'增加值 (2001-2060, 2020RMB)'!AH60*$B$73</f>
        <v>20160.41521964706</v>
      </c>
      <c r="AI60" s="90">
        <f>'增加值 (2001-2060, 2020RMB)'!AI60*$B$73</f>
        <v>20678.946152762008</v>
      </c>
      <c r="AJ60" s="101">
        <f>'增加值 (2001-2060, 2020RMB)'!AJ60*$B$73</f>
        <v>21174.716376052831</v>
      </c>
      <c r="AK60" s="90">
        <f>'增加值 (2001-2060, 2020RMB)'!AK60*$B$73</f>
        <v>21658.490480414162</v>
      </c>
      <c r="AL60" s="90">
        <f>'增加值 (2001-2060, 2020RMB)'!AL60*$B$73</f>
        <v>22129.914591482513</v>
      </c>
      <c r="AM60" s="90">
        <f>'增加值 (2001-2060, 2020RMB)'!AM60*$B$73</f>
        <v>22585.591434509421</v>
      </c>
      <c r="AN60" s="90">
        <f>'增加值 (2001-2060, 2020RMB)'!AN60*$B$73</f>
        <v>23021.975111475276</v>
      </c>
      <c r="AO60" s="90">
        <f>'增加值 (2001-2060, 2020RMB)'!AO60*$B$73</f>
        <v>23435.39517532412</v>
      </c>
      <c r="AP60" s="89">
        <f>'增加值 (2001-2060, 2020RMB)'!AP60*$B$73</f>
        <v>23822.085378635031</v>
      </c>
      <c r="AQ60" s="90">
        <f>'增加值 (2001-2060, 2020RMB)'!AQ60*$B$73</f>
        <v>24178.217117267799</v>
      </c>
      <c r="AR60" s="90">
        <f>'增加值 (2001-2060, 2020RMB)'!AR60*$B$73</f>
        <v>24499.937483801546</v>
      </c>
      <c r="AS60" s="90">
        <f>'增加值 (2001-2060, 2020RMB)'!AS60*$B$73</f>
        <v>24783.411726661932</v>
      </c>
      <c r="AT60" s="101">
        <f>'增加值 (2001-2060, 2020RMB)'!AT60*$B$73</f>
        <v>25024.86978052905</v>
      </c>
      <c r="AU60" s="90">
        <f>'增加值 (2001-2060, 2020RMB)'!AU60*$B$73</f>
        <v>25220.656394469795</v>
      </c>
      <c r="AV60" s="90">
        <f>'增加值 (2001-2060, 2020RMB)'!AV60*$B$73</f>
        <v>25367.284239544399</v>
      </c>
      <c r="AW60" s="90">
        <f>'增加值 (2001-2060, 2020RMB)'!AW60*$B$73</f>
        <v>25461.489231415584</v>
      </c>
      <c r="AX60" s="90">
        <f>'增加值 (2001-2060, 2020RMB)'!AX60*$B$73</f>
        <v>25500.287160455235</v>
      </c>
      <c r="AY60" s="90">
        <f>'增加值 (2001-2060, 2020RMB)'!AY60*$B$73</f>
        <v>25481.030587306283</v>
      </c>
      <c r="AZ60" s="89">
        <f>'增加值 (2001-2060, 2020RMB)'!AZ60*$B$73</f>
        <v>25401.464841574543</v>
      </c>
      <c r="BA60" s="90">
        <f>'增加值 (2001-2060, 2020RMB)'!BA60*$B$73</f>
        <v>25259.781861343057</v>
      </c>
      <c r="BB60" s="90">
        <f>'增加值 (2001-2060, 2020RMB)'!BB60*$B$73</f>
        <v>25054.670537600578</v>
      </c>
      <c r="BC60" s="90">
        <f>'增加值 (2001-2060, 2020RMB)'!BC60*$B$73</f>
        <v>24785.362186333798</v>
      </c>
      <c r="BD60" s="101">
        <f>'增加值 (2001-2060, 2020RMB)'!BD60*$B$73</f>
        <v>24451.669767301242</v>
      </c>
      <c r="BE60" s="90">
        <f>'增加值 (2001-2060, 2020RMB)'!BE60*$B$73</f>
        <v>24054.019506911951</v>
      </c>
      <c r="BF60" s="90">
        <f>'增加值 (2001-2060, 2020RMB)'!BF60*$B$73</f>
        <v>23593.473666548565</v>
      </c>
      <c r="BG60" s="90">
        <f>'增加值 (2001-2060, 2020RMB)'!BG60*$B$73</f>
        <v>23071.743329009922</v>
      </c>
      <c r="BH60" s="90">
        <f>'增加值 (2001-2060, 2020RMB)'!BH60*$B$73</f>
        <v>22491.190254673704</v>
      </c>
      <c r="BI60" s="101">
        <f>'增加值 (2001-2060, 2020RMB)'!BI60*$B$73</f>
        <v>21854.817083703052</v>
      </c>
    </row>
    <row r="61" spans="1:61" s="9" customFormat="1" x14ac:dyDescent="0.2">
      <c r="A61" s="14" t="s">
        <v>8</v>
      </c>
      <c r="B61" s="19">
        <f>'增加值 (2001-2060, 2020RMB)'!B61*$B$73</f>
        <v>1219.0212583278549</v>
      </c>
      <c r="C61" s="20">
        <f>'增加值 (2001-2060, 2020RMB)'!C61*$B$73</f>
        <v>1373.1900105983616</v>
      </c>
      <c r="D61" s="20">
        <f>'增加值 (2001-2060, 2020RMB)'!D61*$B$73</f>
        <v>1544.1701634192118</v>
      </c>
      <c r="E61" s="20">
        <f>'增加值 (2001-2060, 2020RMB)'!E61*$B$73</f>
        <v>1676.9370442829156</v>
      </c>
      <c r="F61" s="21">
        <f>'增加值 (2001-2060, 2020RMB)'!F61*$B$73</f>
        <v>1914.2880443395622</v>
      </c>
      <c r="G61" s="19">
        <f>'增加值 (2001-2060, 2020RMB)'!G61*$B$73</f>
        <v>2240.6985755238452</v>
      </c>
      <c r="H61" s="20">
        <f>'增加值 (2001-2060, 2020RMB)'!H61*$B$73</f>
        <v>2762.4647165029232</v>
      </c>
      <c r="I61" s="20">
        <f>'增加值 (2001-2060, 2020RMB)'!I61*$B$73</f>
        <v>2729.5411431597586</v>
      </c>
      <c r="J61" s="20">
        <f>'增加值 (2001-2060, 2020RMB)'!J61*$B$73</f>
        <v>3514.7004494341772</v>
      </c>
      <c r="K61" s="21">
        <f>'增加值 (2001-2060, 2020RMB)'!K61*$B$73</f>
        <v>4087.449151662021</v>
      </c>
      <c r="L61" s="19">
        <f>'增加值 (2001-2060, 2020RMB)'!L61*$B$73</f>
        <v>4506.2057061483838</v>
      </c>
      <c r="M61" s="20">
        <f>'增加值 (2001-2060, 2020RMB)'!M61*$B$73</f>
        <v>4876.1561524196823</v>
      </c>
      <c r="N61" s="20">
        <f>'增加值 (2001-2060, 2020RMB)'!N61*$B$73</f>
        <v>5486.7901884874836</v>
      </c>
      <c r="O61" s="20">
        <f>'增加值 (2001-2060, 2020RMB)'!O61*$B$73</f>
        <v>5851.371938180193</v>
      </c>
      <c r="P61" s="21">
        <f>'增加值 (2001-2060, 2020RMB)'!P61*$B$73</f>
        <v>6538.4570630046546</v>
      </c>
      <c r="Q61" s="19">
        <f>'增加值 (2001-2060, 2020RMB)'!Q61*$B$73</f>
        <v>7564.3096872579927</v>
      </c>
      <c r="R61" s="20">
        <f>'增加值 (2001-2060, 2020RMB)'!R61*$B$73</f>
        <v>8287.0354913464689</v>
      </c>
      <c r="S61" s="20">
        <f>'增加值 (2001-2060, 2020RMB)'!S61*$B$73</f>
        <v>9059.7216461973221</v>
      </c>
      <c r="T61" s="20">
        <f>'增加值 (2001-2060, 2020RMB)'!T61*$B$73</f>
        <v>9754.9959835948321</v>
      </c>
      <c r="U61" s="20">
        <f>'增加值 (2001-2060, 2020RMB)'!U61*$B$73</f>
        <v>10114.073347389278</v>
      </c>
      <c r="V61" s="19">
        <f>'增加值 (2001-2060, 2020RMB)'!V61*$B$73</f>
        <v>10213.975076695173</v>
      </c>
      <c r="W61" s="20">
        <f>'增加值 (2001-2060, 2020RMB)'!W61*$B$73</f>
        <v>9508.7032670198314</v>
      </c>
      <c r="X61" s="90">
        <f>'增加值 (2001-2060, 2020RMB)'!X61*$B$73</f>
        <v>10068.274728782359</v>
      </c>
      <c r="Y61" s="90">
        <f>'增加值 (2001-2060, 2020RMB)'!Y61*$B$73</f>
        <v>10624.149716729269</v>
      </c>
      <c r="Z61" s="101">
        <f>'增加值 (2001-2060, 2020RMB)'!Z61*$B$73</f>
        <v>11170.984957660745</v>
      </c>
      <c r="AA61" s="90">
        <f>'增加值 (2001-2060, 2020RMB)'!AA61*$B$73</f>
        <v>11703.067498202092</v>
      </c>
      <c r="AB61" s="90">
        <f>'增加值 (2001-2060, 2020RMB)'!AB61*$B$73</f>
        <v>12214.387918515718</v>
      </c>
      <c r="AC61" s="90">
        <f>'增加值 (2001-2060, 2020RMB)'!AC61*$B$73</f>
        <v>12698.729185814178</v>
      </c>
      <c r="AD61" s="90">
        <f>'增加值 (2001-2060, 2020RMB)'!AD61*$B$73</f>
        <v>13149.770286387398</v>
      </c>
      <c r="AE61" s="90">
        <f>'增加值 (2001-2060, 2020RMB)'!AE61*$B$73</f>
        <v>13561.203116147675</v>
      </c>
      <c r="AF61" s="89">
        <f>'增加值 (2001-2060, 2020RMB)'!AF61*$B$73</f>
        <v>13929.684802355883</v>
      </c>
      <c r="AG61" s="90">
        <f>'增加值 (2001-2060, 2020RMB)'!AG61*$B$73</f>
        <v>14263.972779857408</v>
      </c>
      <c r="AH61" s="90">
        <f>'增加值 (2001-2060, 2020RMB)'!AH61*$B$73</f>
        <v>14577.298675938589</v>
      </c>
      <c r="AI61" s="90">
        <f>'增加值 (2001-2060, 2020RMB)'!AI61*$B$73</f>
        <v>14884.427576747839</v>
      </c>
      <c r="AJ61" s="101">
        <f>'增加值 (2001-2060, 2020RMB)'!AJ61*$B$73</f>
        <v>15201.51779192001</v>
      </c>
      <c r="AK61" s="90">
        <f>'增加值 (2001-2060, 2020RMB)'!AK61*$B$73</f>
        <v>15542.58333216231</v>
      </c>
      <c r="AL61" s="90">
        <f>'增加值 (2001-2060, 2020RMB)'!AL61*$B$73</f>
        <v>15908.332191210809</v>
      </c>
      <c r="AM61" s="90">
        <f>'增加值 (2001-2060, 2020RMB)'!AM61*$B$73</f>
        <v>16295.795314002175</v>
      </c>
      <c r="AN61" s="90">
        <f>'增加值 (2001-2060, 2020RMB)'!AN61*$B$73</f>
        <v>16701.681712855021</v>
      </c>
      <c r="AO61" s="90">
        <f>'增加值 (2001-2060, 2020RMB)'!AO61*$B$73</f>
        <v>17122.329334708182</v>
      </c>
      <c r="AP61" s="89">
        <f>'增加值 (2001-2060, 2020RMB)'!AP61*$B$73</f>
        <v>17553.663117892815</v>
      </c>
      <c r="AQ61" s="90">
        <f>'增加值 (2001-2060, 2020RMB)'!AQ61*$B$73</f>
        <v>17991.161892935273</v>
      </c>
      <c r="AR61" s="90">
        <f>'增加值 (2001-2060, 2020RMB)'!AR61*$B$73</f>
        <v>18429.836050836391</v>
      </c>
      <c r="AS61" s="90">
        <f>'增加值 (2001-2060, 2020RMB)'!AS61*$B$73</f>
        <v>18864.218105690197</v>
      </c>
      <c r="AT61" s="101">
        <f>'增加值 (2001-2060, 2020RMB)'!AT61*$B$73</f>
        <v>19288.368395240916</v>
      </c>
      <c r="AU61" s="90">
        <f>'增加值 (2001-2060, 2020RMB)'!AU61*$B$73</f>
        <v>19695.898169576947</v>
      </c>
      <c r="AV61" s="90">
        <f>'增加值 (2001-2060, 2020RMB)'!AV61*$B$73</f>
        <v>20080.012190327565</v>
      </c>
      <c r="AW61" s="90">
        <f>'增加值 (2001-2060, 2020RMB)'!AW61*$B$73</f>
        <v>20433.572677276316</v>
      </c>
      <c r="AX61" s="90">
        <f>'增加值 (2001-2060, 2020RMB)'!AX61*$B$73</f>
        <v>20749.185976517496</v>
      </c>
      <c r="AY61" s="90">
        <f>'增加值 (2001-2060, 2020RMB)'!AY61*$B$73</f>
        <v>21019.312670718486</v>
      </c>
      <c r="AZ61" s="89">
        <f>'增加值 (2001-2060, 2020RMB)'!AZ61*$B$73</f>
        <v>21236.4010035397</v>
      </c>
      <c r="BA61" s="90">
        <f>'增加值 (2001-2060, 2020RMB)'!BA61*$B$73</f>
        <v>21393.042455021816</v>
      </c>
      <c r="BB61" s="90">
        <f>'增加值 (2001-2060, 2020RMB)'!BB61*$B$73</f>
        <v>21482.14710616575</v>
      </c>
      <c r="BC61" s="90">
        <f>'增加值 (2001-2060, 2020RMB)'!BC61*$B$73</f>
        <v>21497.135109835428</v>
      </c>
      <c r="BD61" s="101">
        <f>'增加值 (2001-2060, 2020RMB)'!BD61*$B$73</f>
        <v>21432.139200967886</v>
      </c>
      <c r="BE61" s="90">
        <f>'增加值 (2001-2060, 2020RMB)'!BE61*$B$73</f>
        <v>21282.211809765755</v>
      </c>
      <c r="BF61" s="90">
        <f>'增加值 (2001-2060, 2020RMB)'!BF61*$B$73</f>
        <v>21043.529081339217</v>
      </c>
      <c r="BG61" s="90">
        <f>'增加值 (2001-2060, 2020RMB)'!BG61*$B$73</f>
        <v>20713.583060657169</v>
      </c>
      <c r="BH61" s="90">
        <f>'增加值 (2001-2060, 2020RMB)'!BH61*$B$73</f>
        <v>20291.352584985445</v>
      </c>
      <c r="BI61" s="101">
        <f>'增加值 (2001-2060, 2020RMB)'!BI61*$B$73</f>
        <v>19777.443146865728</v>
      </c>
    </row>
    <row r="62" spans="1:61" x14ac:dyDescent="0.2">
      <c r="A62" s="33" t="s">
        <v>36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'增加值 (2001-2060, 2020RMB)'!K62*$B$73</f>
        <v>1585.7513991664366</v>
      </c>
      <c r="L62" s="19">
        <f>'增加值 (2001-2060, 2020RMB)'!L62*$B$73</f>
        <v>1671.5039059749345</v>
      </c>
      <c r="M62" s="20">
        <f>'增加值 (2001-2060, 2020RMB)'!M62*$B$73</f>
        <v>1891.4669953846324</v>
      </c>
      <c r="N62" s="20">
        <f>'增加值 (2001-2060, 2020RMB)'!N62*$B$73</f>
        <v>2131.6109396293364</v>
      </c>
      <c r="O62" s="20">
        <f>'增加值 (2001-2060, 2020RMB)'!O62*$B$73</f>
        <v>2376.8125815727003</v>
      </c>
      <c r="P62" s="21">
        <f>'增加值 (2001-2060, 2020RMB)'!P62*$B$73</f>
        <v>2690.2189769585975</v>
      </c>
      <c r="Q62" s="19">
        <f>'增加值 (2001-2060, 2020RMB)'!Q62*$B$73</f>
        <v>3046.3628656207311</v>
      </c>
      <c r="R62" s="20">
        <f>'增加值 (2001-2060, 2020RMB)'!R62*$B$73</f>
        <v>3456.2799865101592</v>
      </c>
      <c r="S62" s="20">
        <f>'增加值 (2001-2060, 2020RMB)'!S62*$B$73</f>
        <v>4028.2486409020134</v>
      </c>
      <c r="T62" s="20">
        <f>'增加值 (2001-2060, 2020RMB)'!T62*$B$73</f>
        <v>4624.0016989898741</v>
      </c>
      <c r="U62" s="20">
        <f>'增加值 (2001-2060, 2020RMB)'!U62*$B$73</f>
        <v>5267.9884522758539</v>
      </c>
      <c r="V62" s="89">
        <f>'增加值 (2001-2060, 2020RMB)'!V62*$B$73</f>
        <v>5624.0165034330857</v>
      </c>
      <c r="W62" s="90">
        <f>'增加值 (2001-2060, 2020RMB)'!W62*$B$73</f>
        <v>5797.9897714259087</v>
      </c>
      <c r="X62" s="90">
        <f>'增加值 (2001-2060, 2020RMB)'!X62*$B$73</f>
        <v>6587.6440224174166</v>
      </c>
      <c r="Y62" s="90">
        <f>'增加值 (2001-2060, 2020RMB)'!Y62*$B$73</f>
        <v>7489.3796157493225</v>
      </c>
      <c r="Z62" s="101">
        <f>'增加值 (2001-2060, 2020RMB)'!Z62*$B$73</f>
        <v>8512.5915751603916</v>
      </c>
      <c r="AA62" s="90">
        <f>'增加值 (2001-2060, 2020RMB)'!AA62*$B$73</f>
        <v>9665.2962316890098</v>
      </c>
      <c r="AB62" s="90">
        <f>'增加值 (2001-2060, 2020RMB)'!AB62*$B$73</f>
        <v>10953.253770177169</v>
      </c>
      <c r="AC62" s="90">
        <f>'增加值 (2001-2060, 2020RMB)'!AC62*$B$73</f>
        <v>12378.924857400503</v>
      </c>
      <c r="AD62" s="90">
        <f>'增加值 (2001-2060, 2020RMB)'!AD62*$B$73</f>
        <v>13940.286149360749</v>
      </c>
      <c r="AE62" s="90">
        <f>'增加值 (2001-2060, 2020RMB)'!AE62*$B$73</f>
        <v>15629.555378596015</v>
      </c>
      <c r="AF62" s="89">
        <f>'增加值 (2001-2060, 2020RMB)'!AF62*$B$73</f>
        <v>17435.766345202275</v>
      </c>
      <c r="AG62" s="90">
        <f>'增加值 (2001-2060, 2020RMB)'!AG62*$B$73</f>
        <v>19358.545699201597</v>
      </c>
      <c r="AH62" s="90">
        <f>'增加值 (2001-2060, 2020RMB)'!AH62*$B$73</f>
        <v>21402.06090076259</v>
      </c>
      <c r="AI62" s="90">
        <f>'增加值 (2001-2060, 2020RMB)'!AI62*$B$73</f>
        <v>23572.38643120366</v>
      </c>
      <c r="AJ62" s="101">
        <f>'增加值 (2001-2060, 2020RMB)'!AJ62*$B$73</f>
        <v>25877.987973396223</v>
      </c>
      <c r="AK62" s="90">
        <f>'增加值 (2001-2060, 2020RMB)'!AK62*$B$73</f>
        <v>28328.121655019804</v>
      </c>
      <c r="AL62" s="90">
        <f>'增加值 (2001-2060, 2020RMB)'!AL62*$B$73</f>
        <v>30925.471415271793</v>
      </c>
      <c r="AM62" s="90">
        <f>'增加值 (2001-2060, 2020RMB)'!AM62*$B$73</f>
        <v>33670.109299628057</v>
      </c>
      <c r="AN62" s="90">
        <f>'增加值 (2001-2060, 2020RMB)'!AN62*$B$73</f>
        <v>36561.225295399017</v>
      </c>
      <c r="AO62" s="90">
        <f>'增加值 (2001-2060, 2020RMB)'!AO62*$B$73</f>
        <v>39597.096904770027</v>
      </c>
      <c r="AP62" s="89">
        <f>'增加值 (2001-2060, 2020RMB)'!AP62*$B$73</f>
        <v>42775.068100081196</v>
      </c>
      <c r="AQ62" s="90">
        <f>'增加值 (2001-2060, 2020RMB)'!AQ62*$B$73</f>
        <v>46091.538204244316</v>
      </c>
      <c r="AR62" s="90">
        <f>'增加值 (2001-2060, 2020RMB)'!AR62*$B$73</f>
        <v>49541.961081880276</v>
      </c>
      <c r="AS62" s="90">
        <f>'增加值 (2001-2060, 2020RMB)'!AS62*$B$73</f>
        <v>53120.854860497828</v>
      </c>
      <c r="AT62" s="101">
        <f>'增加值 (2001-2060, 2020RMB)'!AT62*$B$73</f>
        <v>56821.822229566693</v>
      </c>
      <c r="AU62" s="90">
        <f>'增加值 (2001-2060, 2020RMB)'!AU62*$B$73</f>
        <v>60637.581192479498</v>
      </c>
      <c r="AV62" s="90">
        <f>'增加值 (2001-2060, 2020RMB)'!AV62*$B$73</f>
        <v>64560.005975995766</v>
      </c>
      <c r="AW62" s="90">
        <f>'增加值 (2001-2060, 2020RMB)'!AW62*$B$73</f>
        <v>68580.177637525208</v>
      </c>
      <c r="AX62" s="90">
        <f>'增加值 (2001-2060, 2020RMB)'!AX62*$B$73</f>
        <v>72688.443756032852</v>
      </c>
      <c r="AY62" s="90">
        <f>'增加值 (2001-2060, 2020RMB)'!AY62*$B$73</f>
        <v>76874.486450663622</v>
      </c>
      <c r="AZ62" s="89">
        <f>'增加值 (2001-2060, 2020RMB)'!AZ62*$B$73</f>
        <v>81127.397845162574</v>
      </c>
      <c r="BA62" s="90">
        <f>'增加值 (2001-2060, 2020RMB)'!BA62*$B$73</f>
        <v>85435.76198821966</v>
      </c>
      <c r="BB62" s="90">
        <f>'增加值 (2001-2060, 2020RMB)'!BB62*$B$73</f>
        <v>89787.742151832121</v>
      </c>
      <c r="BC62" s="90">
        <f>'增加值 (2001-2060, 2020RMB)'!BC62*$B$73</f>
        <v>94171.172363004254</v>
      </c>
      <c r="BD62" s="101">
        <f>'增加值 (2001-2060, 2020RMB)'!BD62*$B$73</f>
        <v>98573.651979393253</v>
      </c>
      <c r="BE62" s="90">
        <f>'增加值 (2001-2060, 2020RMB)'!BE62*$B$73</f>
        <v>102982.64209709466</v>
      </c>
      <c r="BF62" s="90">
        <f>'增加值 (2001-2060, 2020RMB)'!BF62*$B$73</f>
        <v>107385.56257837371</v>
      </c>
      <c r="BG62" s="90">
        <f>'增加值 (2001-2060, 2020RMB)'!BG62*$B$73</f>
        <v>111769.88850801651</v>
      </c>
      <c r="BH62" s="90">
        <f>'增加值 (2001-2060, 2020RMB)'!BH62*$B$73</f>
        <v>116123.24492786571</v>
      </c>
      <c r="BI62" s="101">
        <f>'增加值 (2001-2060, 2020RMB)'!BI62*$B$73</f>
        <v>120433.49875839941</v>
      </c>
    </row>
    <row r="63" spans="1:61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'增加值 (2001-2060, 2020RMB)'!K63*$B$73</f>
        <v>1272.1126675656094</v>
      </c>
      <c r="L63" s="19">
        <f>'增加值 (2001-2060, 2020RMB)'!L63*$B$73</f>
        <v>1484.2204642935185</v>
      </c>
      <c r="M63" s="20">
        <f>'增加值 (2001-2060, 2020RMB)'!M63*$B$73</f>
        <v>1726.3538998843667</v>
      </c>
      <c r="N63" s="20">
        <f>'增加值 (2001-2060, 2020RMB)'!N63*$B$73</f>
        <v>2003.5562331895542</v>
      </c>
      <c r="O63" s="20">
        <f>'增加值 (2001-2060, 2020RMB)'!O63*$B$73</f>
        <v>2373.8474423522207</v>
      </c>
      <c r="P63" s="21">
        <f>'增加值 (2001-2060, 2020RMB)'!P63*$B$73</f>
        <v>2778.204593732185</v>
      </c>
      <c r="Q63" s="19">
        <f>'增加值 (2001-2060, 2020RMB)'!Q63*$B$73</f>
        <v>3258.9744430211772</v>
      </c>
      <c r="R63" s="20">
        <f>'增加值 (2001-2060, 2020RMB)'!R63*$B$73</f>
        <v>3668.8633655089989</v>
      </c>
      <c r="S63" s="20">
        <f>'增加值 (2001-2060, 2020RMB)'!S63*$B$73</f>
        <v>4131.290830369463</v>
      </c>
      <c r="T63" s="20">
        <f>'增加值 (2001-2060, 2020RMB)'!T63*$B$73</f>
        <v>4519.6176142535451</v>
      </c>
      <c r="U63" s="20">
        <f>'增加值 (2001-2060, 2020RMB)'!U63*$B$73</f>
        <v>4472.2961678562579</v>
      </c>
      <c r="V63" s="89">
        <f>'增加值 (2001-2060, 2020RMB)'!V63*$B$73</f>
        <v>4774.5487075617966</v>
      </c>
      <c r="W63" s="90">
        <f>'增加值 (2001-2060, 2020RMB)'!W63*$B$73</f>
        <v>4922.2445475968289</v>
      </c>
      <c r="X63" s="90">
        <f>'增加值 (2001-2060, 2020RMB)'!X63*$B$73</f>
        <v>5443.3194539045789</v>
      </c>
      <c r="Y63" s="90">
        <f>'增加值 (2001-2060, 2020RMB)'!Y63*$B$73</f>
        <v>6020.8024108449799</v>
      </c>
      <c r="Z63" s="101">
        <f>'增加值 (2001-2060, 2020RMB)'!Z63*$B$73</f>
        <v>6656.3623306454929</v>
      </c>
      <c r="AA63" s="90">
        <f>'增加值 (2001-2060, 2020RMB)'!AA63*$B$73</f>
        <v>7350.4456641942934</v>
      </c>
      <c r="AB63" s="90">
        <f>'增加值 (2001-2060, 2020RMB)'!AB63*$B$73</f>
        <v>8101.8955116370607</v>
      </c>
      <c r="AC63" s="90">
        <f>'增加值 (2001-2060, 2020RMB)'!AC63*$B$73</f>
        <v>8907.5437507853658</v>
      </c>
      <c r="AD63" s="90">
        <f>'增加值 (2001-2060, 2020RMB)'!AD63*$B$73</f>
        <v>9761.7967557523316</v>
      </c>
      <c r="AE63" s="90">
        <f>'增加值 (2001-2060, 2020RMB)'!AE63*$B$73</f>
        <v>10656.243607576078</v>
      </c>
      <c r="AF63" s="89">
        <f>'增加值 (2001-2060, 2020RMB)'!AF63*$B$73</f>
        <v>11581.662769341105</v>
      </c>
      <c r="AG63" s="90">
        <f>'增加值 (2001-2060, 2020RMB)'!AG63*$B$73</f>
        <v>12536.338607731703</v>
      </c>
      <c r="AH63" s="90">
        <f>'增加值 (2001-2060, 2020RMB)'!AH63*$B$73</f>
        <v>13521.71779088033</v>
      </c>
      <c r="AI63" s="90">
        <f>'增加值 (2001-2060, 2020RMB)'!AI63*$B$73</f>
        <v>14540.612712200718</v>
      </c>
      <c r="AJ63" s="101">
        <f>'增加值 (2001-2060, 2020RMB)'!AJ63*$B$73</f>
        <v>15597.376794472928</v>
      </c>
      <c r="AK63" s="90">
        <f>'增加值 (2001-2060, 2020RMB)'!AK63*$B$73</f>
        <v>16696.573626650967</v>
      </c>
      <c r="AL63" s="90">
        <f>'增加值 (2001-2060, 2020RMB)'!AL63*$B$73</f>
        <v>17837.802879491184</v>
      </c>
      <c r="AM63" s="90">
        <f>'增加值 (2001-2060, 2020RMB)'!AM63*$B$73</f>
        <v>19018.90181243161</v>
      </c>
      <c r="AN63" s="90">
        <f>'增加值 (2001-2060, 2020RMB)'!AN63*$B$73</f>
        <v>20237.247687311439</v>
      </c>
      <c r="AO63" s="90">
        <f>'增加值 (2001-2060, 2020RMB)'!AO63*$B$73</f>
        <v>21489.744645895062</v>
      </c>
      <c r="AP63" s="89">
        <f>'增加值 (2001-2060, 2020RMB)'!AP63*$B$73</f>
        <v>22772.815212891946</v>
      </c>
      <c r="AQ63" s="90">
        <f>'增加值 (2001-2060, 2020RMB)'!AQ63*$B$73</f>
        <v>24082.396964813732</v>
      </c>
      <c r="AR63" s="90">
        <f>'增加值 (2001-2060, 2020RMB)'!AR63*$B$73</f>
        <v>25413.944865464644</v>
      </c>
      <c r="AS63" s="90">
        <f>'增加值 (2001-2060, 2020RMB)'!AS63*$B$73</f>
        <v>26762.439715516964</v>
      </c>
      <c r="AT63" s="101">
        <f>'增加值 (2001-2060, 2020RMB)'!AT63*$B$73</f>
        <v>28122.403096336726</v>
      </c>
      <c r="AU63" s="90">
        <f>'增加值 (2001-2060, 2020RMB)'!AU63*$B$73</f>
        <v>29487.919107180172</v>
      </c>
      <c r="AV63" s="90">
        <f>'增加值 (2001-2060, 2020RMB)'!AV63*$B$73</f>
        <v>30852.663100644386</v>
      </c>
      <c r="AW63" s="90">
        <f>'增加值 (2001-2060, 2020RMB)'!AW63*$B$73</f>
        <v>32209.937514769164</v>
      </c>
      <c r="AX63" s="90">
        <f>'增加值 (2001-2060, 2020RMB)'!AX63*$B$73</f>
        <v>33552.714782810326</v>
      </c>
      <c r="AY63" s="90">
        <f>'增加值 (2001-2060, 2020RMB)'!AY63*$B$73</f>
        <v>34873.687175190767</v>
      </c>
      <c r="AZ63" s="89">
        <f>'增加值 (2001-2060, 2020RMB)'!AZ63*$B$73</f>
        <v>36165.323294627553</v>
      </c>
      <c r="BA63" s="90">
        <f>'增加值 (2001-2060, 2020RMB)'!BA63*$B$73</f>
        <v>37419.930807454279</v>
      </c>
      <c r="BB63" s="90">
        <f>'增加值 (2001-2060, 2020RMB)'!BB63*$B$73</f>
        <v>38629.724854535067</v>
      </c>
      <c r="BC63" s="90">
        <f>'增加值 (2001-2060, 2020RMB)'!BC63*$B$73</f>
        <v>39786.90144702237</v>
      </c>
      <c r="BD63" s="101">
        <f>'增加值 (2001-2060, 2020RMB)'!BD63*$B$73</f>
        <v>40883.715018858617</v>
      </c>
      <c r="BE63" s="90">
        <f>'增加值 (2001-2060, 2020RMB)'!BE63*$B$73</f>
        <v>41912.559182818659</v>
      </c>
      <c r="BF63" s="90">
        <f>'增加值 (2001-2060, 2020RMB)'!BF63*$B$73</f>
        <v>42866.049623508748</v>
      </c>
      <c r="BG63" s="90">
        <f>'增加值 (2001-2060, 2020RMB)'!BG63*$B$73</f>
        <v>43737.107962529866</v>
      </c>
      <c r="BH63" s="90">
        <f>'增加值 (2001-2060, 2020RMB)'!BH63*$B$73</f>
        <v>44519.045351220724</v>
      </c>
      <c r="BI63" s="101">
        <f>'增加值 (2001-2060, 2020RMB)'!BI63*$B$73</f>
        <v>45205.644488038313</v>
      </c>
    </row>
    <row r="64" spans="1:61" x14ac:dyDescent="0.2">
      <c r="A64" s="33" t="s">
        <v>38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'增加值 (2001-2060, 2020RMB)'!K64*$B$73</f>
        <v>1132.7196227092165</v>
      </c>
      <c r="L64" s="19">
        <f>'增加值 (2001-2060, 2020RMB)'!L64*$B$73</f>
        <v>1288.6969404733388</v>
      </c>
      <c r="M64" s="20">
        <f>'增加值 (2001-2060, 2020RMB)'!M64*$B$73</f>
        <v>1499.4006937098445</v>
      </c>
      <c r="N64" s="20">
        <f>'增加值 (2001-2060, 2020RMB)'!N64*$B$73</f>
        <v>1711.4120271908421</v>
      </c>
      <c r="O64" s="20">
        <f>'增加值 (2001-2060, 2020RMB)'!O64*$B$73</f>
        <v>1916.7397365131933</v>
      </c>
      <c r="P64" s="21">
        <f>'增加值 (2001-2060, 2020RMB)'!P64*$B$73</f>
        <v>2132.7873228454646</v>
      </c>
      <c r="Q64" s="19">
        <f>'增加值 (2001-2060, 2020RMB)'!Q64*$B$73</f>
        <v>2330.3561016859712</v>
      </c>
      <c r="R64" s="20">
        <f>'增加值 (2001-2060, 2020RMB)'!R64*$B$73</f>
        <v>2532.4045831883782</v>
      </c>
      <c r="S64" s="20">
        <f>'增加值 (2001-2060, 2020RMB)'!S64*$B$73</f>
        <v>2828.4450138267316</v>
      </c>
      <c r="T64" s="20">
        <f>'增加值 (2001-2060, 2020RMB)'!T64*$B$73</f>
        <v>3132.9488568587681</v>
      </c>
      <c r="U64" s="20">
        <f>'增加值 (2001-2060, 2020RMB)'!U64*$B$73</f>
        <v>3328.8079085503055</v>
      </c>
      <c r="V64" s="89">
        <f>'增加值 (2001-2060, 2020RMB)'!V64*$B$73</f>
        <v>3553.7797366198879</v>
      </c>
      <c r="W64" s="90">
        <f>'增加值 (2001-2060, 2020RMB)'!W64*$B$73</f>
        <v>3663.7123220113112</v>
      </c>
      <c r="X64" s="90">
        <f>'增加值 (2001-2060, 2020RMB)'!X64*$B$73</f>
        <v>4014.0961514696446</v>
      </c>
      <c r="Y64" s="90">
        <f>'增加值 (2001-2060, 2020RMB)'!Y64*$B$73</f>
        <v>4398.2866389662277</v>
      </c>
      <c r="Z64" s="101">
        <f>'增加值 (2001-2060, 2020RMB)'!Z64*$B$73</f>
        <v>4816.5210400948599</v>
      </c>
      <c r="AA64" s="90">
        <f>'增加值 (2001-2060, 2020RMB)'!AA64*$B$73</f>
        <v>5268.2016662640272</v>
      </c>
      <c r="AB64" s="90">
        <f>'增加值 (2001-2060, 2020RMB)'!AB64*$B$73</f>
        <v>5751.6856255525609</v>
      </c>
      <c r="AC64" s="90">
        <f>'增加值 (2001-2060, 2020RMB)'!AC64*$B$73</f>
        <v>6264.0689794623104</v>
      </c>
      <c r="AD64" s="90">
        <f>'增加值 (2001-2060, 2020RMB)'!AD64*$B$73</f>
        <v>6800.9782662846519</v>
      </c>
      <c r="AE64" s="90">
        <f>'增加值 (2001-2060, 2020RMB)'!AE64*$B$73</f>
        <v>7356.3863418090823</v>
      </c>
      <c r="AF64" s="89">
        <f>'增加值 (2001-2060, 2020RMB)'!AF64*$B$73</f>
        <v>7924.0189353341211</v>
      </c>
      <c r="AG64" s="90">
        <f>'增加值 (2001-2060, 2020RMB)'!AG64*$B$73</f>
        <v>8502.8154432597694</v>
      </c>
      <c r="AH64" s="90">
        <f>'增加值 (2001-2060, 2020RMB)'!AH64*$B$73</f>
        <v>9093.8845565949723</v>
      </c>
      <c r="AI64" s="90">
        <f>'增加值 (2001-2060, 2020RMB)'!AI64*$B$73</f>
        <v>9699.2626546481879</v>
      </c>
      <c r="AJ64" s="101">
        <f>'增加值 (2001-2060, 2020RMB)'!AJ64*$B$73</f>
        <v>10321.997897039973</v>
      </c>
      <c r="AK64" s="90">
        <f>'增加值 (2001-2060, 2020RMB)'!AK64*$B$73</f>
        <v>10965.185657417889</v>
      </c>
      <c r="AL64" s="90">
        <f>'增加值 (2001-2060, 2020RMB)'!AL64*$B$73</f>
        <v>11628.395847981588</v>
      </c>
      <c r="AM64" s="90">
        <f>'增加值 (2001-2060, 2020RMB)'!AM64*$B$73</f>
        <v>12309.995360894431</v>
      </c>
      <c r="AN64" s="90">
        <f>'增加值 (2001-2060, 2020RMB)'!AN64*$B$73</f>
        <v>13008.071155579382</v>
      </c>
      <c r="AO64" s="90">
        <f>'增加值 (2001-2060, 2020RMB)'!AO64*$B$73</f>
        <v>13720.423610489257</v>
      </c>
      <c r="AP64" s="89">
        <f>'增加值 (2001-2060, 2020RMB)'!AP64*$B$73</f>
        <v>14444.562987171295</v>
      </c>
      <c r="AQ64" s="90">
        <f>'增加值 (2001-2060, 2020RMB)'!AQ64*$B$73</f>
        <v>15177.709399213549</v>
      </c>
      <c r="AR64" s="90">
        <f>'增加值 (2001-2060, 2020RMB)'!AR64*$B$73</f>
        <v>15916.796655635981</v>
      </c>
      <c r="AS64" s="90">
        <f>'增加值 (2001-2060, 2020RMB)'!AS64*$B$73</f>
        <v>16658.480314148539</v>
      </c>
      <c r="AT64" s="101">
        <f>'增加值 (2001-2060, 2020RMB)'!AT64*$B$73</f>
        <v>17399.15023392448</v>
      </c>
      <c r="AU64" s="90">
        <f>'增加值 (2001-2060, 2020RMB)'!AU64*$B$73</f>
        <v>18134.947859880027</v>
      </c>
      <c r="AV64" s="90">
        <f>'增加值 (2001-2060, 2020RMB)'!AV64*$B$73</f>
        <v>18861.788400985595</v>
      </c>
      <c r="AW64" s="90">
        <f>'增加值 (2001-2060, 2020RMB)'!AW64*$B$73</f>
        <v>19575.387984283781</v>
      </c>
      <c r="AX64" s="90">
        <f>'增加值 (2001-2060, 2020RMB)'!AX64*$B$73</f>
        <v>20271.295774882568</v>
      </c>
      <c r="AY64" s="90">
        <f>'增加值 (2001-2060, 2020RMB)'!AY64*$B$73</f>
        <v>20944.930951461734</v>
      </c>
      <c r="AZ64" s="89">
        <f>'增加值 (2001-2060, 2020RMB)'!AZ64*$B$73</f>
        <v>21591.624318439601</v>
      </c>
      <c r="BA64" s="90">
        <f>'增加值 (2001-2060, 2020RMB)'!BA64*$B$73</f>
        <v>22206.664221985757</v>
      </c>
      <c r="BB64" s="90">
        <f>'增加值 (2001-2060, 2020RMB)'!BB64*$B$73</f>
        <v>22785.346320019384</v>
      </c>
      <c r="BC64" s="90">
        <f>'增加值 (2001-2060, 2020RMB)'!BC64*$B$73</f>
        <v>23323.026639063643</v>
      </c>
      <c r="BD64" s="101">
        <f>'增加值 (2001-2060, 2020RMB)'!BD64*$B$73</f>
        <v>23815.177236501226</v>
      </c>
      <c r="BE64" s="90">
        <f>'增加值 (2001-2060, 2020RMB)'!BE64*$B$73</f>
        <v>24257.443678801425</v>
      </c>
      <c r="BF64" s="90">
        <f>'增加值 (2001-2060, 2020RMB)'!BF64*$B$73</f>
        <v>24645.703448224063</v>
      </c>
      <c r="BG64" s="90">
        <f>'增加值 (2001-2060, 2020RMB)'!BG64*$B$73</f>
        <v>24976.124305935416</v>
      </c>
      <c r="BH64" s="90">
        <f>'增加值 (2001-2060, 2020RMB)'!BH64*$B$73</f>
        <v>25245.221571919828</v>
      </c>
      <c r="BI64" s="101">
        <f>'增加值 (2001-2060, 2020RMB)'!BI64*$B$73</f>
        <v>25449.913234830783</v>
      </c>
    </row>
    <row r="65" spans="1:61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'增加值 (2001-2060, 2020RMB)'!K65*$B$73</f>
        <v>356.60438163072968</v>
      </c>
      <c r="L65" s="19">
        <f>'增加值 (2001-2060, 2020RMB)'!L65*$B$73</f>
        <v>405.40230884666897</v>
      </c>
      <c r="M65" s="20">
        <f>'增加值 (2001-2060, 2020RMB)'!M65*$B$73</f>
        <v>479.60969937544712</v>
      </c>
      <c r="N65" s="20">
        <f>'增加值 (2001-2060, 2020RMB)'!N65*$B$73</f>
        <v>569.02679991809589</v>
      </c>
      <c r="O65" s="20">
        <f>'增加值 (2001-2060, 2020RMB)'!O65*$B$73</f>
        <v>605.45684735691282</v>
      </c>
      <c r="P65" s="21">
        <f>'增加值 (2001-2060, 2020RMB)'!P65*$B$73</f>
        <v>634.06775599831394</v>
      </c>
      <c r="Q65" s="19">
        <f>'增加值 (2001-2060, 2020RMB)'!Q65*$B$73</f>
        <v>659.19428618581878</v>
      </c>
      <c r="R65" s="20">
        <f>'增加值 (2001-2060, 2020RMB)'!R65*$B$73</f>
        <v>668.14822465177554</v>
      </c>
      <c r="S65" s="20">
        <f>'增加值 (2001-2060, 2020RMB)'!S65*$B$73</f>
        <v>714.43986631982693</v>
      </c>
      <c r="T65" s="20">
        <f>'增加值 (2001-2060, 2020RMB)'!T65*$B$73</f>
        <v>811.65618979178566</v>
      </c>
      <c r="U65" s="20">
        <f>'增加值 (2001-2060, 2020RMB)'!U65*$B$73</f>
        <v>807.62112573020568</v>
      </c>
      <c r="V65" s="89">
        <f>'增加值 (2001-2060, 2020RMB)'!V65*$B$73</f>
        <v>862.20282765912987</v>
      </c>
      <c r="W65" s="90">
        <f>'增加值 (2001-2060, 2020RMB)'!W65*$B$73</f>
        <v>888.87420095772279</v>
      </c>
      <c r="X65" s="90">
        <f>'增加值 (2001-2060, 2020RMB)'!X65*$B$73</f>
        <v>948.66845879085781</v>
      </c>
      <c r="Y65" s="90">
        <f>'增加值 (2001-2060, 2020RMB)'!Y65*$B$73</f>
        <v>1012.1473757259179</v>
      </c>
      <c r="Z65" s="101">
        <f>'增加值 (2001-2060, 2020RMB)'!Z65*$B$73</f>
        <v>1078.9922671689753</v>
      </c>
      <c r="AA65" s="90">
        <f>'增加值 (2001-2060, 2020RMB)'!AA65*$B$73</f>
        <v>1148.7574818932712</v>
      </c>
      <c r="AB65" s="90">
        <f>'增加值 (2001-2060, 2020RMB)'!AB65*$B$73</f>
        <v>1220.8546754882309</v>
      </c>
      <c r="AC65" s="90">
        <f>'增加值 (2001-2060, 2020RMB)'!AC65*$B$73</f>
        <v>1294.5396017506223</v>
      </c>
      <c r="AD65" s="90">
        <f>'增加值 (2001-2060, 2020RMB)'!AD65*$B$73</f>
        <v>1368.9028186676492</v>
      </c>
      <c r="AE65" s="90">
        <f>'增加值 (2001-2060, 2020RMB)'!AE65*$B$73</f>
        <v>1442.8658584708032</v>
      </c>
      <c r="AF65" s="89">
        <f>'增加值 (2001-2060, 2020RMB)'!AF65*$B$73</f>
        <v>1515.4498348273587</v>
      </c>
      <c r="AG65" s="90">
        <f>'增加值 (2001-2060, 2020RMB)'!AG65*$B$73</f>
        <v>1586.6818343907214</v>
      </c>
      <c r="AH65" s="90">
        <f>'增加值 (2001-2060, 2020RMB)'!AH65*$B$73</f>
        <v>1656.9800203230382</v>
      </c>
      <c r="AI65" s="90">
        <f>'增加值 (2001-2060, 2020RMB)'!AI65*$B$73</f>
        <v>1726.9123331636074</v>
      </c>
      <c r="AJ65" s="101">
        <f>'增加值 (2001-2060, 2020RMB)'!AJ65*$B$73</f>
        <v>1797.1956867607055</v>
      </c>
      <c r="AK65" s="90">
        <f>'增加值 (2001-2060, 2020RMB)'!AK65*$B$73</f>
        <v>1868.4893470495349</v>
      </c>
      <c r="AL65" s="90">
        <f>'增加值 (2001-2060, 2020RMB)'!AL65*$B$73</f>
        <v>1940.7109276088768</v>
      </c>
      <c r="AM65" s="90">
        <f>'增加值 (2001-2060, 2020RMB)'!AM65*$B$73</f>
        <v>2013.5503442346192</v>
      </c>
      <c r="AN65" s="90">
        <f>'增加值 (2001-2060, 2020RMB)'!AN65*$B$73</f>
        <v>2086.6614837806769</v>
      </c>
      <c r="AO65" s="90">
        <f>'增加值 (2001-2060, 2020RMB)'!AO65*$B$73</f>
        <v>2159.6621766950684</v>
      </c>
      <c r="AP65" s="89">
        <f>'增加值 (2001-2060, 2020RMB)'!AP65*$B$73</f>
        <v>2232.1347560177037</v>
      </c>
      <c r="AQ65" s="90">
        <f>'增加值 (2001-2060, 2020RMB)'!AQ65*$B$73</f>
        <v>2303.6272744069161</v>
      </c>
      <c r="AR65" s="90">
        <f>'增加值 (2001-2060, 2020RMB)'!AR65*$B$73</f>
        <v>2373.6554453937333</v>
      </c>
      <c r="AS65" s="90">
        <f>'增加值 (2001-2060, 2020RMB)'!AS65*$B$73</f>
        <v>2441.70536682698</v>
      </c>
      <c r="AT65" s="101">
        <f>'增加值 (2001-2060, 2020RMB)'!AT65*$B$73</f>
        <v>2507.2370731484066</v>
      </c>
      <c r="AU65" s="90">
        <f>'增加值 (2001-2060, 2020RMB)'!AU65*$B$73</f>
        <v>2569.6889485882721</v>
      </c>
      <c r="AV65" s="90">
        <f>'增加值 (2001-2060, 2020RMB)'!AV65*$B$73</f>
        <v>2628.4830155652635</v>
      </c>
      <c r="AW65" s="90">
        <f>'增加值 (2001-2060, 2020RMB)'!AW65*$B$73</f>
        <v>2683.0310916051167</v>
      </c>
      <c r="AX65" s="90">
        <f>'增加值 (2001-2060, 2020RMB)'!AX65*$B$73</f>
        <v>2732.7417841989927</v>
      </c>
      <c r="AY65" s="90">
        <f>'增加值 (2001-2060, 2020RMB)'!AY65*$B$73</f>
        <v>2777.0282666101921</v>
      </c>
      <c r="AZ65" s="89">
        <f>'增加值 (2001-2060, 2020RMB)'!AZ65*$B$73</f>
        <v>2815.3167492799162</v>
      </c>
      <c r="BA65" s="90">
        <f>'增加值 (2001-2060, 2020RMB)'!BA65*$B$73</f>
        <v>2847.0555319347586</v>
      </c>
      <c r="BB65" s="90">
        <f>'增加值 (2001-2060, 2020RMB)'!BB65*$B$73</f>
        <v>2871.7244916825334</v>
      </c>
      <c r="BC65" s="90">
        <f>'增加值 (2001-2060, 2020RMB)'!BC65*$B$73</f>
        <v>2888.8448333829238</v>
      </c>
      <c r="BD65" s="101">
        <f>'增加值 (2001-2060, 2020RMB)'!BD65*$B$73</f>
        <v>2897.9889016047337</v>
      </c>
      <c r="BE65" s="90">
        <f>'增加值 (2001-2060, 2020RMB)'!BE65*$B$73</f>
        <v>2898.7898298389928</v>
      </c>
      <c r="BF65" s="90">
        <f>'增加值 (2001-2060, 2020RMB)'!BF65*$B$73</f>
        <v>2890.9507836733083</v>
      </c>
      <c r="BG65" s="90">
        <f>'增加值 (2001-2060, 2020RMB)'!BG65*$B$73</f>
        <v>2874.2535416794231</v>
      </c>
      <c r="BH65" s="90">
        <f>'增加值 (2001-2060, 2020RMB)'!BH65*$B$73</f>
        <v>2848.5661520687408</v>
      </c>
      <c r="BI65" s="101">
        <f>'增加值 (2001-2060, 2020RMB)'!BI65*$B$73</f>
        <v>2813.8494058151932</v>
      </c>
    </row>
    <row r="66" spans="1:61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'增加值 (2001-2060, 2020RMB)'!K66*$B$73</f>
        <v>1131.6156928756584</v>
      </c>
      <c r="L66" s="19">
        <f>'增加值 (2001-2060, 2020RMB)'!L66*$B$73</f>
        <v>1228.6643735529401</v>
      </c>
      <c r="M66" s="20">
        <f>'增加值 (2001-2060, 2020RMB)'!M66*$B$73</f>
        <v>1304.6360579632044</v>
      </c>
      <c r="N66" s="20">
        <f>'增加值 (2001-2060, 2020RMB)'!N66*$B$73</f>
        <v>1351.9180010495766</v>
      </c>
      <c r="O66" s="20">
        <f>'增加值 (2001-2060, 2020RMB)'!O66*$B$73</f>
        <v>1480.0346466575704</v>
      </c>
      <c r="P66" s="21">
        <f>'增加值 (2001-2060, 2020RMB)'!P66*$B$73</f>
        <v>1625.8986369295526</v>
      </c>
      <c r="Q66" s="19">
        <f>'增加值 (2001-2060, 2020RMB)'!Q66*$B$73</f>
        <v>1844.3240678236632</v>
      </c>
      <c r="R66" s="20">
        <f>'增加值 (2001-2060, 2020RMB)'!R66*$B$73</f>
        <v>1992.4828667786642</v>
      </c>
      <c r="S66" s="20">
        <f>'增加值 (2001-2060, 2020RMB)'!S66*$B$73</f>
        <v>2073.9238387058922</v>
      </c>
      <c r="T66" s="20">
        <f>'增加值 (2001-2060, 2020RMB)'!T66*$B$73</f>
        <v>2351.8130335778433</v>
      </c>
      <c r="U66" s="20">
        <f>'增加值 (2001-2060, 2020RMB)'!U66*$B$73</f>
        <v>2252.5950083217408</v>
      </c>
      <c r="V66" s="89">
        <f>'增加值 (2001-2060, 2020RMB)'!V66*$B$73</f>
        <v>2404.8328156223297</v>
      </c>
      <c r="W66" s="90">
        <f>'增加值 (2001-2060, 2020RMB)'!W66*$B$73</f>
        <v>2479.2238889157334</v>
      </c>
      <c r="X66" s="90">
        <f>'增加值 (2001-2060, 2020RMB)'!X66*$B$73</f>
        <v>2673.7702447444808</v>
      </c>
      <c r="Y66" s="90">
        <f>'增加值 (2001-2060, 2020RMB)'!Y66*$B$73</f>
        <v>2883.0851295025454</v>
      </c>
      <c r="Z66" s="101">
        <f>'增加值 (2001-2060, 2020RMB)'!Z66*$B$73</f>
        <v>3106.5605808229366</v>
      </c>
      <c r="AA66" s="90">
        <f>'增加值 (2001-2060, 2020RMB)'!AA66*$B$73</f>
        <v>3343.1441875723071</v>
      </c>
      <c r="AB66" s="90">
        <f>'增加值 (2001-2060, 2020RMB)'!AB66*$B$73</f>
        <v>3591.263294273816</v>
      </c>
      <c r="AC66" s="90">
        <f>'增加值 (2001-2060, 2020RMB)'!AC66*$B$73</f>
        <v>3848.7542583590593</v>
      </c>
      <c r="AD66" s="90">
        <f>'增加值 (2001-2060, 2020RMB)'!AD66*$B$73</f>
        <v>4112.8024890224015</v>
      </c>
      <c r="AE66" s="90">
        <f>'增加值 (2001-2060, 2020RMB)'!AE66*$B$73</f>
        <v>4379.9000418066607</v>
      </c>
      <c r="AF66" s="89">
        <f>'增加值 (2001-2060, 2020RMB)'!AF66*$B$73</f>
        <v>4646.6793683406258</v>
      </c>
      <c r="AG66" s="90">
        <f>'增加值 (2001-2060, 2020RMB)'!AG66*$B$73</f>
        <v>4912.8675669112436</v>
      </c>
      <c r="AH66" s="90">
        <f>'增加值 (2001-2060, 2020RMB)'!AH66*$B$73</f>
        <v>5179.4361503450409</v>
      </c>
      <c r="AI66" s="90">
        <f>'增加值 (2001-2060, 2020RMB)'!AI66*$B$73</f>
        <v>5447.8634877195991</v>
      </c>
      <c r="AJ66" s="101">
        <f>'增加值 (2001-2060, 2020RMB)'!AJ66*$B$73</f>
        <v>5720.1509163837409</v>
      </c>
      <c r="AK66" s="90">
        <f>'增加值 (2001-2060, 2020RMB)'!AK66*$B$73</f>
        <v>5998.2119782002574</v>
      </c>
      <c r="AL66" s="90">
        <f>'增加值 (2001-2060, 2020RMB)'!AL66*$B$73</f>
        <v>6281.7671203913869</v>
      </c>
      <c r="AM66" s="90">
        <f>'增加值 (2001-2060, 2020RMB)'!AM66*$B$73</f>
        <v>6569.8353352929098</v>
      </c>
      <c r="AN66" s="90">
        <f>'增加值 (2001-2060, 2020RMB)'!AN66*$B$73</f>
        <v>6861.3045752609223</v>
      </c>
      <c r="AO66" s="90">
        <f>'增加值 (2001-2060, 2020RMB)'!AO66*$B$73</f>
        <v>7154.930234338769</v>
      </c>
      <c r="AP66" s="89">
        <f>'增加值 (2001-2060, 2020RMB)'!AP66*$B$73</f>
        <v>7449.3354439370205</v>
      </c>
      <c r="AQ66" s="90">
        <f>'增加值 (2001-2060, 2020RMB)'!AQ66*$B$73</f>
        <v>7743.0134140472255</v>
      </c>
      <c r="AR66" s="90">
        <f>'增加值 (2001-2060, 2020RMB)'!AR66*$B$73</f>
        <v>8034.3320374020404</v>
      </c>
      <c r="AS66" s="90">
        <f>'增加值 (2001-2060, 2020RMB)'!AS66*$B$73</f>
        <v>8321.5409518783817</v>
      </c>
      <c r="AT66" s="101">
        <f>'增加值 (2001-2060, 2020RMB)'!AT66*$B$73</f>
        <v>8602.7812257324003</v>
      </c>
      <c r="AU66" s="90">
        <f>'增加值 (2001-2060, 2020RMB)'!AU66*$B$73</f>
        <v>8876.09779057571</v>
      </c>
      <c r="AV66" s="90">
        <f>'增加值 (2001-2060, 2020RMB)'!AV66*$B$73</f>
        <v>9139.4546982399879</v>
      </c>
      <c r="AW66" s="90">
        <f>'增加值 (2001-2060, 2020RMB)'!AW66*$B$73</f>
        <v>9390.7532200278401</v>
      </c>
      <c r="AX66" s="90">
        <f>'增加值 (2001-2060, 2020RMB)'!AX66*$B$73</f>
        <v>9627.8527408700138</v>
      </c>
      <c r="AY66" s="90">
        <f>'增加值 (2001-2060, 2020RMB)'!AY66*$B$73</f>
        <v>9848.5943275542322</v>
      </c>
      <c r="AZ66" s="89">
        <f>'增加值 (2001-2060, 2020RMB)'!AZ66*$B$73</f>
        <v>10050.826770829472</v>
      </c>
      <c r="BA66" s="90">
        <f>'增加值 (2001-2060, 2020RMB)'!BA66*$B$73</f>
        <v>10232.434817626527</v>
      </c>
      <c r="BB66" s="90">
        <f>'增加值 (2001-2060, 2020RMB)'!BB66*$B$73</f>
        <v>10391.369224091097</v>
      </c>
      <c r="BC66" s="90">
        <f>'增加值 (2001-2060, 2020RMB)'!BC66*$B$73</f>
        <v>10525.678175215409</v>
      </c>
      <c r="BD66" s="101">
        <f>'增加值 (2001-2060, 2020RMB)'!BD66*$B$73</f>
        <v>10633.539535529981</v>
      </c>
      <c r="BE66" s="90">
        <f>'增加值 (2001-2060, 2020RMB)'!BE66*$B$73</f>
        <v>10713.293320787599</v>
      </c>
      <c r="BF66" s="90">
        <f>'增加值 (2001-2060, 2020RMB)'!BF66*$B$73</f>
        <v>10763.473716203538</v>
      </c>
      <c r="BG66" s="90">
        <f>'增加值 (2001-2060, 2020RMB)'!BG66*$B$73</f>
        <v>10782.83991600803</v>
      </c>
      <c r="BH66" s="90">
        <f>'增加值 (2001-2060, 2020RMB)'!BH66*$B$73</f>
        <v>10770.40502509647</v>
      </c>
      <c r="BI66" s="101">
        <f>'增加值 (2001-2060, 2020RMB)'!BI66*$B$73</f>
        <v>10725.462249439517</v>
      </c>
    </row>
    <row r="67" spans="1:61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'增加值 (2001-2060, 2020RMB)'!K67*$B$73</f>
        <v>2167.1894902317831</v>
      </c>
      <c r="L67" s="19">
        <f>'增加值 (2001-2060, 2020RMB)'!L67*$B$73</f>
        <v>2396.5338103813046</v>
      </c>
      <c r="M67" s="20">
        <f>'增加值 (2001-2060, 2020RMB)'!M67*$B$73</f>
        <v>2639.4152057704505</v>
      </c>
      <c r="N67" s="20">
        <f>'增加值 (2001-2060, 2020RMB)'!N67*$B$73</f>
        <v>2942.3083943051492</v>
      </c>
      <c r="O67" s="20">
        <f>'增加值 (2001-2060, 2020RMB)'!O67*$B$73</f>
        <v>3258.7340935541315</v>
      </c>
      <c r="P67" s="21">
        <f>'增加值 (2001-2060, 2020RMB)'!P67*$B$73</f>
        <v>3742.8058536929975</v>
      </c>
      <c r="Q67" s="19">
        <f>'增加值 (2001-2060, 2020RMB)'!Q67*$B$73</f>
        <v>4081.9152178321742</v>
      </c>
      <c r="R67" s="20">
        <f>'增加值 (2001-2060, 2020RMB)'!R67*$B$73</f>
        <v>4385.2798047996121</v>
      </c>
      <c r="S67" s="20">
        <f>'增加值 (2001-2060, 2020RMB)'!S67*$B$73</f>
        <v>4766.7737428007631</v>
      </c>
      <c r="T67" s="20">
        <f>'增加值 (2001-2060, 2020RMB)'!T67*$B$73</f>
        <v>5253.006512067388</v>
      </c>
      <c r="U67" s="20">
        <f>'增加值 (2001-2060, 2020RMB)'!U67*$B$73</f>
        <v>5522.5163157140132</v>
      </c>
      <c r="V67" s="89">
        <f>'增加值 (2001-2060, 2020RMB)'!V67*$B$73</f>
        <v>5895.746200171764</v>
      </c>
      <c r="W67" s="90">
        <f>'增加值 (2001-2060, 2020RMB)'!W67*$B$73</f>
        <v>6078.1251517758401</v>
      </c>
      <c r="X67" s="90">
        <f>'增加值 (2001-2060, 2020RMB)'!X67*$B$73</f>
        <v>6573.0225448294113</v>
      </c>
      <c r="Y67" s="90">
        <f>'增加值 (2001-2060, 2020RMB)'!Y67*$B$73</f>
        <v>7107.2865710453243</v>
      </c>
      <c r="Z67" s="101">
        <f>'增加值 (2001-2060, 2020RMB)'!Z67*$B$73</f>
        <v>7679.6755905032232</v>
      </c>
      <c r="AA67" s="90">
        <f>'增加值 (2001-2060, 2020RMB)'!AA67*$B$73</f>
        <v>8287.8023785244459</v>
      </c>
      <c r="AB67" s="90">
        <f>'增加值 (2001-2060, 2020RMB)'!AB67*$B$73</f>
        <v>8927.9240037843465</v>
      </c>
      <c r="AC67" s="90">
        <f>'增加值 (2001-2060, 2020RMB)'!AC67*$B$73</f>
        <v>9594.7417560085432</v>
      </c>
      <c r="AD67" s="90">
        <f>'增加值 (2001-2060, 2020RMB)'!AD67*$B$73</f>
        <v>10281.226436660718</v>
      </c>
      <c r="AE67" s="90">
        <f>'增加值 (2001-2060, 2020RMB)'!AE67*$B$73</f>
        <v>10978.487425528379</v>
      </c>
      <c r="AF67" s="89">
        <f>'增加值 (2001-2060, 2020RMB)'!AF67*$B$73</f>
        <v>11677.869550581774</v>
      </c>
      <c r="AG67" s="90">
        <f>'增加值 (2001-2060, 2020RMB)'!AG67*$B$73</f>
        <v>12378.489437953933</v>
      </c>
      <c r="AH67" s="90">
        <f>'增加值 (2001-2060, 2020RMB)'!AH67*$B$73</f>
        <v>13082.611641439773</v>
      </c>
      <c r="AI67" s="90">
        <f>'增加值 (2001-2060, 2020RMB)'!AI67*$B$73</f>
        <v>13793.798102484978</v>
      </c>
      <c r="AJ67" s="101">
        <f>'增加值 (2001-2060, 2020RMB)'!AJ67*$B$73</f>
        <v>14516.962170183791</v>
      </c>
      <c r="AK67" s="90">
        <f>'增加值 (2001-2060, 2020RMB)'!AK67*$B$73</f>
        <v>15256.851089662956</v>
      </c>
      <c r="AL67" s="90">
        <f>'增加值 (2001-2060, 2020RMB)'!AL67*$B$73</f>
        <v>16012.754579872968</v>
      </c>
      <c r="AM67" s="90">
        <f>'增加值 (2001-2060, 2020RMB)'!AM67*$B$73</f>
        <v>16782.197590337539</v>
      </c>
      <c r="AN67" s="90">
        <f>'增加值 (2001-2060, 2020RMB)'!AN67*$B$73</f>
        <v>17562.361817384459</v>
      </c>
      <c r="AO67" s="90">
        <f>'增加值 (2001-2060, 2020RMB)'!AO67*$B$73</f>
        <v>18350.080874769232</v>
      </c>
      <c r="AP67" s="89">
        <f>'增加值 (2001-2060, 2020RMB)'!AP67*$B$73</f>
        <v>19141.840028290564</v>
      </c>
      <c r="AQ67" s="90">
        <f>'增加值 (2001-2060, 2020RMB)'!AQ67*$B$73</f>
        <v>19933.781080215551</v>
      </c>
      <c r="AR67" s="90">
        <f>'增加值 (2001-2060, 2020RMB)'!AR67*$B$73</f>
        <v>20721.712954920575</v>
      </c>
      <c r="AS67" s="90">
        <f>'增加值 (2001-2060, 2020RMB)'!AS67*$B$73</f>
        <v>21501.12848320949</v>
      </c>
      <c r="AT67" s="101">
        <f>'增加值 (2001-2060, 2020RMB)'!AT67*$B$73</f>
        <v>22267.227807912663</v>
      </c>
      <c r="AU67" s="90">
        <f>'增加值 (2001-2060, 2020RMB)'!AU67*$B$73</f>
        <v>23014.948736715272</v>
      </c>
      <c r="AV67" s="90">
        <f>'增加值 (2001-2060, 2020RMB)'!AV67*$B$73</f>
        <v>23739.00424945644</v>
      </c>
      <c r="AW67" s="90">
        <f>'增加值 (2001-2060, 2020RMB)'!AW67*$B$73</f>
        <v>24433.927226860513</v>
      </c>
      <c r="AX67" s="90">
        <f>'增加值 (2001-2060, 2020RMB)'!AX67*$B$73</f>
        <v>25094.122307130809</v>
      </c>
      <c r="AY67" s="90">
        <f>'增加值 (2001-2060, 2020RMB)'!AY67*$B$73</f>
        <v>25713.924598305915</v>
      </c>
      <c r="AZ67" s="89">
        <f>'增加值 (2001-2060, 2020RMB)'!AZ67*$B$73</f>
        <v>26287.664780971132</v>
      </c>
      <c r="BA67" s="90">
        <f>'增加值 (2001-2060, 2020RMB)'!BA67*$B$73</f>
        <v>26809.739932073709</v>
      </c>
      <c r="BB67" s="90">
        <f>'增加值 (2001-2060, 2020RMB)'!BB67*$B$73</f>
        <v>27274.689191410453</v>
      </c>
      <c r="BC67" s="90">
        <f>'增加值 (2001-2060, 2020RMB)'!BC67*$B$73</f>
        <v>27677.273183977082</v>
      </c>
      <c r="BD67" s="101">
        <f>'增加值 (2001-2060, 2020RMB)'!BD67*$B$73</f>
        <v>28012.555910688512</v>
      </c>
      <c r="BE67" s="90">
        <f>'增加值 (2001-2060, 2020RMB)'!BE67*$B$73</f>
        <v>28275.987634545003</v>
      </c>
      <c r="BF67" s="90">
        <f>'增加值 (2001-2060, 2020RMB)'!BF67*$B$73</f>
        <v>28463.487127012784</v>
      </c>
      <c r="BG67" s="90">
        <f>'增加值 (2001-2060, 2020RMB)'!BG67*$B$73</f>
        <v>28571.521508241152</v>
      </c>
      <c r="BH67" s="90">
        <f>'增加值 (2001-2060, 2020RMB)'!BH67*$B$73</f>
        <v>28597.181822505558</v>
      </c>
      <c r="BI67" s="101">
        <f>'增加值 (2001-2060, 2020RMB)'!BI67*$B$73</f>
        <v>28538.252444146052</v>
      </c>
    </row>
    <row r="68" spans="1:61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'增加值 (2001-2060, 2020RMB)'!K68*$B$73</f>
        <v>1031.981644723119</v>
      </c>
      <c r="L68" s="19">
        <f>'增加值 (2001-2060, 2020RMB)'!L68*$B$73</f>
        <v>1204.9984683551932</v>
      </c>
      <c r="M68" s="20">
        <f>'增加值 (2001-2060, 2020RMB)'!M68*$B$73</f>
        <v>1428.8553982252886</v>
      </c>
      <c r="N68" s="20">
        <f>'增加值 (2001-2060, 2020RMB)'!N68*$B$73</f>
        <v>1713.1508883840104</v>
      </c>
      <c r="O68" s="20">
        <f>'增加值 (2001-2060, 2020RMB)'!O68*$B$73</f>
        <v>1943.9790724609161</v>
      </c>
      <c r="P68" s="21">
        <f>'增加值 (2001-2060, 2020RMB)'!P68*$B$73</f>
        <v>2267.6607189888832</v>
      </c>
      <c r="Q68" s="19">
        <f>'增加值 (2001-2060, 2020RMB)'!Q68*$B$73</f>
        <v>2538.1386941671763</v>
      </c>
      <c r="R68" s="20">
        <f>'增加值 (2001-2060, 2020RMB)'!R68*$B$73</f>
        <v>2692.6840893018843</v>
      </c>
      <c r="S68" s="20">
        <f>'增加值 (2001-2060, 2020RMB)'!S68*$B$73</f>
        <v>2895.3593499257977</v>
      </c>
      <c r="T68" s="20">
        <f>'增加值 (2001-2060, 2020RMB)'!T68*$B$73</f>
        <v>3095.6015662599511</v>
      </c>
      <c r="U68" s="20">
        <f>'增加值 (2001-2060, 2020RMB)'!U68*$B$73</f>
        <v>3360.4758140619583</v>
      </c>
      <c r="V68" s="89">
        <f>'增加值 (2001-2060, 2020RMB)'!V68*$B$73</f>
        <v>3587.5878637333317</v>
      </c>
      <c r="W68" s="90">
        <f>'增加值 (2001-2060, 2020RMB)'!W68*$B$73</f>
        <v>3698.5662693770705</v>
      </c>
      <c r="X68" s="90">
        <f>'增加值 (2001-2060, 2020RMB)'!X68*$B$73</f>
        <v>3936.2023582217435</v>
      </c>
      <c r="Y68" s="90">
        <f>'增加值 (2001-2060, 2020RMB)'!Y68*$B$73</f>
        <v>4187.5254858082808</v>
      </c>
      <c r="Z68" s="101">
        <f>'增加值 (2001-2060, 2020RMB)'!Z68*$B$73</f>
        <v>4451.1359562600492</v>
      </c>
      <c r="AA68" s="90">
        <f>'增加值 (2001-2060, 2020RMB)'!AA68*$B$73</f>
        <v>4725.1426416224767</v>
      </c>
      <c r="AB68" s="90">
        <f>'增加值 (2001-2060, 2020RMB)'!AB68*$B$73</f>
        <v>5007.1081451569971</v>
      </c>
      <c r="AC68" s="90">
        <f>'增加值 (2001-2060, 2020RMB)'!AC68*$B$73</f>
        <v>5294.0046802021297</v>
      </c>
      <c r="AD68" s="90">
        <f>'增加值 (2001-2060, 2020RMB)'!AD68*$B$73</f>
        <v>5582.1858110733992</v>
      </c>
      <c r="AE68" s="90">
        <f>'增加值 (2001-2060, 2020RMB)'!AE68*$B$73</f>
        <v>5867.3796643169253</v>
      </c>
      <c r="AF68" s="89">
        <f>'增加值 (2001-2060, 2020RMB)'!AF68*$B$73</f>
        <v>6145.7718991767306</v>
      </c>
      <c r="AG68" s="90">
        <f>'增加值 (2001-2060, 2020RMB)'!AG68*$B$73</f>
        <v>6417.6170605315838</v>
      </c>
      <c r="AH68" s="90">
        <f>'增加值 (2001-2060, 2020RMB)'!AH68*$B$73</f>
        <v>6684.7341532562277</v>
      </c>
      <c r="AI68" s="90">
        <f>'增加值 (2001-2060, 2020RMB)'!AI68*$B$73</f>
        <v>6949.5282492452534</v>
      </c>
      <c r="AJ68" s="101">
        <f>'增加值 (2001-2060, 2020RMB)'!AJ68*$B$73</f>
        <v>7214.9813951276628</v>
      </c>
      <c r="AK68" s="90">
        <f>'增加值 (2001-2060, 2020RMB)'!AK68*$B$73</f>
        <v>7483.8079152481569</v>
      </c>
      <c r="AL68" s="90">
        <f>'增加值 (2001-2060, 2020RMB)'!AL68*$B$73</f>
        <v>7755.6859413956599</v>
      </c>
      <c r="AM68" s="90">
        <f>'增加值 (2001-2060, 2020RMB)'!AM68*$B$73</f>
        <v>8029.3716135330933</v>
      </c>
      <c r="AN68" s="90">
        <f>'增加值 (2001-2060, 2020RMB)'!AN68*$B$73</f>
        <v>8303.4822033494802</v>
      </c>
      <c r="AO68" s="90">
        <f>'增加值 (2001-2060, 2020RMB)'!AO68*$B$73</f>
        <v>8576.4964603134958</v>
      </c>
      <c r="AP68" s="89">
        <f>'增加值 (2001-2060, 2020RMB)'!AP68*$B$73</f>
        <v>8846.7573274746119</v>
      </c>
      <c r="AQ68" s="90">
        <f>'增加值 (2001-2060, 2020RMB)'!AQ68*$B$73</f>
        <v>9112.4773108696099</v>
      </c>
      <c r="AR68" s="90">
        <f>'增加值 (2001-2060, 2020RMB)'!AR68*$B$73</f>
        <v>9371.7467635981357</v>
      </c>
      <c r="AS68" s="90">
        <f>'增加值 (2001-2060, 2020RMB)'!AS68*$B$73</f>
        <v>9622.5453109653608</v>
      </c>
      <c r="AT68" s="101">
        <f>'增加值 (2001-2060, 2020RMB)'!AT68*$B$73</f>
        <v>9862.7565956519611</v>
      </c>
      <c r="AU68" s="90">
        <f>'增加值 (2001-2060, 2020RMB)'!AU68*$B$73</f>
        <v>10090.186461102565</v>
      </c>
      <c r="AV68" s="90">
        <f>'增加值 (2001-2060, 2020RMB)'!AV68*$B$73</f>
        <v>10302.584617126995</v>
      </c>
      <c r="AW68" s="90">
        <f>'增加值 (2001-2060, 2020RMB)'!AW68*$B$73</f>
        <v>10497.669744510456</v>
      </c>
      <c r="AX68" s="90">
        <f>'增加值 (2001-2060, 2020RMB)'!AX68*$B$73</f>
        <v>10673.157896297746</v>
      </c>
      <c r="AY68" s="90">
        <f>'增加值 (2001-2060, 2020RMB)'!AY68*$B$73</f>
        <v>10826.793944104069</v>
      </c>
      <c r="AZ68" s="89">
        <f>'增加值 (2001-2060, 2020RMB)'!AZ68*$B$73</f>
        <v>10956.385700809666</v>
      </c>
      <c r="BA68" s="90">
        <f>'增加值 (2001-2060, 2020RMB)'!BA68*$B$73</f>
        <v>11059.840229563395</v>
      </c>
      <c r="BB68" s="90">
        <f>'增加值 (2001-2060, 2020RMB)'!BB68*$B$73</f>
        <v>11135.201727131873</v>
      </c>
      <c r="BC68" s="90">
        <f>'增加值 (2001-2060, 2020RMB)'!BC68*$B$73</f>
        <v>11180.690251922279</v>
      </c>
      <c r="BD68" s="101">
        <f>'增加值 (2001-2060, 2020RMB)'!BD68*$B$73</f>
        <v>11194.740458657212</v>
      </c>
      <c r="BE68" s="90">
        <f>'增加值 (2001-2060, 2020RMB)'!BE68*$B$73</f>
        <v>11176.039408240216</v>
      </c>
      <c r="BF68" s="90">
        <f>'增加值 (2001-2060, 2020RMB)'!BF68*$B$73</f>
        <v>11123.562448521718</v>
      </c>
      <c r="BG68" s="90">
        <f>'增加值 (2001-2060, 2020RMB)'!BG68*$B$73</f>
        <v>11036.606115041881</v>
      </c>
      <c r="BH68" s="90">
        <f>'增加值 (2001-2060, 2020RMB)'!BH68*$B$73</f>
        <v>10914.816985558307</v>
      </c>
      <c r="BI68" s="101">
        <f>'增加值 (2001-2060, 2020RMB)'!BI68*$B$73</f>
        <v>10758.215442679142</v>
      </c>
    </row>
    <row r="69" spans="1:61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'增加值 (2001-2060, 2020RMB)'!K69*$B$73</f>
        <v>495.48926830977069</v>
      </c>
      <c r="L69" s="19">
        <f>'增加值 (2001-2060, 2020RMB)'!L69*$B$73</f>
        <v>539.48207057701609</v>
      </c>
      <c r="M69" s="20">
        <f>'增加值 (2001-2060, 2020RMB)'!M69*$B$73</f>
        <v>595.91667675895314</v>
      </c>
      <c r="N69" s="20">
        <f>'增加值 (2001-2060, 2020RMB)'!N69*$B$73</f>
        <v>642.43158314400387</v>
      </c>
      <c r="O69" s="20">
        <f>'增加值 (2001-2060, 2020RMB)'!O69*$B$73</f>
        <v>688.3885650364432</v>
      </c>
      <c r="P69" s="21">
        <f>'增加值 (2001-2060, 2020RMB)'!P69*$B$73</f>
        <v>777.69517580396791</v>
      </c>
      <c r="Q69" s="19">
        <f>'增加值 (2001-2060, 2020RMB)'!Q69*$B$73</f>
        <v>844.66363800570241</v>
      </c>
      <c r="R69" s="20">
        <f>'增加值 (2001-2060, 2020RMB)'!R69*$B$73</f>
        <v>961.79317073129823</v>
      </c>
      <c r="S69" s="20">
        <f>'增加值 (2001-2060, 2020RMB)'!S69*$B$73</f>
        <v>1023.5944734131891</v>
      </c>
      <c r="T69" s="20">
        <f>'增加值 (2001-2060, 2020RMB)'!T69*$B$73</f>
        <v>1126.8994491473895</v>
      </c>
      <c r="U69" s="20">
        <f>'增加值 (2001-2060, 2020RMB)'!U69*$B$73</f>
        <v>961.63541521511002</v>
      </c>
      <c r="V69" s="89">
        <f>'增加值 (2001-2060, 2020RMB)'!V69*$B$73</f>
        <v>1026.6259112848011</v>
      </c>
      <c r="W69" s="90">
        <f>'增加值 (2001-2060, 2020RMB)'!W69*$B$73</f>
        <v>1058.3835465412587</v>
      </c>
      <c r="X69" s="90">
        <f>'增加值 (2001-2060, 2020RMB)'!X69*$B$73</f>
        <v>1141.9681486959707</v>
      </c>
      <c r="Y69" s="90">
        <f>'增加值 (2001-2060, 2020RMB)'!Y69*$B$73</f>
        <v>1237.0668728342196</v>
      </c>
      <c r="Z69" s="101">
        <f>'增加值 (2001-2060, 2020RMB)'!Z69*$B$73</f>
        <v>1343.7751614258427</v>
      </c>
      <c r="AA69" s="90">
        <f>'增加值 (2001-2060, 2020RMB)'!AA69*$B$73</f>
        <v>1461.9087244022812</v>
      </c>
      <c r="AB69" s="90">
        <f>'增加值 (2001-2060, 2020RMB)'!AB69*$B$73</f>
        <v>1590.889787077735</v>
      </c>
      <c r="AC69" s="90">
        <f>'增加值 (2001-2060, 2020RMB)'!AC69*$B$73</f>
        <v>1729.6255330984845</v>
      </c>
      <c r="AD69" s="90">
        <f>'增加值 (2001-2060, 2020RMB)'!AD69*$B$73</f>
        <v>1876.386114831799</v>
      </c>
      <c r="AE69" s="90">
        <f>'增加值 (2001-2060, 2020RMB)'!AE69*$B$73</f>
        <v>2028.6934767958346</v>
      </c>
      <c r="AF69" s="89">
        <f>'增加值 (2001-2060, 2020RMB)'!AF69*$B$73</f>
        <v>2183.7966663825687</v>
      </c>
      <c r="AG69" s="90">
        <f>'增加值 (2001-2060, 2020RMB)'!AG69*$B$73</f>
        <v>2340.6304287623698</v>
      </c>
      <c r="AH69" s="90">
        <f>'增加值 (2001-2060, 2020RMB)'!AH69*$B$73</f>
        <v>2498.6946587807029</v>
      </c>
      <c r="AI69" s="90">
        <f>'增加值 (2001-2060, 2020RMB)'!AI69*$B$73</f>
        <v>2657.5903360701209</v>
      </c>
      <c r="AJ69" s="101">
        <f>'增加值 (2001-2060, 2020RMB)'!AJ69*$B$73</f>
        <v>2817.0347263564745</v>
      </c>
      <c r="AK69" s="90">
        <f>'增加值 (2001-2060, 2020RMB)'!AK69*$B$73</f>
        <v>2976.752297761605</v>
      </c>
      <c r="AL69" s="90">
        <f>'增加值 (2001-2060, 2020RMB)'!AL69*$B$73</f>
        <v>3136.0671424784923</v>
      </c>
      <c r="AM69" s="90">
        <f>'增加值 (2001-2060, 2020RMB)'!AM69*$B$73</f>
        <v>3294.1865793748884</v>
      </c>
      <c r="AN69" s="90">
        <f>'增加值 (2001-2060, 2020RMB)'!AN69*$B$73</f>
        <v>3450.3190022926015</v>
      </c>
      <c r="AO69" s="90">
        <f>'增加值 (2001-2060, 2020RMB)'!AO69*$B$73</f>
        <v>3603.6827455913644</v>
      </c>
      <c r="AP69" s="89">
        <f>'增加值 (2001-2060, 2020RMB)'!AP69*$B$73</f>
        <v>3753.5147192439172</v>
      </c>
      <c r="AQ69" s="90">
        <f>'增加值 (2001-2060, 2020RMB)'!AQ69*$B$73</f>
        <v>3899.0786658723546</v>
      </c>
      <c r="AR69" s="90">
        <f>'增加值 (2001-2060, 2020RMB)'!AR69*$B$73</f>
        <v>4039.6729045726102</v>
      </c>
      <c r="AS69" s="90">
        <f>'增加值 (2001-2060, 2020RMB)'!AS69*$B$73</f>
        <v>4174.637441636497</v>
      </c>
      <c r="AT69" s="101">
        <f>'增加值 (2001-2060, 2020RMB)'!AT69*$B$73</f>
        <v>4303.3603457844783</v>
      </c>
      <c r="AU69" s="90">
        <f>'增加值 (2001-2060, 2020RMB)'!AU69*$B$73</f>
        <v>4425.2833046661644</v>
      </c>
      <c r="AV69" s="90">
        <f>'增加值 (2001-2060, 2020RMB)'!AV69*$B$73</f>
        <v>4539.9062995535442</v>
      </c>
      <c r="AW69" s="90">
        <f>'增加值 (2001-2060, 2020RMB)'!AW69*$B$73</f>
        <v>4646.7913557364564</v>
      </c>
      <c r="AX69" s="90">
        <f>'增加值 (2001-2060, 2020RMB)'!AX69*$B$73</f>
        <v>4745.5653465531814</v>
      </c>
      <c r="AY69" s="90">
        <f>'增加值 (2001-2060, 2020RMB)'!AY69*$B$73</f>
        <v>4835.9218487181361</v>
      </c>
      <c r="AZ69" s="89">
        <f>'增加值 (2001-2060, 2020RMB)'!AZ69*$B$73</f>
        <v>4917.6220651707763</v>
      </c>
      <c r="BA69" s="90">
        <f>'增加值 (2001-2060, 2020RMB)'!BA69*$B$73</f>
        <v>4990.4948486655467</v>
      </c>
      <c r="BB69" s="90">
        <f>'增加值 (2001-2060, 2020RMB)'!BB69*$B$73</f>
        <v>5054.4358744266628</v>
      </c>
      <c r="BC69" s="90">
        <f>'增加值 (2001-2060, 2020RMB)'!BC69*$B$73</f>
        <v>5109.4060231656367</v>
      </c>
      <c r="BD69" s="101">
        <f>'增加值 (2001-2060, 2020RMB)'!BD69*$B$73</f>
        <v>5155.4290464415972</v>
      </c>
      <c r="BE69" s="90">
        <f>'增加值 (2001-2060, 2020RMB)'!BE69*$B$73</f>
        <v>5192.5885946587669</v>
      </c>
      <c r="BF69" s="90">
        <f>'增加值 (2001-2060, 2020RMB)'!BF69*$B$73</f>
        <v>5221.0246939336366</v>
      </c>
      <c r="BG69" s="90">
        <f>'增加值 (2001-2060, 2020RMB)'!BG69*$B$73</f>
        <v>5240.9297616917356</v>
      </c>
      <c r="BH69" s="90">
        <f>'增加值 (2001-2060, 2020RMB)'!BH69*$B$73</f>
        <v>5252.5442522876801</v>
      </c>
      <c r="BI69" s="101">
        <f>'增加值 (2001-2060, 2020RMB)'!BI69*$B$73</f>
        <v>5256.1520233542624</v>
      </c>
    </row>
    <row r="70" spans="1:61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'增加值 (2001-2060, 2020RMB)'!K70*$B$73</f>
        <v>2856.6725234196342</v>
      </c>
      <c r="L70" s="25">
        <f>'增加值 (2001-2060, 2020RMB)'!L70*$B$73</f>
        <v>2932.5284446200644</v>
      </c>
      <c r="M70" s="26">
        <f>'增加值 (2001-2060, 2020RMB)'!M70*$B$73</f>
        <v>3187.413724976172</v>
      </c>
      <c r="N70" s="26">
        <f>'增加值 (2001-2060, 2020RMB)'!N70*$B$73</f>
        <v>3367.9567735186633</v>
      </c>
      <c r="O70" s="26">
        <f>'增加值 (2001-2060, 2020RMB)'!O70*$B$73</f>
        <v>3733.4943639751859</v>
      </c>
      <c r="P70" s="27">
        <f>'增加值 (2001-2060, 2020RMB)'!P70*$B$73</f>
        <v>4368.9949883952995</v>
      </c>
      <c r="Q70" s="25">
        <f>'增加值 (2001-2060, 2020RMB)'!Q70*$B$73</f>
        <v>5123.840619106315</v>
      </c>
      <c r="R70" s="26">
        <f>'增加值 (2001-2060, 2020RMB)'!R70*$B$73</f>
        <v>5639.5856146204096</v>
      </c>
      <c r="S70" s="26">
        <f>'增加值 (2001-2060, 2020RMB)'!S70*$B$73</f>
        <v>6157.7311458472932</v>
      </c>
      <c r="T70" s="26">
        <f>'增加值 (2001-2060, 2020RMB)'!T70*$B$73</f>
        <v>6617.8928118752383</v>
      </c>
      <c r="U70" s="26">
        <f>'增加值 (2001-2060, 2020RMB)'!U70*$B$73</f>
        <v>6785.6511288582524</v>
      </c>
      <c r="V70" s="91">
        <f>'增加值 (2001-2060, 2020RMB)'!V70*$B$73</f>
        <v>7244.2478340572889</v>
      </c>
      <c r="W70" s="92">
        <f>'增加值 (2001-2060, 2020RMB)'!W70*$B$73</f>
        <v>7468.3413211712659</v>
      </c>
      <c r="X70" s="92">
        <f>'增加值 (2001-2060, 2020RMB)'!X70*$B$73</f>
        <v>8085.2092251605363</v>
      </c>
      <c r="Y70" s="92">
        <f>'增加值 (2001-2060, 2020RMB)'!Y70*$B$73</f>
        <v>8752.0299809505104</v>
      </c>
      <c r="Z70" s="102">
        <f>'增加值 (2001-2060, 2020RMB)'!Z70*$B$73</f>
        <v>9467.4098460616588</v>
      </c>
      <c r="AA70" s="92">
        <f>'增加值 (2001-2060, 2020RMB)'!AA70*$B$73</f>
        <v>10228.520642974428</v>
      </c>
      <c r="AB70" s="92">
        <f>'增加值 (2001-2060, 2020RMB)'!AB70*$B$73</f>
        <v>11030.829162856968</v>
      </c>
      <c r="AC70" s="92">
        <f>'增加值 (2001-2060, 2020RMB)'!AC70*$B$73</f>
        <v>11867.83759836229</v>
      </c>
      <c r="AD70" s="92">
        <f>'增加值 (2001-2060, 2020RMB)'!AD70*$B$73</f>
        <v>12730.854448958749</v>
      </c>
      <c r="AE70" s="92">
        <f>'增加值 (2001-2060, 2020RMB)'!AE70*$B$73</f>
        <v>13608.819434766192</v>
      </c>
      <c r="AF70" s="91">
        <f>'增加值 (2001-2060, 2020RMB)'!AF70*$B$73</f>
        <v>14490.905459036008</v>
      </c>
      <c r="AG70" s="92">
        <f>'增加值 (2001-2060, 2020RMB)'!AG70*$B$73</f>
        <v>15375.924958531132</v>
      </c>
      <c r="AH70" s="92">
        <f>'增加值 (2001-2060, 2020RMB)'!AH70*$B$73</f>
        <v>16266.605420666834</v>
      </c>
      <c r="AI70" s="92">
        <f>'增加值 (2001-2060, 2020RMB)'!AI70*$B$73</f>
        <v>17167.294768868189</v>
      </c>
      <c r="AJ70" s="102">
        <f>'增加值 (2001-2060, 2020RMB)'!AJ70*$B$73</f>
        <v>18084.035221613824</v>
      </c>
      <c r="AK70" s="92">
        <f>'增加值 (2001-2060, 2020RMB)'!AK70*$B$73</f>
        <v>19022.689163152918</v>
      </c>
      <c r="AL70" s="92">
        <f>'增加值 (2001-2060, 2020RMB)'!AL70*$B$73</f>
        <v>19982.373565423732</v>
      </c>
      <c r="AM70" s="92">
        <f>'增加值 (2001-2060, 2020RMB)'!AM70*$B$73</f>
        <v>20960.014610793995</v>
      </c>
      <c r="AN70" s="92">
        <f>'增加值 (2001-2060, 2020RMB)'!AN70*$B$73</f>
        <v>21952.10560881624</v>
      </c>
      <c r="AO70" s="92">
        <f>'增加值 (2001-2060, 2020RMB)'!AO70*$B$73</f>
        <v>22954.700497819184</v>
      </c>
      <c r="AP70" s="91">
        <f>'增加值 (2001-2060, 2020RMB)'!AP70*$B$73</f>
        <v>23963.413011864599</v>
      </c>
      <c r="AQ70" s="92">
        <f>'增加值 (2001-2060, 2020RMB)'!AQ70*$B$73</f>
        <v>24973.422241346165</v>
      </c>
      <c r="AR70" s="92">
        <f>'增加值 (2001-2060, 2020RMB)'!AR70*$B$73</f>
        <v>25979.485273224676</v>
      </c>
      <c r="AS70" s="92">
        <f>'增加值 (2001-2060, 2020RMB)'!AS70*$B$73</f>
        <v>26975.957530678468</v>
      </c>
      <c r="AT70" s="102">
        <f>'增加值 (2001-2060, 2020RMB)'!AT70*$B$73</f>
        <v>27956.821340128547</v>
      </c>
      <c r="AU70" s="92">
        <f>'增加值 (2001-2060, 2020RMB)'!AU70*$B$73</f>
        <v>28915.723135122971</v>
      </c>
      <c r="AV70" s="92">
        <f>'增加值 (2001-2060, 2020RMB)'!AV70*$B$73</f>
        <v>29846.019561126821</v>
      </c>
      <c r="AW70" s="92">
        <f>'增加值 (2001-2060, 2020RMB)'!AW70*$B$73</f>
        <v>30740.832573469088</v>
      </c>
      <c r="AX70" s="92">
        <f>'增加值 (2001-2060, 2020RMB)'!AX70*$B$73</f>
        <v>31593.113424143034</v>
      </c>
      <c r="AY70" s="92">
        <f>'增加值 (2001-2060, 2020RMB)'!AY70*$B$73</f>
        <v>32395.715214573935</v>
      </c>
      <c r="AZ70" s="91">
        <f>'增加值 (2001-2060, 2020RMB)'!AZ70*$B$73</f>
        <v>33141.47345476543</v>
      </c>
      <c r="BA70" s="92">
        <f>'增加值 (2001-2060, 2020RMB)'!BA70*$B$73</f>
        <v>33823.293819511644</v>
      </c>
      <c r="BB70" s="92">
        <f>'增加值 (2001-2060, 2020RMB)'!BB70*$B$73</f>
        <v>34434.246035918681</v>
      </c>
      <c r="BC70" s="92">
        <f>'增加值 (2001-2060, 2020RMB)'!BC70*$B$73</f>
        <v>34967.662580687771</v>
      </c>
      <c r="BD70" s="102">
        <f>'增加值 (2001-2060, 2020RMB)'!BD70*$B$73</f>
        <v>35417.240618813063</v>
      </c>
      <c r="BE70" s="92">
        <f>'增加值 (2001-2060, 2020RMB)'!BE70*$B$73</f>
        <v>35777.145386613614</v>
      </c>
      <c r="BF70" s="92">
        <f>'增加值 (2001-2060, 2020RMB)'!BF70*$B$73</f>
        <v>36042.113020876037</v>
      </c>
      <c r="BG70" s="92">
        <f>'增加值 (2001-2060, 2020RMB)'!BG70*$B$73</f>
        <v>36207.550672016885</v>
      </c>
      <c r="BH70" s="92">
        <f>'增加值 (2001-2060, 2020RMB)'!BH70*$B$73</f>
        <v>36269.631621962566</v>
      </c>
      <c r="BI70" s="102">
        <f>'增加值 (2001-2060, 2020RMB)'!BI70*$B$73</f>
        <v>36225.383065626207</v>
      </c>
    </row>
    <row r="73" spans="1:61" x14ac:dyDescent="0.2">
      <c r="A73" s="119" t="s">
        <v>286</v>
      </c>
      <c r="B73" s="120">
        <v>0.13774643545738699</v>
      </c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</row>
    <row r="74" spans="1:61" x14ac:dyDescent="0.2">
      <c r="A74" s="174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</row>
    <row r="75" spans="1:61" x14ac:dyDescent="0.2">
      <c r="A75" s="174"/>
    </row>
    <row r="78" spans="1:61" x14ac:dyDescent="0.2">
      <c r="A78" s="112" t="s">
        <v>168</v>
      </c>
      <c r="B78" s="116">
        <f>B13</f>
        <v>11360.305148771144</v>
      </c>
      <c r="C78" s="117">
        <f t="shared" ref="C78:BI78" si="0">C13</f>
        <v>12298.062693286282</v>
      </c>
      <c r="D78" s="117">
        <f t="shared" si="0"/>
        <v>13884.790875628891</v>
      </c>
      <c r="E78" s="117">
        <f t="shared" si="0"/>
        <v>15422.095104095906</v>
      </c>
      <c r="F78" s="117">
        <f t="shared" si="0"/>
        <v>17592.823233998242</v>
      </c>
      <c r="G78" s="117">
        <f t="shared" si="0"/>
        <v>20024.670878731729</v>
      </c>
      <c r="H78" s="117">
        <f t="shared" si="0"/>
        <v>22498.315163918967</v>
      </c>
      <c r="I78" s="117">
        <f t="shared" si="0"/>
        <v>24625.937654813672</v>
      </c>
      <c r="J78" s="117">
        <f t="shared" si="0"/>
        <v>25871.065445139207</v>
      </c>
      <c r="K78" s="117">
        <f t="shared" si="0"/>
        <v>28934.018460247236</v>
      </c>
      <c r="L78" s="117">
        <f t="shared" si="0"/>
        <v>31652.799458352747</v>
      </c>
      <c r="M78" s="117">
        <f t="shared" si="0"/>
        <v>33124.32229745431</v>
      </c>
      <c r="N78" s="117">
        <f t="shared" si="0"/>
        <v>34518.444056519606</v>
      </c>
      <c r="O78" s="117">
        <f t="shared" si="0"/>
        <v>35827.085847351853</v>
      </c>
      <c r="P78" s="117">
        <f t="shared" si="0"/>
        <v>36086.373868234325</v>
      </c>
      <c r="Q78" s="117">
        <f t="shared" si="0"/>
        <v>37149.335570071082</v>
      </c>
      <c r="R78" s="117">
        <f t="shared" si="0"/>
        <v>39938.398266727323</v>
      </c>
      <c r="S78" s="117">
        <f t="shared" si="0"/>
        <v>42210.749247921012</v>
      </c>
      <c r="T78" s="117">
        <f t="shared" si="0"/>
        <v>43185.307729585511</v>
      </c>
      <c r="U78" s="117">
        <f t="shared" si="0"/>
        <v>43101.259119279217</v>
      </c>
      <c r="V78" s="117">
        <f t="shared" si="0"/>
        <v>49064.409191140723</v>
      </c>
      <c r="W78" s="117">
        <f t="shared" si="0"/>
        <v>51734.614096336591</v>
      </c>
      <c r="X78" s="117">
        <f t="shared" si="0"/>
        <v>53402.036935695171</v>
      </c>
      <c r="Y78" s="117">
        <f t="shared" si="0"/>
        <v>55204.046334264836</v>
      </c>
      <c r="Z78" s="117">
        <f t="shared" si="0"/>
        <v>57130.168962910735</v>
      </c>
      <c r="AA78" s="117">
        <f t="shared" si="0"/>
        <v>59169.676231677942</v>
      </c>
      <c r="AB78" s="117">
        <f t="shared" si="0"/>
        <v>61310.88663789814</v>
      </c>
      <c r="AC78" s="117">
        <f t="shared" si="0"/>
        <v>63540.567147164518</v>
      </c>
      <c r="AD78" s="117">
        <f t="shared" si="0"/>
        <v>65843.477035301577</v>
      </c>
      <c r="AE78" s="117">
        <f t="shared" si="0"/>
        <v>68202.118967151138</v>
      </c>
      <c r="AF78" s="117">
        <f t="shared" si="0"/>
        <v>70596.032679186392</v>
      </c>
      <c r="AG78" s="117">
        <f t="shared" si="0"/>
        <v>72999.011854650817</v>
      </c>
      <c r="AH78" s="117">
        <f t="shared" si="0"/>
        <v>75379.907346201289</v>
      </c>
      <c r="AI78" s="117">
        <f t="shared" si="0"/>
        <v>77702.982104897106</v>
      </c>
      <c r="AJ78" s="117">
        <f t="shared" si="0"/>
        <v>79927.883601729074</v>
      </c>
      <c r="AK78" s="117">
        <f t="shared" si="0"/>
        <v>82016.654137542428</v>
      </c>
      <c r="AL78" s="117">
        <f t="shared" si="0"/>
        <v>83956.504713510891</v>
      </c>
      <c r="AM78" s="117">
        <f t="shared" si="0"/>
        <v>85743.070782070179</v>
      </c>
      <c r="AN78" s="117">
        <f t="shared" si="0"/>
        <v>87374.121804855473</v>
      </c>
      <c r="AO78" s="117">
        <f t="shared" si="0"/>
        <v>88849.528813276367</v>
      </c>
      <c r="AP78" s="117">
        <f t="shared" si="0"/>
        <v>90171.194847867591</v>
      </c>
      <c r="AQ78" s="117">
        <f t="shared" si="0"/>
        <v>91342.953933631914</v>
      </c>
      <c r="AR78" s="117">
        <f t="shared" si="0"/>
        <v>92370.444806549378</v>
      </c>
      <c r="AS78" s="117">
        <f t="shared" si="0"/>
        <v>93260.965872835644</v>
      </c>
      <c r="AT78" s="117">
        <f t="shared" si="0"/>
        <v>94023.317889715181</v>
      </c>
      <c r="AU78" s="117">
        <f t="shared" si="0"/>
        <v>94667.640646022614</v>
      </c>
      <c r="AV78" s="117">
        <f t="shared" si="0"/>
        <v>95205.249539855766</v>
      </c>
      <c r="AW78" s="117">
        <f t="shared" si="0"/>
        <v>95648.477447716388</v>
      </c>
      <c r="AX78" s="117">
        <f t="shared" si="0"/>
        <v>96010.526703212745</v>
      </c>
      <c r="AY78" s="117">
        <f t="shared" si="0"/>
        <v>96305.335398599913</v>
      </c>
      <c r="AZ78" s="117">
        <f t="shared" si="0"/>
        <v>96547.46163006578</v>
      </c>
      <c r="BA78" s="117">
        <f t="shared" si="0"/>
        <v>96751.988763587273</v>
      </c>
      <c r="BB78" s="117">
        <f t="shared" si="0"/>
        <v>96934.454333211295</v>
      </c>
      <c r="BC78" s="117">
        <f t="shared" si="0"/>
        <v>97110.804824060746</v>
      </c>
      <c r="BD78" s="117">
        <f t="shared" si="0"/>
        <v>97297.378360987641</v>
      </c>
      <c r="BE78" s="117">
        <f t="shared" si="0"/>
        <v>97510.917241146672</v>
      </c>
      <c r="BF78" s="117">
        <f t="shared" si="0"/>
        <v>97768.612335043217</v>
      </c>
      <c r="BG78" s="117">
        <f t="shared" si="0"/>
        <v>98088.181657668363</v>
      </c>
      <c r="BH78" s="117">
        <f t="shared" si="0"/>
        <v>98487.985905403664</v>
      </c>
      <c r="BI78" s="118">
        <f t="shared" si="0"/>
        <v>98987.184499071693</v>
      </c>
    </row>
    <row r="79" spans="1:61" x14ac:dyDescent="0.2">
      <c r="A79" s="113" t="s">
        <v>10</v>
      </c>
      <c r="B79" s="10"/>
      <c r="C79" s="44"/>
      <c r="D79" s="44"/>
      <c r="E79" s="44"/>
      <c r="F79" s="44"/>
      <c r="G79" s="44"/>
      <c r="H79" s="44"/>
      <c r="I79" s="23">
        <f>I14</f>
        <v>1608.2848584278597</v>
      </c>
      <c r="J79" s="23">
        <f t="shared" ref="J79:BI79" si="1">J14</f>
        <v>1651.0989121675054</v>
      </c>
      <c r="K79" s="23">
        <f t="shared" si="1"/>
        <v>1879.1923219537205</v>
      </c>
      <c r="L79" s="23">
        <f t="shared" si="1"/>
        <v>2105.4222125807664</v>
      </c>
      <c r="M79" s="23">
        <f t="shared" si="1"/>
        <v>2200.7748797618237</v>
      </c>
      <c r="N79" s="23">
        <f t="shared" si="1"/>
        <v>2209.8174876911885</v>
      </c>
      <c r="O79" s="23">
        <f t="shared" si="1"/>
        <v>2171.579848017881</v>
      </c>
      <c r="P79" s="23">
        <f t="shared" si="1"/>
        <v>2099.3377117375903</v>
      </c>
      <c r="Q79" s="23">
        <f t="shared" si="1"/>
        <v>2017.9816653801363</v>
      </c>
      <c r="R79" s="23">
        <f t="shared" si="1"/>
        <v>1999.7266103568845</v>
      </c>
      <c r="S79" s="23">
        <f t="shared" si="1"/>
        <v>2034.9296418416018</v>
      </c>
      <c r="T79" s="23">
        <f t="shared" si="1"/>
        <v>2069.922408755594</v>
      </c>
      <c r="U79" s="23">
        <f t="shared" si="1"/>
        <v>2036.4097192215513</v>
      </c>
      <c r="V79" s="23">
        <f t="shared" si="1"/>
        <v>2262.3473207375118</v>
      </c>
      <c r="W79" s="23">
        <f t="shared" si="1"/>
        <v>2479.7197729678542</v>
      </c>
      <c r="X79" s="23">
        <f t="shared" si="1"/>
        <v>2492.4049558766719</v>
      </c>
      <c r="Y79" s="23">
        <f t="shared" si="1"/>
        <v>2519.173550837545</v>
      </c>
      <c r="Z79" s="23">
        <f t="shared" si="1"/>
        <v>2557.0371473623009</v>
      </c>
      <c r="AA79" s="23">
        <f t="shared" si="1"/>
        <v>2602.9836549160723</v>
      </c>
      <c r="AB79" s="23">
        <f t="shared" si="1"/>
        <v>2653.8555839903502</v>
      </c>
      <c r="AC79" s="23">
        <f t="shared" si="1"/>
        <v>2706.266483832404</v>
      </c>
      <c r="AD79" s="23">
        <f t="shared" si="1"/>
        <v>2756.5587114757245</v>
      </c>
      <c r="AE79" s="23">
        <f t="shared" si="1"/>
        <v>2800.8079886751261</v>
      </c>
      <c r="AF79" s="23">
        <f t="shared" si="1"/>
        <v>2835.6609362258469</v>
      </c>
      <c r="AG79" s="23">
        <f t="shared" si="1"/>
        <v>2860.8399021869832</v>
      </c>
      <c r="AH79" s="23">
        <f t="shared" si="1"/>
        <v>2876.9611713121399</v>
      </c>
      <c r="AI79" s="23">
        <f t="shared" si="1"/>
        <v>2884.7523769237118</v>
      </c>
      <c r="AJ79" s="23">
        <f t="shared" si="1"/>
        <v>2885.0282777710927</v>
      </c>
      <c r="AK79" s="23">
        <f t="shared" si="1"/>
        <v>2878.5720179456594</v>
      </c>
      <c r="AL79" s="23">
        <f t="shared" si="1"/>
        <v>2865.830411044943</v>
      </c>
      <c r="AM79" s="23">
        <f t="shared" si="1"/>
        <v>2847.1916586672032</v>
      </c>
      <c r="AN79" s="23">
        <f t="shared" si="1"/>
        <v>2823.0736754670152</v>
      </c>
      <c r="AO79" s="23">
        <f t="shared" si="1"/>
        <v>2793.9168811215523</v>
      </c>
      <c r="AP79" s="23">
        <f t="shared" si="1"/>
        <v>2760.1772791557605</v>
      </c>
      <c r="AQ79" s="23">
        <f t="shared" si="1"/>
        <v>2722.3199302684402</v>
      </c>
      <c r="AR79" s="23">
        <f t="shared" si="1"/>
        <v>2680.8129066986317</v>
      </c>
      <c r="AS79" s="23">
        <f t="shared" si="1"/>
        <v>2636.1217933237372</v>
      </c>
      <c r="AT79" s="23">
        <f t="shared" si="1"/>
        <v>2588.7047812037749</v>
      </c>
      <c r="AU79" s="23">
        <f t="shared" si="1"/>
        <v>2539.0083806779548</v>
      </c>
      <c r="AV79" s="23">
        <f t="shared" si="1"/>
        <v>2487.4637642595062</v>
      </c>
      <c r="AW79" s="23">
        <f t="shared" si="1"/>
        <v>2434.4837347230005</v>
      </c>
      <c r="AX79" s="23">
        <f t="shared" si="1"/>
        <v>2380.4603010912333</v>
      </c>
      <c r="AY79" s="23">
        <f t="shared" si="1"/>
        <v>2325.762834764304</v>
      </c>
      <c r="AZ79" s="23">
        <f t="shared" si="1"/>
        <v>2270.7367697693903</v>
      </c>
      <c r="BA79" s="23">
        <f t="shared" si="1"/>
        <v>2215.7028049544692</v>
      </c>
      <c r="BB79" s="23">
        <f t="shared" si="1"/>
        <v>2160.9565617610074</v>
      </c>
      <c r="BC79" s="23">
        <f t="shared" si="1"/>
        <v>2106.7686488071504</v>
      </c>
      <c r="BD79" s="23">
        <f t="shared" si="1"/>
        <v>2053.3850836882157</v>
      </c>
      <c r="BE79" s="23">
        <f t="shared" si="1"/>
        <v>2001.0280229366265</v>
      </c>
      <c r="BF79" s="23">
        <f t="shared" si="1"/>
        <v>1949.8967527558409</v>
      </c>
      <c r="BG79" s="23">
        <f t="shared" si="1"/>
        <v>1900.1688957369006</v>
      </c>
      <c r="BH79" s="23">
        <f t="shared" si="1"/>
        <v>1852.0017920772125</v>
      </c>
      <c r="BI79" s="24">
        <f t="shared" si="1"/>
        <v>1805.5340176633558</v>
      </c>
    </row>
    <row r="80" spans="1:61" x14ac:dyDescent="0.2">
      <c r="A80" s="114" t="s">
        <v>11</v>
      </c>
      <c r="B80" s="14"/>
      <c r="I80" s="20">
        <f t="shared" ref="I80" si="2">I15</f>
        <v>1691.9642035906934</v>
      </c>
      <c r="J80" s="20">
        <f t="shared" ref="J80:BI80" si="3">J15</f>
        <v>1680.8699560030407</v>
      </c>
      <c r="K80" s="20">
        <f t="shared" si="3"/>
        <v>1629.0528811988204</v>
      </c>
      <c r="L80" s="20">
        <f t="shared" si="3"/>
        <v>1645.1568841099402</v>
      </c>
      <c r="M80" s="20">
        <f t="shared" si="3"/>
        <v>1616.2967364381511</v>
      </c>
      <c r="N80" s="20">
        <f t="shared" si="3"/>
        <v>1570.7335794601238</v>
      </c>
      <c r="O80" s="20">
        <f t="shared" si="3"/>
        <v>1558.6134131412034</v>
      </c>
      <c r="P80" s="20">
        <f t="shared" si="3"/>
        <v>1540.772253083157</v>
      </c>
      <c r="Q80" s="20">
        <f t="shared" si="3"/>
        <v>1502.1130367157548</v>
      </c>
      <c r="R80" s="20">
        <f t="shared" si="3"/>
        <v>1479.4019047376719</v>
      </c>
      <c r="S80" s="20">
        <f t="shared" si="3"/>
        <v>1502.499103959708</v>
      </c>
      <c r="T80" s="20">
        <f t="shared" si="3"/>
        <v>1502.2602870929002</v>
      </c>
      <c r="U80" s="20">
        <f t="shared" si="3"/>
        <v>1460.4994252894223</v>
      </c>
      <c r="V80" s="20">
        <f t="shared" si="3"/>
        <v>1579.9619826365199</v>
      </c>
      <c r="W80" s="20">
        <f t="shared" si="3"/>
        <v>1694.8545592328228</v>
      </c>
      <c r="X80" s="20">
        <f t="shared" si="3"/>
        <v>1684.9662713424757</v>
      </c>
      <c r="Y80" s="20">
        <f t="shared" si="3"/>
        <v>1683.3712458664331</v>
      </c>
      <c r="Z80" s="20">
        <f t="shared" si="3"/>
        <v>1688.2026882929301</v>
      </c>
      <c r="AA80" s="20">
        <f t="shared" si="3"/>
        <v>1697.662415139665</v>
      </c>
      <c r="AB80" s="20">
        <f t="shared" si="3"/>
        <v>1709.961045467908</v>
      </c>
      <c r="AC80" s="20">
        <f t="shared" si="3"/>
        <v>1723.2778657988538</v>
      </c>
      <c r="AD80" s="20">
        <f t="shared" si="3"/>
        <v>1735.740056919215</v>
      </c>
      <c r="AE80" s="20">
        <f t="shared" si="3"/>
        <v>1745.4218921941413</v>
      </c>
      <c r="AF80" s="20">
        <f t="shared" si="3"/>
        <v>1750.7608890881304</v>
      </c>
      <c r="AG80" s="20">
        <f t="shared" si="3"/>
        <v>1751.7869438206892</v>
      </c>
      <c r="AH80" s="20">
        <f t="shared" si="3"/>
        <v>1748.9579496128263</v>
      </c>
      <c r="AI80" s="20">
        <f t="shared" si="3"/>
        <v>1742.7563986383484</v>
      </c>
      <c r="AJ80" s="20">
        <f t="shared" si="3"/>
        <v>1733.6796103272895</v>
      </c>
      <c r="AK80" s="20">
        <f t="shared" si="3"/>
        <v>1722.168603542216</v>
      </c>
      <c r="AL80" s="20">
        <f t="shared" si="3"/>
        <v>1708.4171436528507</v>
      </c>
      <c r="AM80" s="20">
        <f t="shared" si="3"/>
        <v>1692.5620140498565</v>
      </c>
      <c r="AN80" s="20">
        <f t="shared" si="3"/>
        <v>1674.7448946571133</v>
      </c>
      <c r="AO80" s="20">
        <f t="shared" si="3"/>
        <v>1655.1110079064017</v>
      </c>
      <c r="AP80" s="20">
        <f t="shared" si="3"/>
        <v>1633.8078246986572</v>
      </c>
      <c r="AQ80" s="20">
        <f t="shared" si="3"/>
        <v>1610.9838413375167</v>
      </c>
      <c r="AR80" s="20">
        <f t="shared" si="3"/>
        <v>1586.7874364360327</v>
      </c>
      <c r="AS80" s="20">
        <f t="shared" si="3"/>
        <v>1561.365814851584</v>
      </c>
      <c r="AT80" s="20">
        <f t="shared" si="3"/>
        <v>1534.8640438313134</v>
      </c>
      <c r="AU80" s="20">
        <f t="shared" si="3"/>
        <v>1507.4241847784313</v>
      </c>
      <c r="AV80" s="20">
        <f t="shared" si="3"/>
        <v>1479.1845224019189</v>
      </c>
      <c r="AW80" s="20">
        <f t="shared" si="3"/>
        <v>1450.2788915055971</v>
      </c>
      <c r="AX80" s="20">
        <f t="shared" si="3"/>
        <v>1420.8361003197479</v>
      </c>
      <c r="AY80" s="20">
        <f t="shared" si="3"/>
        <v>1390.9794480875628</v>
      </c>
      <c r="AZ80" s="20">
        <f t="shared" si="3"/>
        <v>1360.8263335924589</v>
      </c>
      <c r="BA80" s="20">
        <f t="shared" si="3"/>
        <v>1330.4879504510118</v>
      </c>
      <c r="BB80" s="20">
        <f t="shared" si="3"/>
        <v>1300.0690642957586</v>
      </c>
      <c r="BC80" s="20">
        <f t="shared" si="3"/>
        <v>1269.6678664259621</v>
      </c>
      <c r="BD80" s="20">
        <f t="shared" si="3"/>
        <v>1239.3758981040212</v>
      </c>
      <c r="BE80" s="20">
        <f t="shared" si="3"/>
        <v>1209.2780394097397</v>
      </c>
      <c r="BF80" s="20">
        <f t="shared" si="3"/>
        <v>1179.4525564223768</v>
      </c>
      <c r="BG80" s="20">
        <f t="shared" si="3"/>
        <v>1149.9712004686305</v>
      </c>
      <c r="BH80" s="20">
        <f t="shared" si="3"/>
        <v>1120.8993532401714</v>
      </c>
      <c r="BI80" s="21">
        <f t="shared" si="3"/>
        <v>1092.296211733885</v>
      </c>
    </row>
    <row r="81" spans="1:61" x14ac:dyDescent="0.2">
      <c r="A81" s="114" t="s">
        <v>12</v>
      </c>
      <c r="B81" s="14"/>
      <c r="I81" s="20">
        <f>I16+I17</f>
        <v>461.97504430714594</v>
      </c>
      <c r="J81" s="20">
        <f t="shared" ref="J81:BI81" si="4">J16+J17</f>
        <v>539.30689229828624</v>
      </c>
      <c r="K81" s="20">
        <f t="shared" si="4"/>
        <v>612.89930133806774</v>
      </c>
      <c r="L81" s="20">
        <f t="shared" si="4"/>
        <v>697.13326073626968</v>
      </c>
      <c r="M81" s="20">
        <f t="shared" si="4"/>
        <v>787.98266440397038</v>
      </c>
      <c r="N81" s="20">
        <f t="shared" si="4"/>
        <v>846.74247191151085</v>
      </c>
      <c r="O81" s="20">
        <f t="shared" si="4"/>
        <v>889.23816899073245</v>
      </c>
      <c r="P81" s="20">
        <f t="shared" si="4"/>
        <v>869.65121887680755</v>
      </c>
      <c r="Q81" s="20">
        <f t="shared" si="4"/>
        <v>840.84215326483059</v>
      </c>
      <c r="R81" s="20">
        <f t="shared" si="4"/>
        <v>824.9623680408763</v>
      </c>
      <c r="S81" s="20">
        <f t="shared" si="4"/>
        <v>800.03282171269313</v>
      </c>
      <c r="T81" s="20">
        <f t="shared" si="4"/>
        <v>814.98449384399464</v>
      </c>
      <c r="U81" s="20">
        <f t="shared" si="4"/>
        <v>779.56559972921377</v>
      </c>
      <c r="V81" s="20">
        <f t="shared" si="4"/>
        <v>824.91563116752479</v>
      </c>
      <c r="W81" s="20">
        <f t="shared" si="4"/>
        <v>924.98677110439587</v>
      </c>
      <c r="X81" s="20">
        <f t="shared" si="4"/>
        <v>913.2219594509121</v>
      </c>
      <c r="Y81" s="20">
        <f t="shared" si="4"/>
        <v>905.32611149541731</v>
      </c>
      <c r="Z81" s="20">
        <f t="shared" si="4"/>
        <v>900.46036035736074</v>
      </c>
      <c r="AA81" s="20">
        <f t="shared" si="4"/>
        <v>897.83641472776822</v>
      </c>
      <c r="AB81" s="20">
        <f t="shared" si="4"/>
        <v>896.6936970678787</v>
      </c>
      <c r="AC81" s="20">
        <f t="shared" si="4"/>
        <v>896.28355768220672</v>
      </c>
      <c r="AD81" s="20">
        <f t="shared" si="4"/>
        <v>895.86010115398153</v>
      </c>
      <c r="AE81" s="20">
        <f t="shared" si="4"/>
        <v>894.67746666273797</v>
      </c>
      <c r="AF81" s="20">
        <f t="shared" si="4"/>
        <v>892.11343815279383</v>
      </c>
      <c r="AG81" s="20">
        <f t="shared" si="4"/>
        <v>888.03506450867508</v>
      </c>
      <c r="AH81" s="20">
        <f t="shared" si="4"/>
        <v>882.43918725992603</v>
      </c>
      <c r="AI81" s="20">
        <f t="shared" si="4"/>
        <v>875.33207240752699</v>
      </c>
      <c r="AJ81" s="20">
        <f t="shared" si="4"/>
        <v>866.72922348611394</v>
      </c>
      <c r="AK81" s="20">
        <f t="shared" si="4"/>
        <v>856.67021568496375</v>
      </c>
      <c r="AL81" s="20">
        <f t="shared" si="4"/>
        <v>845.26174859135608</v>
      </c>
      <c r="AM81" s="20">
        <f t="shared" si="4"/>
        <v>832.62873487508671</v>
      </c>
      <c r="AN81" s="20">
        <f t="shared" si="4"/>
        <v>818.89742891078151</v>
      </c>
      <c r="AO81" s="20">
        <f t="shared" si="4"/>
        <v>804.19404032034458</v>
      </c>
      <c r="AP81" s="20">
        <f t="shared" si="4"/>
        <v>788.64347122431855</v>
      </c>
      <c r="AQ81" s="20">
        <f t="shared" si="4"/>
        <v>772.36818579697683</v>
      </c>
      <c r="AR81" s="20">
        <f t="shared" si="4"/>
        <v>755.4872171924294</v>
      </c>
      <c r="AS81" s="20">
        <f t="shared" si="4"/>
        <v>738.11531369005695</v>
      </c>
      <c r="AT81" s="20">
        <f t="shared" si="4"/>
        <v>720.36222304134424</v>
      </c>
      <c r="AU81" s="20">
        <f t="shared" si="4"/>
        <v>702.33211151477587</v>
      </c>
      <c r="AV81" s="20">
        <f t="shared" si="4"/>
        <v>684.12311204342075</v>
      </c>
      <c r="AW81" s="20">
        <f t="shared" si="4"/>
        <v>665.82699418100901</v>
      </c>
      <c r="AX81" s="20">
        <f t="shared" si="4"/>
        <v>647.52894725505666</v>
      </c>
      <c r="AY81" s="20">
        <f t="shared" si="4"/>
        <v>629.30746714927636</v>
      </c>
      <c r="AZ81" s="20">
        <f t="shared" si="4"/>
        <v>611.23433652482538</v>
      </c>
      <c r="BA81" s="20">
        <f t="shared" si="4"/>
        <v>593.3746879679162</v>
      </c>
      <c r="BB81" s="20">
        <f t="shared" si="4"/>
        <v>575.78713949467021</v>
      </c>
      <c r="BC81" s="20">
        <f t="shared" si="4"/>
        <v>558.52399201514459</v>
      </c>
      <c r="BD81" s="20">
        <f t="shared" si="4"/>
        <v>541.63147871996921</v>
      </c>
      <c r="BE81" s="20">
        <f t="shared" si="4"/>
        <v>525.15005686843756</v>
      </c>
      <c r="BF81" s="20">
        <f t="shared" si="4"/>
        <v>509.11473309166672</v>
      </c>
      <c r="BG81" s="20">
        <f t="shared" si="4"/>
        <v>493.55541404665541</v>
      </c>
      <c r="BH81" s="20">
        <f t="shared" si="4"/>
        <v>478.49727503795907</v>
      </c>
      <c r="BI81" s="21">
        <f t="shared" si="4"/>
        <v>463.96114003784209</v>
      </c>
    </row>
    <row r="82" spans="1:61" x14ac:dyDescent="0.2">
      <c r="A82" s="114" t="s">
        <v>13</v>
      </c>
      <c r="B82" s="14"/>
      <c r="I82" s="20">
        <f>I18+I19+I20</f>
        <v>188.3346119683618</v>
      </c>
      <c r="J82" s="20">
        <f t="shared" ref="J82:BI82" si="5">J18+J19+J20</f>
        <v>214.70342317481749</v>
      </c>
      <c r="K82" s="20">
        <f t="shared" si="5"/>
        <v>251.56475822637498</v>
      </c>
      <c r="L82" s="20">
        <f t="shared" si="5"/>
        <v>292.08518704151152</v>
      </c>
      <c r="M82" s="20">
        <f t="shared" si="5"/>
        <v>311.08586603752508</v>
      </c>
      <c r="N82" s="20">
        <f t="shared" si="5"/>
        <v>322.17631259331768</v>
      </c>
      <c r="O82" s="20">
        <f t="shared" si="5"/>
        <v>318.56814556928987</v>
      </c>
      <c r="P82" s="20">
        <f t="shared" si="5"/>
        <v>300.29256631472447</v>
      </c>
      <c r="Q82" s="20">
        <f t="shared" si="5"/>
        <v>286.41109626760812</v>
      </c>
      <c r="R82" s="20">
        <f t="shared" si="5"/>
        <v>306.71509543851101</v>
      </c>
      <c r="S82" s="20">
        <f t="shared" si="5"/>
        <v>333.28245206526765</v>
      </c>
      <c r="T82" s="20">
        <f t="shared" si="5"/>
        <v>348.95326179918055</v>
      </c>
      <c r="U82" s="20">
        <f t="shared" si="5"/>
        <v>317.85993717896542</v>
      </c>
      <c r="V82" s="20">
        <f t="shared" si="5"/>
        <v>353.02230805270131</v>
      </c>
      <c r="W82" s="20">
        <f t="shared" si="5"/>
        <v>370.00171069210728</v>
      </c>
      <c r="X82" s="20">
        <f t="shared" si="5"/>
        <v>376.28160333659883</v>
      </c>
      <c r="Y82" s="20">
        <f t="shared" si="5"/>
        <v>383.38695305649753</v>
      </c>
      <c r="Z82" s="20">
        <f t="shared" si="5"/>
        <v>391.09204659925513</v>
      </c>
      <c r="AA82" s="20">
        <f t="shared" si="5"/>
        <v>399.1906799298464</v>
      </c>
      <c r="AB82" s="20">
        <f t="shared" si="5"/>
        <v>407.49170497217256</v>
      </c>
      <c r="AC82" s="20">
        <f t="shared" si="5"/>
        <v>415.81593271033955</v>
      </c>
      <c r="AD82" s="20">
        <f t="shared" si="5"/>
        <v>423.99425480817365</v>
      </c>
      <c r="AE82" s="20">
        <f t="shared" si="5"/>
        <v>431.86691482587145</v>
      </c>
      <c r="AF82" s="20">
        <f t="shared" si="5"/>
        <v>439.292969126976</v>
      </c>
      <c r="AG82" s="20">
        <f t="shared" si="5"/>
        <v>446.17381942485378</v>
      </c>
      <c r="AH82" s="20">
        <f t="shared" si="5"/>
        <v>452.41856649308539</v>
      </c>
      <c r="AI82" s="20">
        <f t="shared" si="5"/>
        <v>457.93478783035505</v>
      </c>
      <c r="AJ82" s="20">
        <f t="shared" si="5"/>
        <v>462.62977235371864</v>
      </c>
      <c r="AK82" s="20">
        <f t="shared" si="5"/>
        <v>466.42786158253125</v>
      </c>
      <c r="AL82" s="20">
        <f t="shared" si="5"/>
        <v>469.32097895282374</v>
      </c>
      <c r="AM82" s="20">
        <f t="shared" si="5"/>
        <v>471.3235283955151</v>
      </c>
      <c r="AN82" s="20">
        <f t="shared" si="5"/>
        <v>472.45640828251942</v>
      </c>
      <c r="AO82" s="20">
        <f t="shared" si="5"/>
        <v>472.74651241633779</v>
      </c>
      <c r="AP82" s="20">
        <f t="shared" si="5"/>
        <v>472.22617397240276</v>
      </c>
      <c r="AQ82" s="20">
        <f t="shared" si="5"/>
        <v>470.93256617728855</v>
      </c>
      <c r="AR82" s="20">
        <f t="shared" si="5"/>
        <v>468.90707347476922</v>
      </c>
      <c r="AS82" s="20">
        <f t="shared" si="5"/>
        <v>466.19464654344523</v>
      </c>
      <c r="AT82" s="20">
        <f t="shared" si="5"/>
        <v>462.84315382974319</v>
      </c>
      <c r="AU82" s="20">
        <f t="shared" si="5"/>
        <v>458.90274130020038</v>
      </c>
      <c r="AV82" s="20">
        <f t="shared" si="5"/>
        <v>454.42521095233093</v>
      </c>
      <c r="AW82" s="20">
        <f t="shared" si="5"/>
        <v>449.46342731019149</v>
      </c>
      <c r="AX82" s="20">
        <f t="shared" si="5"/>
        <v>444.07075972387588</v>
      </c>
      <c r="AY82" s="20">
        <f t="shared" si="5"/>
        <v>438.30056684310847</v>
      </c>
      <c r="AZ82" s="20">
        <f t="shared" si="5"/>
        <v>432.20572819069076</v>
      </c>
      <c r="BA82" s="20">
        <f t="shared" si="5"/>
        <v>425.83822636263591</v>
      </c>
      <c r="BB82" s="20">
        <f t="shared" si="5"/>
        <v>419.2487820627756</v>
      </c>
      <c r="BC82" s="20">
        <f t="shared" si="5"/>
        <v>412.48654296777045</v>
      </c>
      <c r="BD82" s="20">
        <f t="shared" si="5"/>
        <v>405.59882633438025</v>
      </c>
      <c r="BE82" s="20">
        <f t="shared" si="5"/>
        <v>398.63091431839689</v>
      </c>
      <c r="BF82" s="20">
        <f t="shared" si="5"/>
        <v>391.62590018160824</v>
      </c>
      <c r="BG82" s="20">
        <f t="shared" si="5"/>
        <v>384.6245829219809</v>
      </c>
      <c r="BH82" s="20">
        <f t="shared" si="5"/>
        <v>377.66540737053793</v>
      </c>
      <c r="BI82" s="21">
        <f t="shared" si="5"/>
        <v>370.7844464502266</v>
      </c>
    </row>
    <row r="83" spans="1:61" x14ac:dyDescent="0.2">
      <c r="A83" s="114" t="s">
        <v>14</v>
      </c>
      <c r="B83" s="14"/>
      <c r="I83" s="20">
        <f>I21+I22+I23+I24</f>
        <v>2454.8371613017289</v>
      </c>
      <c r="J83" s="20">
        <f t="shared" ref="J83:BI83" si="6">J21+J22+J23+J24</f>
        <v>2625.8153773714039</v>
      </c>
      <c r="K83" s="20">
        <f t="shared" si="6"/>
        <v>2906.3916262115386</v>
      </c>
      <c r="L83" s="20">
        <f t="shared" si="6"/>
        <v>3210.2341245899033</v>
      </c>
      <c r="M83" s="20">
        <f t="shared" si="6"/>
        <v>3416.4197497834148</v>
      </c>
      <c r="N83" s="20">
        <f t="shared" si="6"/>
        <v>3537.0991015896575</v>
      </c>
      <c r="O83" s="20">
        <f t="shared" si="6"/>
        <v>3654.9197138031955</v>
      </c>
      <c r="P83" s="20">
        <f t="shared" si="6"/>
        <v>3662.0951607589686</v>
      </c>
      <c r="Q83" s="20">
        <f t="shared" si="6"/>
        <v>3672.0622717658493</v>
      </c>
      <c r="R83" s="20">
        <f t="shared" si="6"/>
        <v>3970.0491173401556</v>
      </c>
      <c r="S83" s="20">
        <f t="shared" si="6"/>
        <v>4203.9675093378282</v>
      </c>
      <c r="T83" s="20">
        <f t="shared" si="6"/>
        <v>4224.0130373930315</v>
      </c>
      <c r="U83" s="20">
        <f t="shared" si="6"/>
        <v>4086.3310130589362</v>
      </c>
      <c r="V83" s="20">
        <f t="shared" si="6"/>
        <v>4562.6322638797656</v>
      </c>
      <c r="W83" s="20">
        <f t="shared" si="6"/>
        <v>4807.5125763941342</v>
      </c>
      <c r="X83" s="20">
        <f t="shared" si="6"/>
        <v>4875.0982145731978</v>
      </c>
      <c r="Y83" s="20">
        <f t="shared" si="6"/>
        <v>4945.796844971379</v>
      </c>
      <c r="Z83" s="20">
        <f t="shared" si="6"/>
        <v>5018.4406934015642</v>
      </c>
      <c r="AA83" s="20">
        <f t="shared" si="6"/>
        <v>5091.8038930789189</v>
      </c>
      <c r="AB83" s="20">
        <f t="shared" si="6"/>
        <v>5164.5984107768945</v>
      </c>
      <c r="AC83" s="20">
        <f t="shared" si="6"/>
        <v>5235.4731941150367</v>
      </c>
      <c r="AD83" s="20">
        <f t="shared" si="6"/>
        <v>5303.0167868436038</v>
      </c>
      <c r="AE83" s="20">
        <f t="shared" si="6"/>
        <v>5365.7636570256236</v>
      </c>
      <c r="AF83" s="20">
        <f t="shared" si="6"/>
        <v>5422.2194970256933</v>
      </c>
      <c r="AG83" s="20">
        <f t="shared" si="6"/>
        <v>5470.9221957180544</v>
      </c>
      <c r="AH83" s="20">
        <f t="shared" si="6"/>
        <v>5510.4171040076453</v>
      </c>
      <c r="AI83" s="20">
        <f t="shared" si="6"/>
        <v>5539.2632494010604</v>
      </c>
      <c r="AJ83" s="20">
        <f t="shared" si="6"/>
        <v>5556.0577129699795</v>
      </c>
      <c r="AK83" s="20">
        <f t="shared" si="6"/>
        <v>5559.7764431277883</v>
      </c>
      <c r="AL83" s="20">
        <f t="shared" si="6"/>
        <v>5550.7361943323103</v>
      </c>
      <c r="AM83" s="20">
        <f t="shared" si="6"/>
        <v>5529.6511518116367</v>
      </c>
      <c r="AN83" s="20">
        <f t="shared" si="6"/>
        <v>5497.3045259013534</v>
      </c>
      <c r="AO83" s="20">
        <f t="shared" si="6"/>
        <v>5454.5332874889573</v>
      </c>
      <c r="AP83" s="20">
        <f t="shared" si="6"/>
        <v>5402.2134838953652</v>
      </c>
      <c r="AQ83" s="20">
        <f t="shared" si="6"/>
        <v>5341.2463831743689</v>
      </c>
      <c r="AR83" s="20">
        <f t="shared" si="6"/>
        <v>5272.5456432845322</v>
      </c>
      <c r="AS83" s="20">
        <f t="shared" si="6"/>
        <v>5197.0256524345323</v>
      </c>
      <c r="AT83" s="20">
        <f t="shared" si="6"/>
        <v>5115.5911396567844</v>
      </c>
      <c r="AU83" s="20">
        <f t="shared" si="6"/>
        <v>5029.1281114891844</v>
      </c>
      <c r="AV83" s="20">
        <f t="shared" si="6"/>
        <v>4938.4961323544512</v>
      </c>
      <c r="AW83" s="20">
        <f t="shared" si="6"/>
        <v>4844.5219333091809</v>
      </c>
      <c r="AX83" s="20">
        <f t="shared" si="6"/>
        <v>4747.9943064942527</v>
      </c>
      <c r="AY83" s="20">
        <f t="shared" si="6"/>
        <v>4649.6602208220474</v>
      </c>
      <c r="AZ83" s="20">
        <f t="shared" si="6"/>
        <v>4550.2220779575728</v>
      </c>
      <c r="BA83" s="20">
        <f t="shared" si="6"/>
        <v>4450.3360161226146</v>
      </c>
      <c r="BB83" s="20">
        <f t="shared" si="6"/>
        <v>4350.6111622056033</v>
      </c>
      <c r="BC83" s="20">
        <f t="shared" si="6"/>
        <v>4251.6097295666477</v>
      </c>
      <c r="BD83" s="20">
        <f t="shared" si="6"/>
        <v>4153.8478592342799</v>
      </c>
      <c r="BE83" s="20">
        <f t="shared" si="6"/>
        <v>4057.7971053461888</v>
      </c>
      <c r="BF83" s="20">
        <f t="shared" si="6"/>
        <v>3963.8864711667588</v>
      </c>
      <c r="BG83" s="20">
        <f t="shared" si="6"/>
        <v>3872.504909336998</v>
      </c>
      <c r="BH83" s="20">
        <f t="shared" si="6"/>
        <v>3784.0042087520651</v>
      </c>
      <c r="BI83" s="21">
        <f t="shared" si="6"/>
        <v>3698.7022002560484</v>
      </c>
    </row>
    <row r="84" spans="1:61" x14ac:dyDescent="0.2">
      <c r="A84" s="114" t="s">
        <v>15</v>
      </c>
      <c r="B84" s="14"/>
      <c r="I84" s="20">
        <f>I25</f>
        <v>777.95991739521935</v>
      </c>
      <c r="J84" s="20">
        <f t="shared" ref="J84:BI84" si="7">J25</f>
        <v>800.14486261054606</v>
      </c>
      <c r="K84" s="20">
        <f t="shared" si="7"/>
        <v>867.16819741371125</v>
      </c>
      <c r="L84" s="20">
        <f t="shared" si="7"/>
        <v>902.40443183874095</v>
      </c>
      <c r="M84" s="20">
        <f t="shared" si="7"/>
        <v>963.89151239458693</v>
      </c>
      <c r="N84" s="20">
        <f t="shared" si="7"/>
        <v>995.32175969285993</v>
      </c>
      <c r="O84" s="20">
        <f t="shared" si="7"/>
        <v>1018.1773917073065</v>
      </c>
      <c r="P84" s="20">
        <f t="shared" si="7"/>
        <v>1033.569172982455</v>
      </c>
      <c r="Q84" s="20">
        <f t="shared" si="7"/>
        <v>1064.120195424287</v>
      </c>
      <c r="R84" s="20">
        <f t="shared" si="7"/>
        <v>1120.1978705238769</v>
      </c>
      <c r="S84" s="20">
        <f t="shared" si="7"/>
        <v>1126.5331937839655</v>
      </c>
      <c r="T84" s="20">
        <f t="shared" si="7"/>
        <v>1100.2861515096881</v>
      </c>
      <c r="U84" s="20">
        <f t="shared" si="7"/>
        <v>1071.8283979331518</v>
      </c>
      <c r="V84" s="20">
        <f t="shared" si="7"/>
        <v>1131.5999339945606</v>
      </c>
      <c r="W84" s="20">
        <f t="shared" si="7"/>
        <v>1118.4784851316513</v>
      </c>
      <c r="X84" s="20">
        <f t="shared" si="7"/>
        <v>1101.7319468013463</v>
      </c>
      <c r="Y84" s="20">
        <f t="shared" si="7"/>
        <v>1088.0994359251829</v>
      </c>
      <c r="Z84" s="20">
        <f t="shared" si="7"/>
        <v>1076.9603501257441</v>
      </c>
      <c r="AA84" s="20">
        <f t="shared" si="7"/>
        <v>1067.73501079686</v>
      </c>
      <c r="AB84" s="20">
        <f t="shared" si="7"/>
        <v>1059.873527552862</v>
      </c>
      <c r="AC84" s="20">
        <f t="shared" si="7"/>
        <v>1052.8476979373481</v>
      </c>
      <c r="AD84" s="20">
        <f t="shared" si="7"/>
        <v>1046.1456585414826</v>
      </c>
      <c r="AE84" s="20">
        <f t="shared" si="7"/>
        <v>1039.2690965304882</v>
      </c>
      <c r="AF84" s="20">
        <f t="shared" si="7"/>
        <v>1031.7766381432493</v>
      </c>
      <c r="AG84" s="20">
        <f t="shared" si="7"/>
        <v>1023.4141636092279</v>
      </c>
      <c r="AH84" s="20">
        <f t="shared" si="7"/>
        <v>1013.9811100114247</v>
      </c>
      <c r="AI84" s="20">
        <f t="shared" si="7"/>
        <v>1003.2881115903443</v>
      </c>
      <c r="AJ84" s="20">
        <f t="shared" si="7"/>
        <v>991.15934631538744</v>
      </c>
      <c r="AK84" s="20">
        <f t="shared" si="7"/>
        <v>977.48458676364362</v>
      </c>
      <c r="AL84" s="20">
        <f t="shared" si="7"/>
        <v>962.36411686887141</v>
      </c>
      <c r="AM84" s="20">
        <f t="shared" si="7"/>
        <v>945.95045704228005</v>
      </c>
      <c r="AN84" s="20">
        <f t="shared" si="7"/>
        <v>928.39593256923661</v>
      </c>
      <c r="AO84" s="20">
        <f t="shared" si="7"/>
        <v>909.8511228827507</v>
      </c>
      <c r="AP84" s="20">
        <f t="shared" si="7"/>
        <v>890.46347695913892</v>
      </c>
      <c r="AQ84" s="20">
        <f t="shared" si="7"/>
        <v>870.37610099369294</v>
      </c>
      <c r="AR84" s="20">
        <f t="shared" si="7"/>
        <v>849.72672041543694</v>
      </c>
      <c r="AS84" s="20">
        <f t="shared" si="7"/>
        <v>828.64681466015361</v>
      </c>
      <c r="AT84" s="20">
        <f t="shared" si="7"/>
        <v>807.26091997523201</v>
      </c>
      <c r="AU84" s="20">
        <f t="shared" si="7"/>
        <v>785.6860928945265</v>
      </c>
      <c r="AV84" s="20">
        <f t="shared" si="7"/>
        <v>764.03152489459944</v>
      </c>
      <c r="AW84" s="20">
        <f t="shared" si="7"/>
        <v>742.39829710942251</v>
      </c>
      <c r="AX84" s="20">
        <f t="shared" si="7"/>
        <v>720.87926281080263</v>
      </c>
      <c r="AY84" s="20">
        <f t="shared" si="7"/>
        <v>699.55904461963553</v>
      </c>
      <c r="AZ84" s="20">
        <f t="shared" si="7"/>
        <v>678.5141330551503</v>
      </c>
      <c r="BA84" s="20">
        <f t="shared" si="7"/>
        <v>657.81307300833441</v>
      </c>
      <c r="BB84" s="20">
        <f t="shared" si="7"/>
        <v>637.5167249925255</v>
      </c>
      <c r="BC84" s="20">
        <f t="shared" si="7"/>
        <v>617.67858852974325</v>
      </c>
      <c r="BD84" s="20">
        <f t="shared" si="7"/>
        <v>598.34517572778759</v>
      </c>
      <c r="BE84" s="20">
        <f t="shared" si="7"/>
        <v>579.55642394600284</v>
      </c>
      <c r="BF84" s="20">
        <f t="shared" si="7"/>
        <v>561.34613739520341</v>
      </c>
      <c r="BG84" s="20">
        <f t="shared" si="7"/>
        <v>543.74244853281459</v>
      </c>
      <c r="BH84" s="20">
        <f t="shared" si="7"/>
        <v>526.76829116533474</v>
      </c>
      <c r="BI84" s="21">
        <f t="shared" si="7"/>
        <v>510.4418782290781</v>
      </c>
    </row>
    <row r="85" spans="1:61" x14ac:dyDescent="0.2">
      <c r="A85" s="114" t="s">
        <v>16</v>
      </c>
      <c r="B85" s="14"/>
      <c r="I85" s="20">
        <f>I26+I27</f>
        <v>794.13119388446216</v>
      </c>
      <c r="J85" s="20">
        <f t="shared" ref="J85:BI85" si="8">J26+J27</f>
        <v>825.51106162498331</v>
      </c>
      <c r="K85" s="20">
        <f t="shared" si="8"/>
        <v>926.7062844402725</v>
      </c>
      <c r="L85" s="20">
        <f t="shared" si="8"/>
        <v>1020.4272871821819</v>
      </c>
      <c r="M85" s="20">
        <f t="shared" si="8"/>
        <v>1043.3087046749624</v>
      </c>
      <c r="N85" s="20">
        <f t="shared" si="8"/>
        <v>1066.0064245156573</v>
      </c>
      <c r="O85" s="20">
        <f t="shared" si="8"/>
        <v>1091.5137260003926</v>
      </c>
      <c r="P85" s="20">
        <f t="shared" si="8"/>
        <v>1083.1465453210731</v>
      </c>
      <c r="Q85" s="20">
        <f t="shared" si="8"/>
        <v>1095.5096754342712</v>
      </c>
      <c r="R85" s="20">
        <f t="shared" si="8"/>
        <v>1167.9142875743082</v>
      </c>
      <c r="S85" s="20">
        <f t="shared" si="8"/>
        <v>1215.434406539068</v>
      </c>
      <c r="T85" s="20">
        <f t="shared" si="8"/>
        <v>1187.9873679037082</v>
      </c>
      <c r="U85" s="20">
        <f t="shared" si="8"/>
        <v>1033.4340072709037</v>
      </c>
      <c r="V85" s="20">
        <f t="shared" si="8"/>
        <v>1167.8811127670378</v>
      </c>
      <c r="W85" s="20">
        <f t="shared" si="8"/>
        <v>1170.7906159687132</v>
      </c>
      <c r="X85" s="20">
        <f t="shared" si="8"/>
        <v>1155.9079136473524</v>
      </c>
      <c r="Y85" s="20">
        <f t="shared" si="8"/>
        <v>1144.0535029999735</v>
      </c>
      <c r="Z85" s="20">
        <f t="shared" si="8"/>
        <v>1134.6138081441986</v>
      </c>
      <c r="AA85" s="20">
        <f t="shared" si="8"/>
        <v>1127.0107707966215</v>
      </c>
      <c r="AB85" s="20">
        <f t="shared" si="8"/>
        <v>1120.6913112366838</v>
      </c>
      <c r="AC85" s="20">
        <f t="shared" si="8"/>
        <v>1115.1197406719255</v>
      </c>
      <c r="AD85" s="20">
        <f t="shared" si="8"/>
        <v>1109.7728879039164</v>
      </c>
      <c r="AE85" s="20">
        <f t="shared" si="8"/>
        <v>1104.1377898179544</v>
      </c>
      <c r="AF85" s="20">
        <f t="shared" si="8"/>
        <v>1097.7572069900079</v>
      </c>
      <c r="AG85" s="20">
        <f t="shared" si="8"/>
        <v>1090.3658144449566</v>
      </c>
      <c r="AH85" s="20">
        <f t="shared" si="8"/>
        <v>1081.7529339522171</v>
      </c>
      <c r="AI85" s="20">
        <f t="shared" si="8"/>
        <v>1071.7189400036962</v>
      </c>
      <c r="AJ85" s="20">
        <f t="shared" si="8"/>
        <v>1060.0778590633408</v>
      </c>
      <c r="AK85" s="20">
        <f t="shared" si="8"/>
        <v>1046.7123675957851</v>
      </c>
      <c r="AL85" s="20">
        <f t="shared" si="8"/>
        <v>1031.7271666655342</v>
      </c>
      <c r="AM85" s="20">
        <f t="shared" si="8"/>
        <v>1015.2829707439868</v>
      </c>
      <c r="AN85" s="20">
        <f t="shared" si="8"/>
        <v>997.54126635065677</v>
      </c>
      <c r="AO85" s="20">
        <f t="shared" si="8"/>
        <v>978.6625779626313</v>
      </c>
      <c r="AP85" s="20">
        <f t="shared" si="8"/>
        <v>958.80490510420759</v>
      </c>
      <c r="AQ85" s="20">
        <f t="shared" si="8"/>
        <v>938.12233960074798</v>
      </c>
      <c r="AR85" s="20">
        <f t="shared" si="8"/>
        <v>916.76386738243866</v>
      </c>
      <c r="AS85" s="20">
        <f t="shared" si="8"/>
        <v>894.87235508809476</v>
      </c>
      <c r="AT85" s="20">
        <f t="shared" si="8"/>
        <v>872.58371809598452</v>
      </c>
      <c r="AU85" s="20">
        <f t="shared" si="8"/>
        <v>850.02626352482719</v>
      </c>
      <c r="AV85" s="20">
        <f t="shared" si="8"/>
        <v>827.32019921089136</v>
      </c>
      <c r="AW85" s="20">
        <f t="shared" si="8"/>
        <v>804.57729766627313</v>
      </c>
      <c r="AX85" s="20">
        <f t="shared" si="8"/>
        <v>781.90070253508452</v>
      </c>
      <c r="AY85" s="20">
        <f t="shared" si="8"/>
        <v>759.38486405302797</v>
      </c>
      <c r="AZ85" s="20">
        <f t="shared" si="8"/>
        <v>737.11558943833552</v>
      </c>
      <c r="BA85" s="20">
        <f t="shared" si="8"/>
        <v>715.17019394953047</v>
      </c>
      <c r="BB85" s="20">
        <f t="shared" si="8"/>
        <v>693.61773848590065</v>
      </c>
      <c r="BC85" s="20">
        <f t="shared" si="8"/>
        <v>672.51934002736357</v>
      </c>
      <c r="BD85" s="20">
        <f t="shared" si="8"/>
        <v>651.92854185961039</v>
      </c>
      <c r="BE85" s="20">
        <f t="shared" si="8"/>
        <v>631.89173135859915</v>
      </c>
      <c r="BF85" s="20">
        <f t="shared" si="8"/>
        <v>612.44859406967794</v>
      </c>
      <c r="BG85" s="20">
        <f t="shared" si="8"/>
        <v>593.63259386900677</v>
      </c>
      <c r="BH85" s="20">
        <f t="shared" si="8"/>
        <v>575.47147010176718</v>
      </c>
      <c r="BI85" s="21">
        <f t="shared" si="8"/>
        <v>557.98774372089065</v>
      </c>
    </row>
    <row r="86" spans="1:61" x14ac:dyDescent="0.2">
      <c r="A86" s="114" t="s">
        <v>17</v>
      </c>
      <c r="B86" s="14"/>
      <c r="I86" s="20">
        <f>I28+I29</f>
        <v>312.88148361152503</v>
      </c>
      <c r="J86" s="20">
        <f t="shared" ref="J86:BI86" si="9">J28+J29</f>
        <v>338.13805783384225</v>
      </c>
      <c r="K86" s="20">
        <f t="shared" si="9"/>
        <v>398.41529338817213</v>
      </c>
      <c r="L86" s="20">
        <f t="shared" si="9"/>
        <v>454.54989898416466</v>
      </c>
      <c r="M86" s="20">
        <f t="shared" si="9"/>
        <v>484.41888292328485</v>
      </c>
      <c r="N86" s="20">
        <f t="shared" si="9"/>
        <v>511.42123288645234</v>
      </c>
      <c r="O86" s="20">
        <f t="shared" si="9"/>
        <v>535.42946394546993</v>
      </c>
      <c r="P86" s="20">
        <f t="shared" si="9"/>
        <v>541.1003690431055</v>
      </c>
      <c r="Q86" s="20">
        <f t="shared" si="9"/>
        <v>563.56545296461491</v>
      </c>
      <c r="R86" s="20">
        <f t="shared" si="9"/>
        <v>613.4637742737151</v>
      </c>
      <c r="S86" s="20">
        <f t="shared" si="9"/>
        <v>634.43255277677679</v>
      </c>
      <c r="T86" s="20">
        <f t="shared" si="9"/>
        <v>625.86579158336508</v>
      </c>
      <c r="U86" s="20">
        <f t="shared" si="9"/>
        <v>588.07392999604315</v>
      </c>
      <c r="V86" s="20">
        <f t="shared" si="9"/>
        <v>680.17697929486417</v>
      </c>
      <c r="W86" s="20">
        <f t="shared" si="9"/>
        <v>670.99484812682158</v>
      </c>
      <c r="X86" s="20">
        <f t="shared" si="9"/>
        <v>671.96780452446956</v>
      </c>
      <c r="Y86" s="20">
        <f t="shared" si="9"/>
        <v>674.00616185283434</v>
      </c>
      <c r="Z86" s="20">
        <f t="shared" si="9"/>
        <v>676.85581683130442</v>
      </c>
      <c r="AA86" s="20">
        <f t="shared" si="9"/>
        <v>680.26189747738897</v>
      </c>
      <c r="AB86" s="20">
        <f t="shared" si="9"/>
        <v>683.96613820595508</v>
      </c>
      <c r="AC86" s="20">
        <f t="shared" si="9"/>
        <v>687.70523434290101</v>
      </c>
      <c r="AD86" s="20">
        <f t="shared" si="9"/>
        <v>691.21019815110026</v>
      </c>
      <c r="AE86" s="20">
        <f t="shared" si="9"/>
        <v>694.20675084010577</v>
      </c>
      <c r="AF86" s="20">
        <f t="shared" si="9"/>
        <v>696.44126785178901</v>
      </c>
      <c r="AG86" s="20">
        <f t="shared" si="9"/>
        <v>697.75712856454425</v>
      </c>
      <c r="AH86" s="20">
        <f t="shared" si="9"/>
        <v>698.02440096688133</v>
      </c>
      <c r="AI86" s="20">
        <f t="shared" si="9"/>
        <v>697.11733661627613</v>
      </c>
      <c r="AJ86" s="20">
        <f t="shared" si="9"/>
        <v>694.9163615660475</v>
      </c>
      <c r="AK86" s="20">
        <f t="shared" si="9"/>
        <v>691.34126330323602</v>
      </c>
      <c r="AL86" s="20">
        <f t="shared" si="9"/>
        <v>686.4447651081457</v>
      </c>
      <c r="AM86" s="20">
        <f t="shared" si="9"/>
        <v>680.31692472713655</v>
      </c>
      <c r="AN86" s="20">
        <f t="shared" si="9"/>
        <v>673.05242850659283</v>
      </c>
      <c r="AO86" s="20">
        <f t="shared" si="9"/>
        <v>664.7492273485741</v>
      </c>
      <c r="AP86" s="20">
        <f t="shared" si="9"/>
        <v>655.50724381518694</v>
      </c>
      <c r="AQ86" s="20">
        <f t="shared" si="9"/>
        <v>645.42716645471864</v>
      </c>
      <c r="AR86" s="20">
        <f t="shared" si="9"/>
        <v>634.60934386745475</v>
      </c>
      <c r="AS86" s="20">
        <f t="shared" si="9"/>
        <v>623.15278758898796</v>
      </c>
      <c r="AT86" s="20">
        <f t="shared" si="9"/>
        <v>611.15428962608098</v>
      </c>
      <c r="AU86" s="20">
        <f t="shared" si="9"/>
        <v>598.70765749930683</v>
      </c>
      <c r="AV86" s="20">
        <f t="shared" si="9"/>
        <v>585.90306697511824</v>
      </c>
      <c r="AW86" s="20">
        <f t="shared" si="9"/>
        <v>572.82653033872248</v>
      </c>
      <c r="AX86" s="20">
        <f t="shared" si="9"/>
        <v>559.55947608425902</v>
      </c>
      <c r="AY86" s="20">
        <f t="shared" si="9"/>
        <v>546.17843428331685</v>
      </c>
      <c r="AZ86" s="20">
        <f t="shared" si="9"/>
        <v>532.75482062854212</v>
      </c>
      <c r="BA86" s="20">
        <f t="shared" si="9"/>
        <v>519.35481121876069</v>
      </c>
      <c r="BB86" s="20">
        <f t="shared" si="9"/>
        <v>506.03929953130068</v>
      </c>
      <c r="BC86" s="20">
        <f t="shared" si="9"/>
        <v>492.863926686696</v>
      </c>
      <c r="BD86" s="20">
        <f t="shared" si="9"/>
        <v>479.87917601801456</v>
      </c>
      <c r="BE86" s="20">
        <f t="shared" si="9"/>
        <v>467.13052307733369</v>
      </c>
      <c r="BF86" s="20">
        <f t="shared" si="9"/>
        <v>454.65863251092509</v>
      </c>
      <c r="BG86" s="20">
        <f t="shared" si="9"/>
        <v>442.49959367870122</v>
      </c>
      <c r="BH86" s="20">
        <f t="shared" si="9"/>
        <v>430.68518745076165</v>
      </c>
      <c r="BI86" s="21">
        <f t="shared" si="9"/>
        <v>419.24317725497269</v>
      </c>
    </row>
    <row r="87" spans="1:61" x14ac:dyDescent="0.2">
      <c r="A87" s="114" t="s">
        <v>18</v>
      </c>
      <c r="B87" s="14"/>
      <c r="I87" s="20">
        <f>I30+I31+I32</f>
        <v>633.24101415449195</v>
      </c>
      <c r="J87" s="20">
        <f t="shared" ref="J87:BI87" si="10">J30+J31+J32</f>
        <v>656.9524760941357</v>
      </c>
      <c r="K87" s="20">
        <f t="shared" si="10"/>
        <v>735.05205868571045</v>
      </c>
      <c r="L87" s="20">
        <f t="shared" si="10"/>
        <v>803.22604011991803</v>
      </c>
      <c r="M87" s="20">
        <f t="shared" si="10"/>
        <v>838.14481307405174</v>
      </c>
      <c r="N87" s="20">
        <f t="shared" si="10"/>
        <v>879.44918385090205</v>
      </c>
      <c r="O87" s="20">
        <f t="shared" si="10"/>
        <v>920.17866935129575</v>
      </c>
      <c r="P87" s="20">
        <f t="shared" si="10"/>
        <v>923.06261542904986</v>
      </c>
      <c r="Q87" s="20">
        <f t="shared" si="10"/>
        <v>947.57062618735085</v>
      </c>
      <c r="R87" s="20">
        <f t="shared" si="10"/>
        <v>1024.300806196396</v>
      </c>
      <c r="S87" s="20">
        <f t="shared" si="10"/>
        <v>1062.1733133250104</v>
      </c>
      <c r="T87" s="20">
        <f t="shared" si="10"/>
        <v>1053.986525665171</v>
      </c>
      <c r="U87" s="20">
        <f t="shared" si="10"/>
        <v>1003.590336166021</v>
      </c>
      <c r="V87" s="20">
        <f t="shared" si="10"/>
        <v>1146.6830716344077</v>
      </c>
      <c r="W87" s="20">
        <f t="shared" si="10"/>
        <v>1153.9161439221259</v>
      </c>
      <c r="X87" s="20">
        <f t="shared" si="10"/>
        <v>1158.4035741120053</v>
      </c>
      <c r="Y87" s="20">
        <f t="shared" si="10"/>
        <v>1163.6871336130253</v>
      </c>
      <c r="Z87" s="20">
        <f t="shared" si="10"/>
        <v>1169.5190775070639</v>
      </c>
      <c r="AA87" s="20">
        <f t="shared" si="10"/>
        <v>1175.6455405204001</v>
      </c>
      <c r="AB87" s="20">
        <f t="shared" si="10"/>
        <v>1181.8054733719312</v>
      </c>
      <c r="AC87" s="20">
        <f t="shared" si="10"/>
        <v>1187.7302162820322</v>
      </c>
      <c r="AD87" s="20">
        <f t="shared" si="10"/>
        <v>1193.1437481565315</v>
      </c>
      <c r="AE87" s="20">
        <f t="shared" si="10"/>
        <v>1197.763650770615</v>
      </c>
      <c r="AF87" s="20">
        <f t="shared" si="10"/>
        <v>1201.3048600012974</v>
      </c>
      <c r="AG87" s="20">
        <f t="shared" si="10"/>
        <v>1203.4892644266824</v>
      </c>
      <c r="AH87" s="20">
        <f t="shared" si="10"/>
        <v>1204.0442590530929</v>
      </c>
      <c r="AI87" s="20">
        <f t="shared" si="10"/>
        <v>1202.7041598742519</v>
      </c>
      <c r="AJ87" s="20">
        <f t="shared" si="10"/>
        <v>1199.213925043895</v>
      </c>
      <c r="AK87" s="20">
        <f t="shared" si="10"/>
        <v>1193.3933228563571</v>
      </c>
      <c r="AL87" s="20">
        <f t="shared" si="10"/>
        <v>1185.3178139431157</v>
      </c>
      <c r="AM87" s="20">
        <f t="shared" si="10"/>
        <v>1175.133967082126</v>
      </c>
      <c r="AN87" s="20">
        <f t="shared" si="10"/>
        <v>1162.9966642200786</v>
      </c>
      <c r="AO87" s="20">
        <f t="shared" si="10"/>
        <v>1149.0668718869019</v>
      </c>
      <c r="AP87" s="20">
        <f t="shared" si="10"/>
        <v>1133.5095125823609</v>
      </c>
      <c r="AQ87" s="20">
        <f t="shared" si="10"/>
        <v>1116.4914638772984</v>
      </c>
      <c r="AR87" s="20">
        <f t="shared" si="10"/>
        <v>1098.1797074671065</v>
      </c>
      <c r="AS87" s="20">
        <f t="shared" si="10"/>
        <v>1078.7396450043975</v>
      </c>
      <c r="AT87" s="20">
        <f t="shared" si="10"/>
        <v>1058.3335923597531</v>
      </c>
      <c r="AU87" s="20">
        <f t="shared" si="10"/>
        <v>1037.1194591268954</v>
      </c>
      <c r="AV87" s="20">
        <f t="shared" si="10"/>
        <v>1015.2496157882288</v>
      </c>
      <c r="AW87" s="20">
        <f t="shared" si="10"/>
        <v>992.86994705012944</v>
      </c>
      <c r="AX87" s="20">
        <f t="shared" si="10"/>
        <v>970.11908648261215</v>
      </c>
      <c r="AY87" s="20">
        <f t="shared" si="10"/>
        <v>947.12782477177734</v>
      </c>
      <c r="AZ87" s="20">
        <f t="shared" si="10"/>
        <v>924.01868161384232</v>
      </c>
      <c r="BA87" s="20">
        <f t="shared" si="10"/>
        <v>900.90562952918538</v>
      </c>
      <c r="BB87" s="20">
        <f t="shared" si="10"/>
        <v>877.89395662352263</v>
      </c>
      <c r="BC87" s="20">
        <f t="shared" si="10"/>
        <v>855.08025453144364</v>
      </c>
      <c r="BD87" s="20">
        <f t="shared" si="10"/>
        <v>832.55251739869277</v>
      </c>
      <c r="BE87" s="20">
        <f t="shared" si="10"/>
        <v>810.39033774331324</v>
      </c>
      <c r="BF87" s="20">
        <f t="shared" si="10"/>
        <v>788.66518532956138</v>
      </c>
      <c r="BG87" s="20">
        <f t="shared" si="10"/>
        <v>767.44075574034935</v>
      </c>
      <c r="BH87" s="20">
        <f t="shared" si="10"/>
        <v>746.77337609326105</v>
      </c>
      <c r="BI87" s="21">
        <f t="shared" si="10"/>
        <v>726.71245626462655</v>
      </c>
    </row>
    <row r="88" spans="1:61" x14ac:dyDescent="0.2">
      <c r="A88" s="114" t="s">
        <v>19</v>
      </c>
      <c r="B88" s="14"/>
      <c r="I88" s="20">
        <f>I33</f>
        <v>637.16698879349872</v>
      </c>
      <c r="J88" s="20">
        <f t="shared" ref="J88:BI88" si="11">J33</f>
        <v>635.4050592414402</v>
      </c>
      <c r="K88" s="20">
        <f t="shared" si="11"/>
        <v>676.28810522775109</v>
      </c>
      <c r="L88" s="20">
        <f t="shared" si="11"/>
        <v>699.21935440753566</v>
      </c>
      <c r="M88" s="20">
        <f t="shared" si="11"/>
        <v>707.5885313743712</v>
      </c>
      <c r="N88" s="20">
        <f t="shared" si="11"/>
        <v>713.18461791746836</v>
      </c>
      <c r="O88" s="20">
        <f t="shared" si="11"/>
        <v>720.67276491046107</v>
      </c>
      <c r="P88" s="20">
        <f t="shared" si="11"/>
        <v>734.30200114359138</v>
      </c>
      <c r="Q88" s="20">
        <f t="shared" si="11"/>
        <v>764.60618968075028</v>
      </c>
      <c r="R88" s="20">
        <f t="shared" si="11"/>
        <v>811.09142498845029</v>
      </c>
      <c r="S88" s="20">
        <f t="shared" si="11"/>
        <v>859.28912273215599</v>
      </c>
      <c r="T88" s="20">
        <f t="shared" si="11"/>
        <v>869.92301724643733</v>
      </c>
      <c r="U88" s="20">
        <f t="shared" si="11"/>
        <v>847.42336584085638</v>
      </c>
      <c r="V88" s="20">
        <f t="shared" si="11"/>
        <v>889.38677171330733</v>
      </c>
      <c r="W88" s="20">
        <f t="shared" si="11"/>
        <v>857.39068108754168</v>
      </c>
      <c r="X88" s="20">
        <f t="shared" si="11"/>
        <v>851.34114761346382</v>
      </c>
      <c r="Y88" s="20">
        <f t="shared" si="11"/>
        <v>846.37986088514538</v>
      </c>
      <c r="Z88" s="20">
        <f t="shared" si="11"/>
        <v>842.26828850619029</v>
      </c>
      <c r="AA88" s="20">
        <f t="shared" si="11"/>
        <v>838.77525957799969</v>
      </c>
      <c r="AB88" s="20">
        <f t="shared" si="11"/>
        <v>835.67499864998967</v>
      </c>
      <c r="AC88" s="20">
        <f t="shared" si="11"/>
        <v>832.74578446842736</v>
      </c>
      <c r="AD88" s="20">
        <f t="shared" si="11"/>
        <v>829.76920717074597</v>
      </c>
      <c r="AE88" s="20">
        <f t="shared" si="11"/>
        <v>826.53000530213251</v>
      </c>
      <c r="AF88" s="20">
        <f t="shared" si="11"/>
        <v>822.81801432112195</v>
      </c>
      <c r="AG88" s="20">
        <f t="shared" si="11"/>
        <v>818.43369138334197</v>
      </c>
      <c r="AH88" s="20">
        <f t="shared" si="11"/>
        <v>813.18479196915541</v>
      </c>
      <c r="AI88" s="20">
        <f t="shared" si="11"/>
        <v>806.88666510728717</v>
      </c>
      <c r="AJ88" s="20">
        <f t="shared" si="11"/>
        <v>799.36452405901105</v>
      </c>
      <c r="AK88" s="20">
        <f t="shared" si="11"/>
        <v>790.49974795626406</v>
      </c>
      <c r="AL88" s="20">
        <f t="shared" si="11"/>
        <v>780.35926615859614</v>
      </c>
      <c r="AM88" s="20">
        <f t="shared" si="11"/>
        <v>769.05763138843599</v>
      </c>
      <c r="AN88" s="20">
        <f t="shared" si="11"/>
        <v>756.71103481801651</v>
      </c>
      <c r="AO88" s="20">
        <f t="shared" si="11"/>
        <v>743.43599271857977</v>
      </c>
      <c r="AP88" s="20">
        <f t="shared" si="11"/>
        <v>729.34814442316201</v>
      </c>
      <c r="AQ88" s="20">
        <f t="shared" si="11"/>
        <v>714.56117062226315</v>
      </c>
      <c r="AR88" s="20">
        <f t="shared" si="11"/>
        <v>699.18583766401946</v>
      </c>
      <c r="AS88" s="20">
        <f t="shared" si="11"/>
        <v>683.32917045219813</v>
      </c>
      <c r="AT88" s="20">
        <f t="shared" si="11"/>
        <v>667.09375377281208</v>
      </c>
      <c r="AU88" s="20">
        <f t="shared" si="11"/>
        <v>650.57715946433063</v>
      </c>
      <c r="AV88" s="20">
        <f t="shared" si="11"/>
        <v>633.87149479328548</v>
      </c>
      <c r="AW88" s="20">
        <f t="shared" si="11"/>
        <v>617.06306571025391</v>
      </c>
      <c r="AX88" s="20">
        <f t="shared" si="11"/>
        <v>600.23214733285067</v>
      </c>
      <c r="AY88" s="20">
        <f t="shared" si="11"/>
        <v>583.45285301601075</v>
      </c>
      <c r="AZ88" s="20">
        <f t="shared" si="11"/>
        <v>566.79309270167244</v>
      </c>
      <c r="BA88" s="20">
        <f t="shared" si="11"/>
        <v>550.31461086092008</v>
      </c>
      <c r="BB88" s="20">
        <f t="shared" si="11"/>
        <v>534.07309421933587</v>
      </c>
      <c r="BC88" s="20">
        <f t="shared" si="11"/>
        <v>518.11833955629652</v>
      </c>
      <c r="BD88" s="20">
        <f t="shared" si="11"/>
        <v>502.49447215624053</v>
      </c>
      <c r="BE88" s="20">
        <f t="shared" si="11"/>
        <v>487.24020593033606</v>
      </c>
      <c r="BF88" s="20">
        <f t="shared" si="11"/>
        <v>472.38913678755415</v>
      </c>
      <c r="BG88" s="20">
        <f t="shared" si="11"/>
        <v>457.97006148451186</v>
      </c>
      <c r="BH88" s="20">
        <f t="shared" si="11"/>
        <v>444.0073148957876</v>
      </c>
      <c r="BI88" s="21">
        <f t="shared" si="11"/>
        <v>430.52111939615094</v>
      </c>
    </row>
    <row r="89" spans="1:61" x14ac:dyDescent="0.2">
      <c r="A89" s="114" t="s">
        <v>20</v>
      </c>
      <c r="B89" s="14"/>
      <c r="I89" s="20">
        <f>I34+I35+I36+I37</f>
        <v>2560.8758667895736</v>
      </c>
      <c r="J89" s="20">
        <f t="shared" ref="J89:BI89" si="12">J34+J35+J36+J37</f>
        <v>2764.9378094832209</v>
      </c>
      <c r="K89" s="20">
        <f t="shared" si="12"/>
        <v>3105.5610641497979</v>
      </c>
      <c r="L89" s="20">
        <f t="shared" si="12"/>
        <v>3424.4854776950906</v>
      </c>
      <c r="M89" s="20">
        <f t="shared" si="12"/>
        <v>3650.4088843802569</v>
      </c>
      <c r="N89" s="20">
        <f t="shared" si="12"/>
        <v>3884.5218272380716</v>
      </c>
      <c r="O89" s="20">
        <f t="shared" si="12"/>
        <v>4107.3332190393821</v>
      </c>
      <c r="P89" s="20">
        <f t="shared" si="12"/>
        <v>4260.3967213762999</v>
      </c>
      <c r="Q89" s="20">
        <f t="shared" si="12"/>
        <v>4500.8625410492241</v>
      </c>
      <c r="R89" s="20">
        <f t="shared" si="12"/>
        <v>4837.5903445099902</v>
      </c>
      <c r="S89" s="20">
        <f t="shared" si="12"/>
        <v>5059.9853033207719</v>
      </c>
      <c r="T89" s="20">
        <f t="shared" si="12"/>
        <v>5145.0901980029448</v>
      </c>
      <c r="U89" s="20">
        <f t="shared" si="12"/>
        <v>5158.069783353104</v>
      </c>
      <c r="V89" s="20">
        <f t="shared" si="12"/>
        <v>5990.6000346023575</v>
      </c>
      <c r="W89" s="20">
        <f t="shared" si="12"/>
        <v>6217.9985802493011</v>
      </c>
      <c r="X89" s="20">
        <f t="shared" si="12"/>
        <v>6388.6870005651817</v>
      </c>
      <c r="Y89" s="20">
        <f t="shared" si="12"/>
        <v>6555.3814591110913</v>
      </c>
      <c r="Z89" s="20">
        <f t="shared" si="12"/>
        <v>6718.6852728182712</v>
      </c>
      <c r="AA89" s="20">
        <f t="shared" si="12"/>
        <v>6879.4266426141985</v>
      </c>
      <c r="AB89" s="20">
        <f t="shared" si="12"/>
        <v>7038.650544440311</v>
      </c>
      <c r="AC89" s="20">
        <f t="shared" si="12"/>
        <v>7197.6145197909755</v>
      </c>
      <c r="AD89" s="20">
        <f t="shared" si="12"/>
        <v>7357.7897678525778</v>
      </c>
      <c r="AE89" s="20">
        <f t="shared" si="12"/>
        <v>7520.8689981576463</v>
      </c>
      <c r="AF89" s="20">
        <f t="shared" si="12"/>
        <v>7687.9489304818308</v>
      </c>
      <c r="AG89" s="20">
        <f t="shared" si="12"/>
        <v>7856.8302673951275</v>
      </c>
      <c r="AH89" s="20">
        <f t="shared" si="12"/>
        <v>8024.1308121511647</v>
      </c>
      <c r="AI89" s="20">
        <f t="shared" si="12"/>
        <v>8186.0488995685155</v>
      </c>
      <c r="AJ89" s="20">
        <f t="shared" si="12"/>
        <v>8338.3657130851625</v>
      </c>
      <c r="AK89" s="20">
        <f t="shared" si="12"/>
        <v>8477.244726418563</v>
      </c>
      <c r="AL89" s="20">
        <f t="shared" si="12"/>
        <v>8601.7493057030533</v>
      </c>
      <c r="AM89" s="20">
        <f t="shared" si="12"/>
        <v>8711.8185674338365</v>
      </c>
      <c r="AN89" s="20">
        <f t="shared" si="12"/>
        <v>8807.5332518562682</v>
      </c>
      <c r="AO89" s="20">
        <f t="shared" si="12"/>
        <v>8889.1117251614669</v>
      </c>
      <c r="AP89" s="20">
        <f t="shared" si="12"/>
        <v>8956.9040501177024</v>
      </c>
      <c r="AQ89" s="20">
        <f t="shared" si="12"/>
        <v>9011.3843887664516</v>
      </c>
      <c r="AR89" s="20">
        <f t="shared" si="12"/>
        <v>9053.1420329087105</v>
      </c>
      <c r="AS89" s="20">
        <f t="shared" si="12"/>
        <v>9082.8713782871182</v>
      </c>
      <c r="AT89" s="20">
        <f t="shared" si="12"/>
        <v>9101.3611671310537</v>
      </c>
      <c r="AU89" s="20">
        <f t="shared" si="12"/>
        <v>9109.4833220482833</v>
      </c>
      <c r="AV89" s="20">
        <f t="shared" si="12"/>
        <v>9108.1816834667061</v>
      </c>
      <c r="AW89" s="20">
        <f t="shared" si="12"/>
        <v>9098.4609445570113</v>
      </c>
      <c r="AX89" s="20">
        <f t="shared" si="12"/>
        <v>9081.376053559914</v>
      </c>
      <c r="AY89" s="20">
        <f t="shared" si="12"/>
        <v>9058.0223255112214</v>
      </c>
      <c r="AZ89" s="20">
        <f t="shared" si="12"/>
        <v>9029.5264752831408</v>
      </c>
      <c r="BA89" s="20">
        <f t="shared" si="12"/>
        <v>8997.0387533236189</v>
      </c>
      <c r="BB89" s="20">
        <f t="shared" si="12"/>
        <v>8961.7263360135876</v>
      </c>
      <c r="BC89" s="20">
        <f t="shared" si="12"/>
        <v>8924.7680955335218</v>
      </c>
      <c r="BD89" s="20">
        <f t="shared" si="12"/>
        <v>8887.35085071088</v>
      </c>
      <c r="BE89" s="20">
        <f t="shared" si="12"/>
        <v>8850.6671814973288</v>
      </c>
      <c r="BF89" s="20">
        <f t="shared" si="12"/>
        <v>8815.9148763280973</v>
      </c>
      <c r="BG89" s="20">
        <f t="shared" si="12"/>
        <v>8784.2980743383887</v>
      </c>
      <c r="BH89" s="20">
        <f t="shared" si="12"/>
        <v>8757.0301638592209</v>
      </c>
      <c r="BI89" s="21">
        <f t="shared" si="12"/>
        <v>8735.3385053524689</v>
      </c>
    </row>
    <row r="90" spans="1:61" x14ac:dyDescent="0.2">
      <c r="A90" s="114" t="s">
        <v>21</v>
      </c>
      <c r="B90" s="14"/>
      <c r="I90" s="20">
        <f>I38</f>
        <v>969.86529677334454</v>
      </c>
      <c r="J90" s="20">
        <f t="shared" ref="J90:BI90" si="13">J38</f>
        <v>1054.5240750677958</v>
      </c>
      <c r="K90" s="20">
        <f t="shared" si="13"/>
        <v>1231.9487832991067</v>
      </c>
      <c r="L90" s="20">
        <f t="shared" si="13"/>
        <v>1401.566718147817</v>
      </c>
      <c r="M90" s="20">
        <f t="shared" si="13"/>
        <v>1483.7223646090169</v>
      </c>
      <c r="N90" s="20">
        <f t="shared" si="13"/>
        <v>1571.5684766320201</v>
      </c>
      <c r="O90" s="20">
        <f t="shared" si="13"/>
        <v>1646.8308809364089</v>
      </c>
      <c r="P90" s="20">
        <f t="shared" si="13"/>
        <v>1663.9142092848247</v>
      </c>
      <c r="Q90" s="20">
        <f t="shared" si="13"/>
        <v>1729.3353394650969</v>
      </c>
      <c r="R90" s="20">
        <f t="shared" si="13"/>
        <v>1815.2175877512082</v>
      </c>
      <c r="S90" s="20">
        <f t="shared" si="13"/>
        <v>1890.5503654260967</v>
      </c>
      <c r="T90" s="20">
        <f t="shared" si="13"/>
        <v>1985.0357835637794</v>
      </c>
      <c r="U90" s="20">
        <f t="shared" si="13"/>
        <v>1974.020219422028</v>
      </c>
      <c r="V90" s="20">
        <f t="shared" si="13"/>
        <v>2219.755042611464</v>
      </c>
      <c r="W90" s="20">
        <f t="shared" si="13"/>
        <v>2221.0746865680835</v>
      </c>
      <c r="X90" s="20">
        <f t="shared" si="13"/>
        <v>2241.5401091382614</v>
      </c>
      <c r="Y90" s="20">
        <f t="shared" si="13"/>
        <v>2258.5981266998369</v>
      </c>
      <c r="Z90" s="20">
        <f t="shared" si="13"/>
        <v>2272.551984747</v>
      </c>
      <c r="AA90" s="20">
        <f t="shared" si="13"/>
        <v>2283.7282244934954</v>
      </c>
      <c r="AB90" s="20">
        <f t="shared" si="13"/>
        <v>2292.4720971303386</v>
      </c>
      <c r="AC90" s="20">
        <f t="shared" si="13"/>
        <v>2299.1434012596087</v>
      </c>
      <c r="AD90" s="20">
        <f t="shared" si="13"/>
        <v>2304.1128172670228</v>
      </c>
      <c r="AE90" s="20">
        <f t="shared" si="13"/>
        <v>2307.758795107457</v>
      </c>
      <c r="AF90" s="20">
        <f t="shared" si="13"/>
        <v>2310.2803881811546</v>
      </c>
      <c r="AG90" s="20">
        <f t="shared" si="13"/>
        <v>2311.1404496538562</v>
      </c>
      <c r="AH90" s="20">
        <f t="shared" si="13"/>
        <v>2309.619384732096</v>
      </c>
      <c r="AI90" s="20">
        <f t="shared" si="13"/>
        <v>2305.0055885819843</v>
      </c>
      <c r="AJ90" s="20">
        <f t="shared" si="13"/>
        <v>2296.6039019891191</v>
      </c>
      <c r="AK90" s="20">
        <f t="shared" si="13"/>
        <v>2283.8937234636246</v>
      </c>
      <c r="AL90" s="20">
        <f t="shared" si="13"/>
        <v>2266.975168008772</v>
      </c>
      <c r="AM90" s="20">
        <f t="shared" si="13"/>
        <v>2246.1160195190287</v>
      </c>
      <c r="AN90" s="20">
        <f t="shared" si="13"/>
        <v>2221.5987834145903</v>
      </c>
      <c r="AO90" s="20">
        <f t="shared" si="13"/>
        <v>2193.7168184283919</v>
      </c>
      <c r="AP90" s="20">
        <f t="shared" si="13"/>
        <v>2162.7706336360575</v>
      </c>
      <c r="AQ90" s="20">
        <f t="shared" si="13"/>
        <v>2129.0643966458715</v>
      </c>
      <c r="AR90" s="20">
        <f t="shared" si="13"/>
        <v>2092.902690141344</v>
      </c>
      <c r="AS90" s="20">
        <f t="shared" si="13"/>
        <v>2054.5875453644603</v>
      </c>
      <c r="AT90" s="20">
        <f t="shared" si="13"/>
        <v>2014.4157728533783</v>
      </c>
      <c r="AU90" s="20">
        <f t="shared" si="13"/>
        <v>1972.6766029773917</v>
      </c>
      <c r="AV90" s="20">
        <f t="shared" si="13"/>
        <v>1929.6496416796435</v>
      </c>
      <c r="AW90" s="20">
        <f t="shared" si="13"/>
        <v>1885.6031404444957</v>
      </c>
      <c r="AX90" s="20">
        <f t="shared" si="13"/>
        <v>1840.7925739152213</v>
      </c>
      <c r="AY90" s="20">
        <f t="shared" si="13"/>
        <v>1795.4595138328154</v>
      </c>
      <c r="AZ90" s="20">
        <f t="shared" si="13"/>
        <v>1749.8307840533155</v>
      </c>
      <c r="BA90" s="20">
        <f t="shared" si="13"/>
        <v>1704.117878310258</v>
      </c>
      <c r="BB90" s="20">
        <f t="shared" si="13"/>
        <v>1658.5166200826493</v>
      </c>
      <c r="BC90" s="20">
        <f t="shared" si="13"/>
        <v>1613.2070423534444</v>
      </c>
      <c r="BD90" s="20">
        <f t="shared" si="13"/>
        <v>1568.3534641334818</v>
      </c>
      <c r="BE90" s="20">
        <f t="shared" si="13"/>
        <v>1524.1047403085215</v>
      </c>
      <c r="BF90" s="20">
        <f t="shared" si="13"/>
        <v>1480.5946615650157</v>
      </c>
      <c r="BG90" s="20">
        <f t="shared" si="13"/>
        <v>1437.942481785361</v>
      </c>
      <c r="BH90" s="20">
        <f t="shared" si="13"/>
        <v>1396.2535512978866</v>
      </c>
      <c r="BI90" s="21">
        <f t="shared" si="13"/>
        <v>1355.6200356472643</v>
      </c>
    </row>
    <row r="91" spans="1:61" x14ac:dyDescent="0.2">
      <c r="A91" s="114" t="s">
        <v>22</v>
      </c>
      <c r="B91" s="14"/>
      <c r="I91" s="20">
        <f>I39+I40</f>
        <v>2597.0509188204237</v>
      </c>
      <c r="J91" s="20">
        <f t="shared" ref="J91:BI91" si="14">J39+J40</f>
        <v>2726.7398155051605</v>
      </c>
      <c r="K91" s="20">
        <f t="shared" si="14"/>
        <v>2967.9328846353892</v>
      </c>
      <c r="L91" s="20">
        <f t="shared" si="14"/>
        <v>3162.3679261120096</v>
      </c>
      <c r="M91" s="20">
        <f t="shared" si="14"/>
        <v>3331.3503163887726</v>
      </c>
      <c r="N91" s="20">
        <f t="shared" si="14"/>
        <v>3525.4810456247324</v>
      </c>
      <c r="O91" s="20">
        <f t="shared" si="14"/>
        <v>3658.4208621730013</v>
      </c>
      <c r="P91" s="20">
        <f t="shared" si="14"/>
        <v>3728.0927483218288</v>
      </c>
      <c r="Q91" s="20">
        <f t="shared" si="14"/>
        <v>3677.9997747986417</v>
      </c>
      <c r="R91" s="20">
        <f t="shared" si="14"/>
        <v>3750.6771824741027</v>
      </c>
      <c r="S91" s="20">
        <f t="shared" si="14"/>
        <v>4007.1459255589216</v>
      </c>
      <c r="T91" s="20">
        <f t="shared" si="14"/>
        <v>4235.8782596613346</v>
      </c>
      <c r="U91" s="20">
        <f t="shared" si="14"/>
        <v>4307.7125172410397</v>
      </c>
      <c r="V91" s="20">
        <f t="shared" si="14"/>
        <v>4583.195091143124</v>
      </c>
      <c r="W91" s="20">
        <f t="shared" si="14"/>
        <v>4780.7831913358204</v>
      </c>
      <c r="X91" s="20">
        <f t="shared" si="14"/>
        <v>4831.983213406741</v>
      </c>
      <c r="Y91" s="20">
        <f t="shared" si="14"/>
        <v>4874.736377247109</v>
      </c>
      <c r="Z91" s="20">
        <f t="shared" si="14"/>
        <v>4909.8206489622062</v>
      </c>
      <c r="AA91" s="20">
        <f t="shared" si="14"/>
        <v>4938.0858894033172</v>
      </c>
      <c r="AB91" s="20">
        <f t="shared" si="14"/>
        <v>4960.4393982838646</v>
      </c>
      <c r="AC91" s="20">
        <f t="shared" si="14"/>
        <v>4977.8328702378176</v>
      </c>
      <c r="AD91" s="20">
        <f t="shared" si="14"/>
        <v>4991.2510644826871</v>
      </c>
      <c r="AE91" s="20">
        <f t="shared" si="14"/>
        <v>5001.7024157037422</v>
      </c>
      <c r="AF91" s="20">
        <f t="shared" si="14"/>
        <v>5009.7736348427052</v>
      </c>
      <c r="AG91" s="20">
        <f t="shared" si="14"/>
        <v>5014.3056753381661</v>
      </c>
      <c r="AH91" s="20">
        <f t="shared" si="14"/>
        <v>5013.702992126583</v>
      </c>
      <c r="AI91" s="20">
        <f t="shared" si="14"/>
        <v>5006.3836959076443</v>
      </c>
      <c r="AJ91" s="20">
        <f t="shared" si="14"/>
        <v>4990.7982473670972</v>
      </c>
      <c r="AK91" s="20">
        <f t="shared" si="14"/>
        <v>4965.7780718954491</v>
      </c>
      <c r="AL91" s="20">
        <f t="shared" si="14"/>
        <v>4931.5203814739143</v>
      </c>
      <c r="AM91" s="20">
        <f t="shared" si="14"/>
        <v>4888.5927320276378</v>
      </c>
      <c r="AN91" s="20">
        <f t="shared" si="14"/>
        <v>4837.5965744668265</v>
      </c>
      <c r="AO91" s="20">
        <f t="shared" si="14"/>
        <v>4779.158878040842</v>
      </c>
      <c r="AP91" s="20">
        <f t="shared" si="14"/>
        <v>4713.924078666787</v>
      </c>
      <c r="AQ91" s="20">
        <f t="shared" si="14"/>
        <v>4642.5464552376625</v>
      </c>
      <c r="AR91" s="20">
        <f t="shared" si="14"/>
        <v>4565.6830183284583</v>
      </c>
      <c r="AS91" s="20">
        <f t="shared" si="14"/>
        <v>4483.9869772569255</v>
      </c>
      <c r="AT91" s="20">
        <f t="shared" si="14"/>
        <v>4398.1018335854797</v>
      </c>
      <c r="AU91" s="20">
        <f t="shared" si="14"/>
        <v>4308.65613225995</v>
      </c>
      <c r="AV91" s="20">
        <f t="shared" si="14"/>
        <v>4216.2588859794205</v>
      </c>
      <c r="AW91" s="20">
        <f t="shared" si="14"/>
        <v>4121.4956743103212</v>
      </c>
      <c r="AX91" s="20">
        <f t="shared" si="14"/>
        <v>4024.9254066540834</v>
      </c>
      <c r="AY91" s="20">
        <f t="shared" si="14"/>
        <v>3927.0777275392393</v>
      </c>
      <c r="AZ91" s="20">
        <f t="shared" si="14"/>
        <v>3828.4510338627697</v>
      </c>
      <c r="BA91" s="20">
        <f t="shared" si="14"/>
        <v>3729.5110666255077</v>
      </c>
      <c r="BB91" s="20">
        <f t="shared" si="14"/>
        <v>3630.6900343220723</v>
      </c>
      <c r="BC91" s="20">
        <f t="shared" si="14"/>
        <v>3532.3862213519096</v>
      </c>
      <c r="BD91" s="20">
        <f t="shared" si="14"/>
        <v>3434.964032481128</v>
      </c>
      <c r="BE91" s="20">
        <f t="shared" si="14"/>
        <v>3338.7544233556991</v>
      </c>
      <c r="BF91" s="20">
        <f t="shared" si="14"/>
        <v>3244.0556671820877</v>
      </c>
      <c r="BG91" s="20">
        <f t="shared" si="14"/>
        <v>3151.1344087857374</v>
      </c>
      <c r="BH91" s="20">
        <f t="shared" si="14"/>
        <v>3060.2269591657232</v>
      </c>
      <c r="BI91" s="21">
        <f t="shared" si="14"/>
        <v>2971.5407862258248</v>
      </c>
    </row>
    <row r="92" spans="1:61" x14ac:dyDescent="0.2">
      <c r="A92" s="114" t="s">
        <v>23</v>
      </c>
      <c r="B92" s="14"/>
      <c r="I92" s="20">
        <f>I41</f>
        <v>825.35203982323162</v>
      </c>
      <c r="J92" s="20">
        <f t="shared" ref="J92:BI92" si="15">J41</f>
        <v>860.62424293328729</v>
      </c>
      <c r="K92" s="20">
        <f t="shared" si="15"/>
        <v>994.5601714893121</v>
      </c>
      <c r="L92" s="20">
        <f t="shared" si="15"/>
        <v>1125.7598991764332</v>
      </c>
      <c r="M92" s="20">
        <f t="shared" si="15"/>
        <v>1202.4657387811435</v>
      </c>
      <c r="N92" s="20">
        <f t="shared" si="15"/>
        <v>1283.9402712372946</v>
      </c>
      <c r="O92" s="20">
        <f t="shared" si="15"/>
        <v>1373.7400086801558</v>
      </c>
      <c r="P92" s="20">
        <f t="shared" si="15"/>
        <v>1399.7199374534182</v>
      </c>
      <c r="Q92" s="20">
        <f t="shared" si="15"/>
        <v>1477.9749989056179</v>
      </c>
      <c r="R92" s="20">
        <f t="shared" si="15"/>
        <v>1594.7588110067843</v>
      </c>
      <c r="S92" s="20">
        <f t="shared" si="15"/>
        <v>1648.2392055673163</v>
      </c>
      <c r="T92" s="20">
        <f t="shared" si="15"/>
        <v>1681.3499544976607</v>
      </c>
      <c r="U92" s="20">
        <f t="shared" si="15"/>
        <v>1711.0551127601359</v>
      </c>
      <c r="V92" s="20">
        <f t="shared" si="15"/>
        <v>2066.5774519172019</v>
      </c>
      <c r="W92" s="20">
        <f t="shared" si="15"/>
        <v>2090.8982819264734</v>
      </c>
      <c r="X92" s="20">
        <f t="shared" si="15"/>
        <v>2160.772142024246</v>
      </c>
      <c r="Y92" s="20">
        <f t="shared" si="15"/>
        <v>2237.4273655163893</v>
      </c>
      <c r="Z92" s="20">
        <f t="shared" si="15"/>
        <v>2320.1845963129826</v>
      </c>
      <c r="AA92" s="20">
        <f t="shared" si="15"/>
        <v>2408.2383378373524</v>
      </c>
      <c r="AB92" s="20">
        <f t="shared" si="15"/>
        <v>2500.6300074699416</v>
      </c>
      <c r="AC92" s="20">
        <f t="shared" si="15"/>
        <v>2596.2240562486863</v>
      </c>
      <c r="AD92" s="20">
        <f t="shared" si="15"/>
        <v>2693.6885031834822</v>
      </c>
      <c r="AE92" s="20">
        <f t="shared" si="15"/>
        <v>2791.4815399140475</v>
      </c>
      <c r="AF92" s="20">
        <f t="shared" si="15"/>
        <v>2887.9576526782353</v>
      </c>
      <c r="AG92" s="20">
        <f t="shared" si="15"/>
        <v>2981.7356986227819</v>
      </c>
      <c r="AH92" s="20">
        <f t="shared" si="15"/>
        <v>3071.4263027907373</v>
      </c>
      <c r="AI92" s="20">
        <f t="shared" si="15"/>
        <v>3155.5426150063695</v>
      </c>
      <c r="AJ92" s="20">
        <f t="shared" si="15"/>
        <v>3232.5210576311961</v>
      </c>
      <c r="AK92" s="20">
        <f t="shared" si="15"/>
        <v>3301.0013589547721</v>
      </c>
      <c r="AL92" s="20">
        <f t="shared" si="15"/>
        <v>3360.6549917888001</v>
      </c>
      <c r="AM92" s="20">
        <f t="shared" si="15"/>
        <v>3411.5064719203388</v>
      </c>
      <c r="AN92" s="20">
        <f t="shared" si="15"/>
        <v>3453.6845670554394</v>
      </c>
      <c r="AO92" s="20">
        <f t="shared" si="15"/>
        <v>3487.4139315387793</v>
      </c>
      <c r="AP92" s="20">
        <f t="shared" si="15"/>
        <v>3513.0055941731557</v>
      </c>
      <c r="AQ92" s="20">
        <f t="shared" si="15"/>
        <v>3530.8466576880091</v>
      </c>
      <c r="AR92" s="20">
        <f t="shared" si="15"/>
        <v>3541.3895531704948</v>
      </c>
      <c r="AS92" s="20">
        <f t="shared" si="15"/>
        <v>3545.1411677307801</v>
      </c>
      <c r="AT92" s="20">
        <f t="shared" si="15"/>
        <v>3542.6521311977249</v>
      </c>
      <c r="AU92" s="20">
        <f t="shared" si="15"/>
        <v>3534.5065100891547</v>
      </c>
      <c r="AV92" s="20">
        <f t="shared" si="15"/>
        <v>3521.3121167033187</v>
      </c>
      <c r="AW92" s="20">
        <f t="shared" si="15"/>
        <v>3503.6915999461926</v>
      </c>
      <c r="AX92" s="20">
        <f t="shared" si="15"/>
        <v>3482.2744441819341</v>
      </c>
      <c r="AY92" s="20">
        <f t="shared" si="15"/>
        <v>3457.6899643985344</v>
      </c>
      <c r="AZ92" s="20">
        <f t="shared" si="15"/>
        <v>3430.5613514258862</v>
      </c>
      <c r="BA92" s="20">
        <f t="shared" si="15"/>
        <v>3401.5007906251776</v>
      </c>
      <c r="BB92" s="20">
        <f t="shared" si="15"/>
        <v>3371.1056518951468</v>
      </c>
      <c r="BC92" s="20">
        <f t="shared" si="15"/>
        <v>3339.9557282666556</v>
      </c>
      <c r="BD92" s="20">
        <f t="shared" si="15"/>
        <v>3308.611484825245</v>
      </c>
      <c r="BE92" s="20">
        <f t="shared" si="15"/>
        <v>3277.6132690883055</v>
      </c>
      <c r="BF92" s="20">
        <f t="shared" si="15"/>
        <v>3247.4814280243604</v>
      </c>
      <c r="BG92" s="20">
        <f t="shared" si="15"/>
        <v>3218.7172753164791</v>
      </c>
      <c r="BH92" s="20">
        <f t="shared" si="15"/>
        <v>3191.804854885142</v>
      </c>
      <c r="BI92" s="21">
        <f t="shared" si="15"/>
        <v>3167.2134527457383</v>
      </c>
    </row>
    <row r="93" spans="1:61" x14ac:dyDescent="0.2">
      <c r="A93" s="114" t="s">
        <v>24</v>
      </c>
      <c r="B93" s="14"/>
      <c r="I93" s="20">
        <f>I42</f>
        <v>957.48912910180843</v>
      </c>
      <c r="J93" s="20">
        <f t="shared" ref="J93:BI93" si="16">J42</f>
        <v>1007.4847756088832</v>
      </c>
      <c r="K93" s="20">
        <f t="shared" si="16"/>
        <v>1190.6924414462044</v>
      </c>
      <c r="L93" s="20">
        <f t="shared" si="16"/>
        <v>1343.1889625419417</v>
      </c>
      <c r="M93" s="20">
        <f t="shared" si="16"/>
        <v>1386.1188711991374</v>
      </c>
      <c r="N93" s="20">
        <f t="shared" si="16"/>
        <v>1437.9007595991709</v>
      </c>
      <c r="O93" s="20">
        <f t="shared" si="16"/>
        <v>1504.0047055880304</v>
      </c>
      <c r="P93" s="20">
        <f t="shared" si="16"/>
        <v>1468.2394548218376</v>
      </c>
      <c r="Q93" s="20">
        <f t="shared" si="16"/>
        <v>1517.3701234262553</v>
      </c>
      <c r="R93" s="20">
        <f t="shared" si="16"/>
        <v>1697.1667887148062</v>
      </c>
      <c r="S93" s="20">
        <f t="shared" si="16"/>
        <v>1811.5369065308341</v>
      </c>
      <c r="T93" s="20">
        <f t="shared" si="16"/>
        <v>1821.7287125216355</v>
      </c>
      <c r="U93" s="20">
        <f t="shared" si="16"/>
        <v>1852.1517291354023</v>
      </c>
      <c r="V93" s="20">
        <f t="shared" si="16"/>
        <v>2167.5672054910888</v>
      </c>
      <c r="W93" s="20">
        <f t="shared" si="16"/>
        <v>2175.4614760435193</v>
      </c>
      <c r="X93" s="20">
        <f t="shared" si="16"/>
        <v>2252.6002717919946</v>
      </c>
      <c r="Y93" s="20">
        <f t="shared" si="16"/>
        <v>2336.9774955684106</v>
      </c>
      <c r="Z93" s="20">
        <f t="shared" si="16"/>
        <v>2427.9173091785183</v>
      </c>
      <c r="AA93" s="20">
        <f t="shared" si="16"/>
        <v>2524.6054489494404</v>
      </c>
      <c r="AB93" s="20">
        <f t="shared" si="16"/>
        <v>2626.0603472959519</v>
      </c>
      <c r="AC93" s="20">
        <f t="shared" si="16"/>
        <v>2731.1072281749439</v>
      </c>
      <c r="AD93" s="20">
        <f t="shared" si="16"/>
        <v>2838.3566423910434</v>
      </c>
      <c r="AE93" s="20">
        <f t="shared" si="16"/>
        <v>2946.1892416609958</v>
      </c>
      <c r="AF93" s="20">
        <f t="shared" si="16"/>
        <v>3052.8630099063307</v>
      </c>
      <c r="AG93" s="20">
        <f t="shared" si="16"/>
        <v>3156.8903248396632</v>
      </c>
      <c r="AH93" s="20">
        <f t="shared" si="16"/>
        <v>3256.7611474823102</v>
      </c>
      <c r="AI93" s="20">
        <f t="shared" si="16"/>
        <v>3350.8523875650849</v>
      </c>
      <c r="AJ93" s="20">
        <f t="shared" si="16"/>
        <v>3437.4500493317751</v>
      </c>
      <c r="AK93" s="20">
        <f t="shared" si="16"/>
        <v>3515.0516619054274</v>
      </c>
      <c r="AL93" s="20">
        <f t="shared" si="16"/>
        <v>3583.264167369493</v>
      </c>
      <c r="AM93" s="20">
        <f t="shared" si="16"/>
        <v>3642.0767081450826</v>
      </c>
      <c r="AN93" s="20">
        <f t="shared" si="16"/>
        <v>3691.5932879951133</v>
      </c>
      <c r="AO93" s="20">
        <f t="shared" si="16"/>
        <v>3732.0242226211617</v>
      </c>
      <c r="AP93" s="20">
        <f t="shared" si="16"/>
        <v>3763.6762345921029</v>
      </c>
      <c r="AQ93" s="20">
        <f t="shared" si="16"/>
        <v>3786.9415849603979</v>
      </c>
      <c r="AR93" s="20">
        <f t="shared" si="16"/>
        <v>3802.2866207652601</v>
      </c>
      <c r="AS93" s="20">
        <f t="shared" si="16"/>
        <v>3810.2400930469585</v>
      </c>
      <c r="AT93" s="20">
        <f t="shared" si="16"/>
        <v>3811.3815665926954</v>
      </c>
      <c r="AU93" s="20">
        <f t="shared" si="16"/>
        <v>3806.3302030139616</v>
      </c>
      <c r="AV93" s="20">
        <f t="shared" si="16"/>
        <v>3795.734155414827</v>
      </c>
      <c r="AW93" s="20">
        <f t="shared" si="16"/>
        <v>3780.2607681331265</v>
      </c>
      <c r="AX93" s="20">
        <f t="shared" si="16"/>
        <v>3760.5877308121453</v>
      </c>
      <c r="AY93" s="20">
        <f t="shared" si="16"/>
        <v>3737.3952940475897</v>
      </c>
      <c r="AZ93" s="20">
        <f t="shared" si="16"/>
        <v>3711.3596153582521</v>
      </c>
      <c r="BA93" s="20">
        <f t="shared" si="16"/>
        <v>3683.1472702090919</v>
      </c>
      <c r="BB93" s="20">
        <f t="shared" si="16"/>
        <v>3653.4109339068946</v>
      </c>
      <c r="BC93" s="20">
        <f t="shared" si="16"/>
        <v>3622.7862167393955</v>
      </c>
      <c r="BD93" s="20">
        <f t="shared" si="16"/>
        <v>3591.8896168448719</v>
      </c>
      <c r="BE93" s="20">
        <f t="shared" si="16"/>
        <v>3561.3175428914424</v>
      </c>
      <c r="BF93" s="20">
        <f t="shared" si="16"/>
        <v>3531.6463514871716</v>
      </c>
      <c r="BG93" s="20">
        <f t="shared" si="16"/>
        <v>3503.4333420109765</v>
      </c>
      <c r="BH93" s="20">
        <f t="shared" si="16"/>
        <v>3477.2186538892115</v>
      </c>
      <c r="BI93" s="21">
        <f t="shared" si="16"/>
        <v>3453.5280178778298</v>
      </c>
    </row>
    <row r="94" spans="1:61" x14ac:dyDescent="0.2">
      <c r="A94" s="114" t="s">
        <v>25</v>
      </c>
      <c r="B94" s="14"/>
      <c r="I94" s="20">
        <f>I43</f>
        <v>636.84917179891238</v>
      </c>
      <c r="J94" s="20">
        <f t="shared" ref="J94:BI94" si="17">J43</f>
        <v>682.17640383462935</v>
      </c>
      <c r="K94" s="20">
        <f t="shared" si="17"/>
        <v>798.94066636712569</v>
      </c>
      <c r="L94" s="20">
        <f t="shared" si="17"/>
        <v>919.68852177451481</v>
      </c>
      <c r="M94" s="20">
        <f t="shared" si="17"/>
        <v>953.46054365731106</v>
      </c>
      <c r="N94" s="20">
        <f t="shared" si="17"/>
        <v>982.73916071012547</v>
      </c>
      <c r="O94" s="20">
        <f t="shared" si="17"/>
        <v>1007.190217386193</v>
      </c>
      <c r="P94" s="20">
        <f t="shared" si="17"/>
        <v>988.01686580060073</v>
      </c>
      <c r="Q94" s="20">
        <f t="shared" si="17"/>
        <v>1028.7917095739863</v>
      </c>
      <c r="R94" s="20">
        <f t="shared" si="17"/>
        <v>1164.2331935578331</v>
      </c>
      <c r="S94" s="20">
        <f t="shared" si="17"/>
        <v>1285.5808657429811</v>
      </c>
      <c r="T94" s="20">
        <f t="shared" si="17"/>
        <v>1325.0409909702028</v>
      </c>
      <c r="U94" s="20">
        <f t="shared" si="17"/>
        <v>1362.5508537800022</v>
      </c>
      <c r="V94" s="20">
        <f t="shared" si="17"/>
        <v>1597.4262241195795</v>
      </c>
      <c r="W94" s="20">
        <f t="shared" si="17"/>
        <v>1681.134442521691</v>
      </c>
      <c r="X94" s="20">
        <f t="shared" si="17"/>
        <v>1776.5611107090499</v>
      </c>
      <c r="Y94" s="20">
        <f t="shared" si="17"/>
        <v>1879.8676138324595</v>
      </c>
      <c r="Z94" s="20">
        <f t="shared" si="17"/>
        <v>1990.8166037574081</v>
      </c>
      <c r="AA94" s="20">
        <f t="shared" si="17"/>
        <v>2109.0145665538648</v>
      </c>
      <c r="AB94" s="20">
        <f t="shared" si="17"/>
        <v>2233.8793063991384</v>
      </c>
      <c r="AC94" s="20">
        <f t="shared" si="17"/>
        <v>2364.6076751925862</v>
      </c>
      <c r="AD94" s="20">
        <f t="shared" si="17"/>
        <v>2500.1450893525257</v>
      </c>
      <c r="AE94" s="20">
        <f t="shared" si="17"/>
        <v>2639.1587923558832</v>
      </c>
      <c r="AF94" s="20">
        <f t="shared" si="17"/>
        <v>2780.0859251622437</v>
      </c>
      <c r="AG94" s="20">
        <f t="shared" si="17"/>
        <v>2921.3556787445891</v>
      </c>
      <c r="AH94" s="20">
        <f t="shared" si="17"/>
        <v>3061.2305398687072</v>
      </c>
      <c r="AI94" s="20">
        <f t="shared" si="17"/>
        <v>3197.7527963762077</v>
      </c>
      <c r="AJ94" s="20">
        <f t="shared" si="17"/>
        <v>3328.7628107033242</v>
      </c>
      <c r="AK94" s="20">
        <f t="shared" si="17"/>
        <v>3452.2354977656169</v>
      </c>
      <c r="AL94" s="20">
        <f t="shared" si="17"/>
        <v>3567.3239482968511</v>
      </c>
      <c r="AM94" s="20">
        <f t="shared" si="17"/>
        <v>3673.6083340666796</v>
      </c>
      <c r="AN94" s="20">
        <f t="shared" si="17"/>
        <v>3770.8123007418512</v>
      </c>
      <c r="AO94" s="20">
        <f t="shared" si="17"/>
        <v>3858.8005719003563</v>
      </c>
      <c r="AP94" s="20">
        <f t="shared" si="17"/>
        <v>3937.5737699987667</v>
      </c>
      <c r="AQ94" s="20">
        <f t="shared" si="17"/>
        <v>4007.2608813907987</v>
      </c>
      <c r="AR94" s="20">
        <f t="shared" si="17"/>
        <v>4068.1098283691399</v>
      </c>
      <c r="AS94" s="20">
        <f t="shared" si="17"/>
        <v>4120.4766253805028</v>
      </c>
      <c r="AT94" s="20">
        <f t="shared" si="17"/>
        <v>4164.8135914531485</v>
      </c>
      <c r="AU94" s="20">
        <f t="shared" si="17"/>
        <v>4201.6570695110859</v>
      </c>
      <c r="AV94" s="20">
        <f t="shared" si="17"/>
        <v>4231.6150690304121</v>
      </c>
      <c r="AW94" s="20">
        <f t="shared" si="17"/>
        <v>4255.3552049433229</v>
      </c>
      <c r="AX94" s="20">
        <f t="shared" si="17"/>
        <v>4273.5932562550079</v>
      </c>
      <c r="AY94" s="20">
        <f t="shared" si="17"/>
        <v>4287.0826157067777</v>
      </c>
      <c r="AZ94" s="20">
        <f t="shared" si="17"/>
        <v>4296.6048498358896</v>
      </c>
      <c r="BA94" s="20">
        <f t="shared" si="17"/>
        <v>4302.9615393592167</v>
      </c>
      <c r="BB94" s="20">
        <f t="shared" si="17"/>
        <v>4306.9675248997128</v>
      </c>
      <c r="BC94" s="20">
        <f t="shared" si="17"/>
        <v>4309.4456441812054</v>
      </c>
      <c r="BD94" s="20">
        <f t="shared" si="17"/>
        <v>4311.2230150242867</v>
      </c>
      <c r="BE94" s="20">
        <f t="shared" si="17"/>
        <v>4313.128894504649</v>
      </c>
      <c r="BF94" s="20">
        <f t="shared" si="17"/>
        <v>4315.9941289199705</v>
      </c>
      <c r="BG94" s="20">
        <f t="shared" si="17"/>
        <v>4320.6522019757413</v>
      </c>
      <c r="BH94" s="20">
        <f t="shared" si="17"/>
        <v>4327.9418899492111</v>
      </c>
      <c r="BI94" s="21">
        <f t="shared" si="17"/>
        <v>4338.7115425962429</v>
      </c>
    </row>
    <row r="95" spans="1:61" x14ac:dyDescent="0.2">
      <c r="A95" s="114" t="s">
        <v>26</v>
      </c>
      <c r="B95" s="14"/>
      <c r="I95" s="20">
        <f>I44+I45</f>
        <v>1623.8018058106015</v>
      </c>
      <c r="J95" s="20">
        <f t="shared" ref="J95:BI95" si="18">J44+J45</f>
        <v>1822.4951609926225</v>
      </c>
      <c r="K95" s="20">
        <f t="shared" si="18"/>
        <v>2166.298644952557</v>
      </c>
      <c r="L95" s="20">
        <f t="shared" si="18"/>
        <v>2331.3408392066517</v>
      </c>
      <c r="M95" s="20">
        <f t="shared" si="18"/>
        <v>2383.0435220231129</v>
      </c>
      <c r="N95" s="20">
        <f t="shared" si="18"/>
        <v>2540.8630589329832</v>
      </c>
      <c r="O95" s="20">
        <f t="shared" si="18"/>
        <v>2728.838438356292</v>
      </c>
      <c r="P95" s="20">
        <f t="shared" si="18"/>
        <v>2762.9644114695907</v>
      </c>
      <c r="Q95" s="20">
        <f t="shared" si="18"/>
        <v>3032.1263849062357</v>
      </c>
      <c r="R95" s="20">
        <f t="shared" si="18"/>
        <v>3401.7294408571947</v>
      </c>
      <c r="S95" s="20">
        <f t="shared" si="18"/>
        <v>3556.0155065145791</v>
      </c>
      <c r="T95" s="20">
        <f t="shared" si="18"/>
        <v>3532.2470339744173</v>
      </c>
      <c r="U95" s="20">
        <f t="shared" si="18"/>
        <v>3588.8015752326332</v>
      </c>
      <c r="V95" s="20">
        <f t="shared" si="18"/>
        <v>3965.5598401128746</v>
      </c>
      <c r="W95" s="20">
        <f t="shared" si="18"/>
        <v>4247.4403854669345</v>
      </c>
      <c r="X95" s="20">
        <f t="shared" si="18"/>
        <v>4382.6990174524353</v>
      </c>
      <c r="Y95" s="20">
        <f t="shared" si="18"/>
        <v>4531.5810773031535</v>
      </c>
      <c r="Z95" s="20">
        <f t="shared" si="18"/>
        <v>4692.6611317969091</v>
      </c>
      <c r="AA95" s="20">
        <f t="shared" si="18"/>
        <v>4864.2696995592769</v>
      </c>
      <c r="AB95" s="20">
        <f t="shared" si="18"/>
        <v>5044.4392032550095</v>
      </c>
      <c r="AC95" s="20">
        <f t="shared" si="18"/>
        <v>5230.8564625516701</v>
      </c>
      <c r="AD95" s="20">
        <f t="shared" si="18"/>
        <v>5420.8243607337545</v>
      </c>
      <c r="AE95" s="20">
        <f t="shared" si="18"/>
        <v>5611.2359267447746</v>
      </c>
      <c r="AF95" s="20">
        <f t="shared" si="18"/>
        <v>5798.7934735010413</v>
      </c>
      <c r="AG95" s="20">
        <f t="shared" si="18"/>
        <v>5980.7623920213937</v>
      </c>
      <c r="AH95" s="20">
        <f t="shared" si="18"/>
        <v>6154.4074015235174</v>
      </c>
      <c r="AI95" s="20">
        <f t="shared" si="18"/>
        <v>6316.8079597814431</v>
      </c>
      <c r="AJ95" s="20">
        <f t="shared" si="18"/>
        <v>6464.8993293369203</v>
      </c>
      <c r="AK95" s="20">
        <f t="shared" si="18"/>
        <v>6596.0267235591773</v>
      </c>
      <c r="AL95" s="20">
        <f t="shared" si="18"/>
        <v>6709.5819189380836</v>
      </c>
      <c r="AM95" s="20">
        <f t="shared" si="18"/>
        <v>6805.6535333049051</v>
      </c>
      <c r="AN95" s="20">
        <f t="shared" si="18"/>
        <v>6884.5332045772147</v>
      </c>
      <c r="AO95" s="20">
        <f t="shared" si="18"/>
        <v>6946.6986862692411</v>
      </c>
      <c r="AP95" s="20">
        <f t="shared" si="18"/>
        <v>6992.794794464462</v>
      </c>
      <c r="AQ95" s="20">
        <f t="shared" si="18"/>
        <v>7023.6129053981686</v>
      </c>
      <c r="AR95" s="20">
        <f t="shared" si="18"/>
        <v>7040.0696704084239</v>
      </c>
      <c r="AS95" s="20">
        <f t="shared" si="18"/>
        <v>7043.1855640387303</v>
      </c>
      <c r="AT95" s="20">
        <f t="shared" si="18"/>
        <v>7034.0638161314482</v>
      </c>
      <c r="AU95" s="20">
        <f t="shared" si="18"/>
        <v>7013.8702044041993</v>
      </c>
      <c r="AV95" s="20">
        <f t="shared" si="18"/>
        <v>6983.8141045482853</v>
      </c>
      <c r="AW95" s="20">
        <f t="shared" si="18"/>
        <v>6945.1311141934839</v>
      </c>
      <c r="AX95" s="20">
        <f t="shared" si="18"/>
        <v>6899.0674884721257</v>
      </c>
      <c r="AY95" s="20">
        <f t="shared" si="18"/>
        <v>6846.8665511018262</v>
      </c>
      <c r="AZ95" s="20">
        <f t="shared" si="18"/>
        <v>6789.7571779902937</v>
      </c>
      <c r="BA95" s="20">
        <f t="shared" si="18"/>
        <v>6728.9443918377201</v>
      </c>
      <c r="BB95" s="20">
        <f t="shared" si="18"/>
        <v>6665.6020570104283</v>
      </c>
      <c r="BC95" s="20">
        <f t="shared" si="18"/>
        <v>6600.8676245351444</v>
      </c>
      <c r="BD95" s="20">
        <f t="shared" si="18"/>
        <v>6535.8388474610883</v>
      </c>
      <c r="BE95" s="20">
        <f t="shared" si="18"/>
        <v>6471.5723667834054</v>
      </c>
      <c r="BF95" s="20">
        <f t="shared" si="18"/>
        <v>6409.0840571175222</v>
      </c>
      <c r="BG95" s="20">
        <f t="shared" si="18"/>
        <v>6349.3510187128668</v>
      </c>
      <c r="BH95" s="20">
        <f t="shared" si="18"/>
        <v>6293.3151074919388</v>
      </c>
      <c r="BI95" s="21">
        <f t="shared" si="18"/>
        <v>6241.8879068970546</v>
      </c>
    </row>
    <row r="96" spans="1:61" x14ac:dyDescent="0.2">
      <c r="A96" s="114" t="s">
        <v>27</v>
      </c>
      <c r="B96" s="14"/>
      <c r="I96" s="20">
        <f>I46</f>
        <v>1217.5195160253679</v>
      </c>
      <c r="J96" s="20">
        <f t="shared" ref="J96:BI96" si="19">J46</f>
        <v>1292.6341207581518</v>
      </c>
      <c r="K96" s="20">
        <f t="shared" si="19"/>
        <v>1490.0363414785679</v>
      </c>
      <c r="L96" s="20">
        <f t="shared" si="19"/>
        <v>1639.350314270589</v>
      </c>
      <c r="M96" s="20">
        <f t="shared" si="19"/>
        <v>1712.0343556535668</v>
      </c>
      <c r="N96" s="20">
        <f t="shared" si="19"/>
        <v>1803.6398418356748</v>
      </c>
      <c r="O96" s="20">
        <f t="shared" si="19"/>
        <v>1891.7453428330407</v>
      </c>
      <c r="P96" s="20">
        <f t="shared" si="19"/>
        <v>1925.726984191494</v>
      </c>
      <c r="Q96" s="20">
        <f t="shared" si="19"/>
        <v>2039.0277316223494</v>
      </c>
      <c r="R96" s="20">
        <f t="shared" si="19"/>
        <v>2282.7007277873363</v>
      </c>
      <c r="S96" s="20">
        <f t="shared" si="19"/>
        <v>2438.8021860920107</v>
      </c>
      <c r="T96" s="20">
        <f t="shared" si="19"/>
        <v>2603.0134076603781</v>
      </c>
      <c r="U96" s="20">
        <f t="shared" si="19"/>
        <v>2742.170325969631</v>
      </c>
      <c r="V96" s="20">
        <f t="shared" si="19"/>
        <v>3334.778314369561</v>
      </c>
      <c r="W96" s="20">
        <f t="shared" si="19"/>
        <v>3790.6958165959172</v>
      </c>
      <c r="X96" s="20">
        <f t="shared" si="19"/>
        <v>4088.1442982934323</v>
      </c>
      <c r="Y96" s="20">
        <f t="shared" si="19"/>
        <v>4412.0456855431557</v>
      </c>
      <c r="Z96" s="20">
        <f t="shared" si="19"/>
        <v>4762.8125577824121</v>
      </c>
      <c r="AA96" s="20">
        <f t="shared" si="19"/>
        <v>5140.4351634753848</v>
      </c>
      <c r="AB96" s="20">
        <f t="shared" si="19"/>
        <v>5544.3723546967431</v>
      </c>
      <c r="AC96" s="20">
        <f t="shared" si="19"/>
        <v>5973.4358267473963</v>
      </c>
      <c r="AD96" s="20">
        <f t="shared" si="19"/>
        <v>6425.6716016894061</v>
      </c>
      <c r="AE96" s="20">
        <f t="shared" si="19"/>
        <v>6898.2441649139946</v>
      </c>
      <c r="AF96" s="20">
        <f t="shared" si="19"/>
        <v>7387.4201678704376</v>
      </c>
      <c r="AG96" s="20">
        <f t="shared" si="19"/>
        <v>7888.7989230457215</v>
      </c>
      <c r="AH96" s="20">
        <f t="shared" si="19"/>
        <v>8397.069607176154</v>
      </c>
      <c r="AI96" s="20">
        <f t="shared" si="19"/>
        <v>8905.9106695270821</v>
      </c>
      <c r="AJ96" s="20">
        <f t="shared" si="19"/>
        <v>9408.0055353546359</v>
      </c>
      <c r="AK96" s="20">
        <f t="shared" si="19"/>
        <v>9896.0945473411102</v>
      </c>
      <c r="AL96" s="20">
        <f t="shared" si="19"/>
        <v>10366.433924921792</v>
      </c>
      <c r="AM96" s="20">
        <f t="shared" si="19"/>
        <v>10816.578404268779</v>
      </c>
      <c r="AN96" s="20">
        <f t="shared" si="19"/>
        <v>11244.524282026541</v>
      </c>
      <c r="AO96" s="20">
        <f t="shared" si="19"/>
        <v>11648.731373900166</v>
      </c>
      <c r="AP96" s="20">
        <f t="shared" si="19"/>
        <v>12028.13318061372</v>
      </c>
      <c r="AQ96" s="20">
        <f t="shared" si="19"/>
        <v>12382.136136141358</v>
      </c>
      <c r="AR96" s="20">
        <f t="shared" si="19"/>
        <v>12710.609139672766</v>
      </c>
      <c r="AS96" s="20">
        <f t="shared" si="19"/>
        <v>13013.864814078383</v>
      </c>
      <c r="AT96" s="20">
        <f t="shared" si="19"/>
        <v>13292.634090060941</v>
      </c>
      <c r="AU96" s="20">
        <f t="shared" si="19"/>
        <v>13548.035791802928</v>
      </c>
      <c r="AV96" s="20">
        <f t="shared" si="19"/>
        <v>13781.542905534892</v>
      </c>
      <c r="AW96" s="20">
        <f t="shared" si="19"/>
        <v>13994.947158445835</v>
      </c>
      <c r="AX96" s="20">
        <f t="shared" si="19"/>
        <v>14190.323434695369</v>
      </c>
      <c r="AY96" s="20">
        <f t="shared" si="19"/>
        <v>14369.995421507681</v>
      </c>
      <c r="AZ96" s="20">
        <f t="shared" si="19"/>
        <v>14536.503724797898</v>
      </c>
      <c r="BA96" s="20">
        <f t="shared" si="19"/>
        <v>14692.57753304204</v>
      </c>
      <c r="BB96" s="20">
        <f t="shared" si="19"/>
        <v>14841.110751470471</v>
      </c>
      <c r="BC96" s="20">
        <f t="shared" si="19"/>
        <v>14985.143386001815</v>
      </c>
      <c r="BD96" s="20">
        <f t="shared" si="19"/>
        <v>15127.84883598956</v>
      </c>
      <c r="BE96" s="20">
        <f t="shared" si="19"/>
        <v>15272.527663759365</v>
      </c>
      <c r="BF96" s="20">
        <f t="shared" si="19"/>
        <v>15422.6083528417</v>
      </c>
      <c r="BG96" s="20">
        <f t="shared" si="19"/>
        <v>15581.655550655645</v>
      </c>
      <c r="BH96" s="20">
        <f t="shared" si="19"/>
        <v>15753.386319681031</v>
      </c>
      <c r="BI96" s="21">
        <f t="shared" si="19"/>
        <v>15941.69499844382</v>
      </c>
    </row>
    <row r="97" spans="1:61" x14ac:dyDescent="0.2">
      <c r="A97" s="114" t="s">
        <v>28</v>
      </c>
      <c r="B97" s="14"/>
      <c r="I97" s="20">
        <f>I47</f>
        <v>1706.6024804589906</v>
      </c>
      <c r="J97" s="20">
        <f t="shared" ref="J97:BI97" si="20">J47</f>
        <v>1703.5010482581254</v>
      </c>
      <c r="K97" s="20">
        <f t="shared" si="20"/>
        <v>1933.8707410286615</v>
      </c>
      <c r="L97" s="20">
        <f t="shared" si="20"/>
        <v>2153.675657808727</v>
      </c>
      <c r="M97" s="20">
        <f t="shared" si="20"/>
        <v>2298.3702505757124</v>
      </c>
      <c r="N97" s="20">
        <f t="shared" si="20"/>
        <v>2430.0821452448795</v>
      </c>
      <c r="O97" s="20">
        <f t="shared" si="20"/>
        <v>2614.0226283800762</v>
      </c>
      <c r="P97" s="20">
        <f t="shared" si="20"/>
        <v>2740.3367900106496</v>
      </c>
      <c r="Q97" s="20">
        <f t="shared" si="20"/>
        <v>2941.6791661197531</v>
      </c>
      <c r="R97" s="20">
        <f t="shared" si="20"/>
        <v>3388.5062004678171</v>
      </c>
      <c r="S97" s="20">
        <f t="shared" si="20"/>
        <v>3815.9156485707945</v>
      </c>
      <c r="T97" s="20">
        <f t="shared" si="20"/>
        <v>4021.3431733748421</v>
      </c>
      <c r="U97" s="20">
        <f t="shared" si="20"/>
        <v>4189.6426485802067</v>
      </c>
      <c r="V97" s="20">
        <f t="shared" si="20"/>
        <v>5047.07826989772</v>
      </c>
      <c r="W97" s="20">
        <f t="shared" si="20"/>
        <v>5516.6342563589078</v>
      </c>
      <c r="X97" s="20">
        <f t="shared" si="20"/>
        <v>6046.4754655460074</v>
      </c>
      <c r="Y97" s="20">
        <f t="shared" si="20"/>
        <v>6595.9801879881443</v>
      </c>
      <c r="Z97" s="20">
        <f t="shared" si="20"/>
        <v>7166.0679859063412</v>
      </c>
      <c r="AA97" s="20">
        <f t="shared" si="20"/>
        <v>7758.5869105313168</v>
      </c>
      <c r="AB97" s="20">
        <f t="shared" si="20"/>
        <v>8376.4509181797512</v>
      </c>
      <c r="AC97" s="20">
        <f t="shared" si="20"/>
        <v>9023.785634162592</v>
      </c>
      <c r="AD97" s="20">
        <f t="shared" si="20"/>
        <v>9706.0915695430158</v>
      </c>
      <c r="AE97" s="20">
        <f t="shared" si="20"/>
        <v>10430.43644087873</v>
      </c>
      <c r="AF97" s="20">
        <f t="shared" si="20"/>
        <v>11203.17097235178</v>
      </c>
      <c r="AG97" s="20">
        <f t="shared" si="20"/>
        <v>12021.177025739806</v>
      </c>
      <c r="AH97" s="20">
        <f t="shared" si="20"/>
        <v>12876.86200637227</v>
      </c>
      <c r="AI97" s="20">
        <f t="shared" si="20"/>
        <v>13760.036462695696</v>
      </c>
      <c r="AJ97" s="20">
        <f t="shared" si="20"/>
        <v>14657.675270701782</v>
      </c>
      <c r="AK97" s="20">
        <f t="shared" si="20"/>
        <v>15556.108882443077</v>
      </c>
      <c r="AL97" s="20">
        <f t="shared" si="20"/>
        <v>16449.068807158597</v>
      </c>
      <c r="AM97" s="20">
        <f t="shared" si="20"/>
        <v>17332.657194208954</v>
      </c>
      <c r="AN97" s="20">
        <f t="shared" si="20"/>
        <v>18203.357056736713</v>
      </c>
      <c r="AO97" s="20">
        <f t="shared" si="20"/>
        <v>19058.089423958874</v>
      </c>
      <c r="AP97" s="20">
        <f t="shared" si="20"/>
        <v>19894.259929821634</v>
      </c>
      <c r="AQ97" s="20">
        <f t="shared" si="20"/>
        <v>20709.794666978101</v>
      </c>
      <c r="AR97" s="20">
        <f t="shared" si="20"/>
        <v>21503.165527425681</v>
      </c>
      <c r="AS97" s="20">
        <f t="shared" si="20"/>
        <v>22273.405601713217</v>
      </c>
      <c r="AT97" s="20">
        <f t="shared" si="20"/>
        <v>23020.11550859797</v>
      </c>
      <c r="AU97" s="20">
        <f t="shared" si="20"/>
        <v>23743.461771405862</v>
      </c>
      <c r="AV97" s="20">
        <f t="shared" si="20"/>
        <v>24444.168544670571</v>
      </c>
      <c r="AW97" s="20">
        <f t="shared" si="20"/>
        <v>25123.504126645217</v>
      </c>
      <c r="AX97" s="20">
        <f t="shared" si="20"/>
        <v>25783.263774423958</v>
      </c>
      <c r="AY97" s="20">
        <f t="shared" si="20"/>
        <v>26425.750375240568</v>
      </c>
      <c r="AZ97" s="20">
        <f t="shared" si="20"/>
        <v>27053.754528183468</v>
      </c>
      <c r="BA97" s="20">
        <f t="shared" si="20"/>
        <v>27670.535564287373</v>
      </c>
      <c r="BB97" s="20">
        <f t="shared" si="20"/>
        <v>28279.804989531331</v>
      </c>
      <c r="BC97" s="20">
        <f t="shared" si="20"/>
        <v>28885.713784725973</v>
      </c>
      <c r="BD97" s="20">
        <f t="shared" si="20"/>
        <v>29492.844948614977</v>
      </c>
      <c r="BE97" s="20">
        <f t="shared" si="20"/>
        <v>30106.212635551434</v>
      </c>
      <c r="BF97" s="20">
        <f t="shared" si="20"/>
        <v>30731.269226467375</v>
      </c>
      <c r="BG97" s="20">
        <f t="shared" si="20"/>
        <v>31373.921690997107</v>
      </c>
      <c r="BH97" s="20">
        <f t="shared" si="20"/>
        <v>32040.558659144212</v>
      </c>
      <c r="BI97" s="21">
        <f t="shared" si="20"/>
        <v>32738.089732770266</v>
      </c>
    </row>
    <row r="98" spans="1:61" x14ac:dyDescent="0.2">
      <c r="A98" s="114" t="s">
        <v>29</v>
      </c>
      <c r="B98" s="14"/>
      <c r="I98" s="20">
        <f>I48</f>
        <v>174.94890796108089</v>
      </c>
      <c r="J98" s="20">
        <f t="shared" ref="J98:BI98" si="21">J48</f>
        <v>169.15820543043426</v>
      </c>
      <c r="K98" s="20">
        <f t="shared" si="21"/>
        <v>196.46933500099175</v>
      </c>
      <c r="L98" s="20">
        <f t="shared" si="21"/>
        <v>219.55529259720151</v>
      </c>
      <c r="M98" s="20">
        <f t="shared" si="21"/>
        <v>235.35118038279785</v>
      </c>
      <c r="N98" s="20">
        <f t="shared" si="21"/>
        <v>249.50909097016776</v>
      </c>
      <c r="O98" s="20">
        <f t="shared" si="21"/>
        <v>261.69729116037337</v>
      </c>
      <c r="P98" s="20">
        <f t="shared" si="21"/>
        <v>261.68098067397437</v>
      </c>
      <c r="Q98" s="20">
        <f t="shared" si="21"/>
        <v>279.37539782966684</v>
      </c>
      <c r="R98" s="20">
        <f t="shared" si="21"/>
        <v>318.13496199016924</v>
      </c>
      <c r="S98" s="20">
        <f t="shared" si="21"/>
        <v>336.40604594488298</v>
      </c>
      <c r="T98" s="20">
        <f t="shared" si="21"/>
        <v>358.40848198921412</v>
      </c>
      <c r="U98" s="20">
        <f t="shared" si="21"/>
        <v>358.49983471901351</v>
      </c>
      <c r="V98" s="20">
        <f t="shared" si="21"/>
        <v>418.05813758237923</v>
      </c>
      <c r="W98" s="20">
        <f t="shared" si="21"/>
        <v>444.2119594191438</v>
      </c>
      <c r="X98" s="20">
        <f t="shared" si="21"/>
        <v>472.71393545947524</v>
      </c>
      <c r="Y98" s="20">
        <f t="shared" si="21"/>
        <v>501.74496920943517</v>
      </c>
      <c r="Z98" s="20">
        <f t="shared" si="21"/>
        <v>531.34901433936489</v>
      </c>
      <c r="AA98" s="20">
        <f t="shared" si="21"/>
        <v>561.59693859809659</v>
      </c>
      <c r="AB98" s="20">
        <f t="shared" si="21"/>
        <v>592.58868179763761</v>
      </c>
      <c r="AC98" s="20">
        <f t="shared" si="21"/>
        <v>624.45552128338647</v>
      </c>
      <c r="AD98" s="20">
        <f t="shared" si="21"/>
        <v>657.36257129707951</v>
      </c>
      <c r="AE98" s="20">
        <f t="shared" si="21"/>
        <v>691.51166319260926</v>
      </c>
      <c r="AF98" s="20">
        <f t="shared" si="21"/>
        <v>727.0363550217553</v>
      </c>
      <c r="AG98" s="20">
        <f t="shared" si="21"/>
        <v>763.63670487764875</v>
      </c>
      <c r="AH98" s="20">
        <f t="shared" si="21"/>
        <v>800.8270168648329</v>
      </c>
      <c r="AI98" s="20">
        <f t="shared" si="21"/>
        <v>838.02909630941269</v>
      </c>
      <c r="AJ98" s="20">
        <f t="shared" si="21"/>
        <v>874.57114638286737</v>
      </c>
      <c r="AK98" s="20">
        <f t="shared" si="21"/>
        <v>909.80345206096774</v>
      </c>
      <c r="AL98" s="20">
        <f t="shared" si="21"/>
        <v>943.47671662149924</v>
      </c>
      <c r="AM98" s="20">
        <f t="shared" si="21"/>
        <v>975.47077929705802</v>
      </c>
      <c r="AN98" s="20">
        <f t="shared" si="21"/>
        <v>1005.692269792554</v>
      </c>
      <c r="AO98" s="20">
        <f t="shared" si="21"/>
        <v>1034.0749768216563</v>
      </c>
      <c r="AP98" s="20">
        <f t="shared" si="21"/>
        <v>1060.5797107999401</v>
      </c>
      <c r="AQ98" s="20">
        <f t="shared" si="21"/>
        <v>1085.1937117551518</v>
      </c>
      <c r="AR98" s="20">
        <f t="shared" si="21"/>
        <v>1107.9296624820086</v>
      </c>
      <c r="AS98" s="20">
        <f t="shared" si="21"/>
        <v>1128.8243730437075</v>
      </c>
      <c r="AT98" s="20">
        <f t="shared" si="21"/>
        <v>1147.9372060444935</v>
      </c>
      <c r="AU98" s="20">
        <f t="shared" si="21"/>
        <v>1165.3483129123531</v>
      </c>
      <c r="AV98" s="20">
        <f t="shared" si="21"/>
        <v>1181.156750062192</v>
      </c>
      <c r="AW98" s="20">
        <f t="shared" si="21"/>
        <v>1195.4785406334524</v>
      </c>
      <c r="AX98" s="20">
        <f t="shared" si="21"/>
        <v>1208.4447429156232</v>
      </c>
      <c r="AY98" s="20">
        <f t="shared" si="21"/>
        <v>1220.1995809992407</v>
      </c>
      <c r="AZ98" s="20">
        <f t="shared" si="21"/>
        <v>1230.8986870149777</v>
      </c>
      <c r="BA98" s="20">
        <f t="shared" si="21"/>
        <v>1240.7074979185527</v>
      </c>
      <c r="BB98" s="20">
        <f t="shared" si="21"/>
        <v>1249.7998434775479</v>
      </c>
      <c r="BC98" s="20">
        <f t="shared" si="21"/>
        <v>1258.3567562078299</v>
      </c>
      <c r="BD98" s="20">
        <f t="shared" si="21"/>
        <v>1266.565528739183</v>
      </c>
      <c r="BE98" s="20">
        <f t="shared" si="21"/>
        <v>1274.6190396649724</v>
      </c>
      <c r="BF98" s="20">
        <f t="shared" si="21"/>
        <v>1282.7153655146426</v>
      </c>
      <c r="BG98" s="20">
        <f t="shared" si="21"/>
        <v>1291.057694213554</v>
      </c>
      <c r="BH98" s="20">
        <f t="shared" si="21"/>
        <v>1299.8545543714499</v>
      </c>
      <c r="BI98" s="21">
        <f t="shared" si="21"/>
        <v>1309.3203750641617</v>
      </c>
    </row>
    <row r="99" spans="1:61" x14ac:dyDescent="0.2">
      <c r="A99" s="114" t="s">
        <v>30</v>
      </c>
      <c r="B99" s="14"/>
      <c r="I99" s="20">
        <f>I49+I50</f>
        <v>111.46028951314003</v>
      </c>
      <c r="J99" s="20">
        <f t="shared" ref="J99:BI99" si="22">J49+J50</f>
        <v>120.30787133937859</v>
      </c>
      <c r="K99" s="20">
        <f t="shared" si="22"/>
        <v>141.43053509268847</v>
      </c>
      <c r="L99" s="20">
        <f t="shared" si="22"/>
        <v>159.98361785708192</v>
      </c>
      <c r="M99" s="20">
        <f t="shared" si="22"/>
        <v>167.95873433969678</v>
      </c>
      <c r="N99" s="20">
        <f t="shared" si="22"/>
        <v>172.05530032135397</v>
      </c>
      <c r="O99" s="20">
        <f t="shared" si="22"/>
        <v>181.9600660386933</v>
      </c>
      <c r="P99" s="20">
        <f t="shared" si="22"/>
        <v>194.94534916622629</v>
      </c>
      <c r="Q99" s="20">
        <f t="shared" si="22"/>
        <v>203.22948683917804</v>
      </c>
      <c r="R99" s="20">
        <f t="shared" si="22"/>
        <v>213.07428392840546</v>
      </c>
      <c r="S99" s="20">
        <f t="shared" si="22"/>
        <v>220.22999263419672</v>
      </c>
      <c r="T99" s="20">
        <f t="shared" si="22"/>
        <v>229.27298523539721</v>
      </c>
      <c r="U99" s="20">
        <f t="shared" si="22"/>
        <v>221.1260248388711</v>
      </c>
      <c r="V99" s="20">
        <f t="shared" si="22"/>
        <v>277.87684123406291</v>
      </c>
      <c r="W99" s="20">
        <f t="shared" si="22"/>
        <v>329.30584324697315</v>
      </c>
      <c r="X99" s="20">
        <f t="shared" si="22"/>
        <v>344.22696047426348</v>
      </c>
      <c r="Y99" s="20">
        <f t="shared" si="22"/>
        <v>362.0402170805088</v>
      </c>
      <c r="Z99" s="20">
        <f t="shared" si="22"/>
        <v>382.72554175137179</v>
      </c>
      <c r="AA99" s="20">
        <f t="shared" si="22"/>
        <v>406.23302643239992</v>
      </c>
      <c r="AB99" s="20">
        <f t="shared" si="22"/>
        <v>432.44498696317055</v>
      </c>
      <c r="AC99" s="20">
        <f t="shared" si="22"/>
        <v>461.1344762143363</v>
      </c>
      <c r="AD99" s="20">
        <f t="shared" si="22"/>
        <v>491.9213922071408</v>
      </c>
      <c r="AE99" s="20">
        <f t="shared" si="22"/>
        <v>524.22917376548571</v>
      </c>
      <c r="AF99" s="20">
        <f t="shared" si="22"/>
        <v>557.38325198414111</v>
      </c>
      <c r="AG99" s="20">
        <f t="shared" si="22"/>
        <v>591.07779713479783</v>
      </c>
      <c r="AH99" s="20">
        <f t="shared" si="22"/>
        <v>625.10654322643131</v>
      </c>
      <c r="AI99" s="20">
        <f t="shared" si="22"/>
        <v>659.24933185346129</v>
      </c>
      <c r="AJ99" s="20">
        <f t="shared" si="22"/>
        <v>693.27479889550648</v>
      </c>
      <c r="AK99" s="20">
        <f t="shared" si="22"/>
        <v>726.95485590162559</v>
      </c>
      <c r="AL99" s="20">
        <f t="shared" si="22"/>
        <v>760.10473939273402</v>
      </c>
      <c r="AM99" s="20">
        <f t="shared" si="22"/>
        <v>792.55564152351917</v>
      </c>
      <c r="AN99" s="20">
        <f t="shared" si="22"/>
        <v>824.14616542367366</v>
      </c>
      <c r="AO99" s="20">
        <f t="shared" si="22"/>
        <v>854.72445028731272</v>
      </c>
      <c r="AP99" s="20">
        <f t="shared" si="22"/>
        <v>884.1500895670722</v>
      </c>
      <c r="AQ99" s="20">
        <f t="shared" si="22"/>
        <v>912.29580801854911</v>
      </c>
      <c r="AR99" s="20">
        <f t="shared" si="22"/>
        <v>939.04887141328436</v>
      </c>
      <c r="AS99" s="20">
        <f t="shared" si="22"/>
        <v>964.31221115944186</v>
      </c>
      <c r="AT99" s="20">
        <f t="shared" si="22"/>
        <v>988.00525451232784</v>
      </c>
      <c r="AU99" s="20">
        <f t="shared" si="22"/>
        <v>1010.0644592216731</v>
      </c>
      <c r="AV99" s="20">
        <f t="shared" si="22"/>
        <v>1030.443559087026</v>
      </c>
      <c r="AW99" s="20">
        <f t="shared" si="22"/>
        <v>1049.1135337598826</v>
      </c>
      <c r="AX99" s="20">
        <f t="shared" si="22"/>
        <v>1066.0623220754328</v>
      </c>
      <c r="AY99" s="20">
        <f t="shared" si="22"/>
        <v>1081.2943031043308</v>
      </c>
      <c r="AZ99" s="20">
        <f t="shared" si="22"/>
        <v>1094.8295729241593</v>
      </c>
      <c r="BA99" s="20">
        <f t="shared" si="22"/>
        <v>1106.7030478074907</v>
      </c>
      <c r="BB99" s="20">
        <f t="shared" si="22"/>
        <v>1116.9634261387819</v>
      </c>
      <c r="BC99" s="20">
        <f t="shared" si="22"/>
        <v>1125.6720419723899</v>
      </c>
      <c r="BD99" s="20">
        <f t="shared" si="22"/>
        <v>1132.9016428252482</v>
      </c>
      <c r="BE99" s="20">
        <f t="shared" si="22"/>
        <v>1138.7351231784489</v>
      </c>
      <c r="BF99" s="20">
        <f t="shared" si="22"/>
        <v>1143.2642433749743</v>
      </c>
      <c r="BG99" s="20">
        <f t="shared" si="22"/>
        <v>1146.5883612864311</v>
      </c>
      <c r="BH99" s="20">
        <f t="shared" si="22"/>
        <v>1148.8132014208777</v>
      </c>
      <c r="BI99" s="21">
        <f t="shared" si="22"/>
        <v>1150.0496831938417</v>
      </c>
    </row>
    <row r="100" spans="1:61" x14ac:dyDescent="0.2">
      <c r="A100" s="114" t="s">
        <v>31</v>
      </c>
      <c r="B100" s="14"/>
      <c r="I100" s="20">
        <f>I51</f>
        <v>22.452835911654002</v>
      </c>
      <c r="J100" s="20">
        <f t="shared" ref="J100:BI100" si="23">J51</f>
        <v>23.412379173753692</v>
      </c>
      <c r="K100" s="20">
        <f t="shared" si="23"/>
        <v>27.055965524115788</v>
      </c>
      <c r="L100" s="20">
        <f t="shared" si="23"/>
        <v>30.625116401895806</v>
      </c>
      <c r="M100" s="20">
        <f t="shared" si="23"/>
        <v>32.536888744587912</v>
      </c>
      <c r="N100" s="20">
        <f t="shared" si="23"/>
        <v>35.699637404168797</v>
      </c>
      <c r="O100" s="20">
        <f t="shared" si="23"/>
        <v>38.367627851350051</v>
      </c>
      <c r="P100" s="20">
        <f t="shared" si="23"/>
        <v>39.602824835326153</v>
      </c>
      <c r="Q100" s="20">
        <f t="shared" si="23"/>
        <v>41.15991326248249</v>
      </c>
      <c r="R100" s="20">
        <f t="shared" si="23"/>
        <v>45.745408371569674</v>
      </c>
      <c r="S100" s="20">
        <f t="shared" si="23"/>
        <v>50.832278851937239</v>
      </c>
      <c r="T100" s="20">
        <f t="shared" si="23"/>
        <v>55.823300807607737</v>
      </c>
      <c r="U100" s="20">
        <f t="shared" si="23"/>
        <v>52.219430202324659</v>
      </c>
      <c r="V100" s="20">
        <f t="shared" si="23"/>
        <v>57.360679492383881</v>
      </c>
      <c r="W100" s="20">
        <f t="shared" si="23"/>
        <v>65.377607731033848</v>
      </c>
      <c r="X100" s="20">
        <f t="shared" si="23"/>
        <v>68.093761596162068</v>
      </c>
      <c r="Y100" s="20">
        <f t="shared" si="23"/>
        <v>70.780172357640524</v>
      </c>
      <c r="Z100" s="20">
        <f t="shared" si="23"/>
        <v>73.426450822725826</v>
      </c>
      <c r="AA100" s="20">
        <f t="shared" si="23"/>
        <v>76.022251757853681</v>
      </c>
      <c r="AB100" s="20">
        <f t="shared" si="23"/>
        <v>78.557351920738185</v>
      </c>
      <c r="AC100" s="20">
        <f t="shared" si="23"/>
        <v>81.021727155020386</v>
      </c>
      <c r="AD100" s="20">
        <f t="shared" si="23"/>
        <v>83.40562765754548</v>
      </c>
      <c r="AE100" s="20">
        <f t="shared" si="23"/>
        <v>85.699650562648671</v>
      </c>
      <c r="AF100" s="20">
        <f t="shared" si="23"/>
        <v>87.892310546226739</v>
      </c>
      <c r="AG100" s="20">
        <f t="shared" si="23"/>
        <v>89.962136469156022</v>
      </c>
      <c r="AH100" s="20">
        <f t="shared" si="23"/>
        <v>91.884500329480801</v>
      </c>
      <c r="AI100" s="20">
        <f t="shared" si="23"/>
        <v>93.634294454616935</v>
      </c>
      <c r="AJ100" s="20">
        <f t="shared" si="23"/>
        <v>95.186286307974243</v>
      </c>
      <c r="AK100" s="20">
        <f t="shared" si="23"/>
        <v>96.519468365998804</v>
      </c>
      <c r="AL100" s="20">
        <f t="shared" si="23"/>
        <v>97.629706487796867</v>
      </c>
      <c r="AM100" s="20">
        <f t="shared" si="23"/>
        <v>98.518722062825503</v>
      </c>
      <c r="AN100" s="20">
        <f t="shared" si="23"/>
        <v>99.190134325221237</v>
      </c>
      <c r="AO100" s="20">
        <f t="shared" si="23"/>
        <v>99.649312920503547</v>
      </c>
      <c r="AP100" s="20">
        <f t="shared" si="23"/>
        <v>99.903213807572953</v>
      </c>
      <c r="AQ100" s="20">
        <f t="shared" si="23"/>
        <v>99.960203060097413</v>
      </c>
      <c r="AR100" s="20">
        <f t="shared" si="23"/>
        <v>99.829872988298163</v>
      </c>
      <c r="AS100" s="20">
        <f t="shared" si="23"/>
        <v>99.522854755681706</v>
      </c>
      <c r="AT100" s="20">
        <f t="shared" si="23"/>
        <v>99.050631334960002</v>
      </c>
      <c r="AU100" s="20">
        <f t="shared" si="23"/>
        <v>98.425354253218515</v>
      </c>
      <c r="AV100" s="20">
        <f t="shared" si="23"/>
        <v>97.659667137989501</v>
      </c>
      <c r="AW100" s="20">
        <f t="shared" si="23"/>
        <v>96.766538611820238</v>
      </c>
      <c r="AX100" s="20">
        <f t="shared" si="23"/>
        <v>95.759106610165389</v>
      </c>
      <c r="AY100" s="20">
        <f t="shared" si="23"/>
        <v>94.650535730923536</v>
      </c>
      <c r="AZ100" s="20">
        <f t="shared" si="23"/>
        <v>93.453888776372722</v>
      </c>
      <c r="BA100" s="20">
        <f t="shared" si="23"/>
        <v>92.182013229927492</v>
      </c>
      <c r="BB100" s="20">
        <f t="shared" si="23"/>
        <v>90.847443028951432</v>
      </c>
      <c r="BC100" s="20">
        <f t="shared" si="23"/>
        <v>89.462315656401216</v>
      </c>
      <c r="BD100" s="20">
        <f t="shared" si="23"/>
        <v>88.038304281818824</v>
      </c>
      <c r="BE100" s="20">
        <f t="shared" si="23"/>
        <v>86.586564437665757</v>
      </c>
      <c r="BF100" s="20">
        <f t="shared" si="23"/>
        <v>85.117694520111542</v>
      </c>
      <c r="BG100" s="20">
        <f t="shared" si="23"/>
        <v>83.641709252666899</v>
      </c>
      <c r="BH100" s="20">
        <f t="shared" si="23"/>
        <v>82.168025143926144</v>
      </c>
      <c r="BI100" s="21">
        <f t="shared" si="23"/>
        <v>80.705456903803082</v>
      </c>
    </row>
    <row r="101" spans="1:61" x14ac:dyDescent="0.2">
      <c r="A101" s="114" t="s">
        <v>32</v>
      </c>
      <c r="B101" s="14"/>
      <c r="I101" s="20">
        <f>I52</f>
        <v>1466.9497714236093</v>
      </c>
      <c r="J101" s="20">
        <f t="shared" ref="J101:BI101" si="24">J52</f>
        <v>1474.0179441560417</v>
      </c>
      <c r="K101" s="20">
        <f t="shared" si="24"/>
        <v>1588.8989412835126</v>
      </c>
      <c r="L101" s="20">
        <f t="shared" si="24"/>
        <v>1680.9431100365668</v>
      </c>
      <c r="M101" s="20">
        <f t="shared" si="24"/>
        <v>1680.2596337294835</v>
      </c>
      <c r="N101" s="20">
        <f t="shared" si="24"/>
        <v>1695.144439478476</v>
      </c>
      <c r="O101" s="20">
        <f t="shared" si="24"/>
        <v>1660.9369108534145</v>
      </c>
      <c r="P101" s="20">
        <f t="shared" si="24"/>
        <v>1583.6219721367613</v>
      </c>
      <c r="Q101" s="20">
        <f t="shared" si="24"/>
        <v>1619.613841507062</v>
      </c>
      <c r="R101" s="20">
        <f t="shared" si="24"/>
        <v>1767.2620779648926</v>
      </c>
      <c r="S101" s="20">
        <f t="shared" si="24"/>
        <v>1928.5876837904223</v>
      </c>
      <c r="T101" s="20">
        <f t="shared" si="24"/>
        <v>1980.3465919708456</v>
      </c>
      <c r="U101" s="20">
        <f t="shared" si="24"/>
        <v>1952.1155968033461</v>
      </c>
      <c r="V101" s="20">
        <f t="shared" si="24"/>
        <v>2254.0667697181825</v>
      </c>
      <c r="W101" s="20">
        <f t="shared" si="24"/>
        <v>2406.5305171590167</v>
      </c>
      <c r="X101" s="20">
        <f t="shared" si="24"/>
        <v>2512.6116026439968</v>
      </c>
      <c r="Y101" s="20">
        <f t="shared" si="24"/>
        <v>2638.4406398471888</v>
      </c>
      <c r="Z101" s="20">
        <f t="shared" si="24"/>
        <v>2782.58906306789</v>
      </c>
      <c r="AA101" s="20">
        <f t="shared" si="24"/>
        <v>2943.217783083453</v>
      </c>
      <c r="AB101" s="20">
        <f t="shared" si="24"/>
        <v>3117.8778938432151</v>
      </c>
      <c r="AC101" s="20">
        <f t="shared" si="24"/>
        <v>3303.3225763876949</v>
      </c>
      <c r="AD101" s="20">
        <f t="shared" si="24"/>
        <v>3495.3433794574303</v>
      </c>
      <c r="AE101" s="20">
        <f t="shared" si="24"/>
        <v>3688.6503217723825</v>
      </c>
      <c r="AF101" s="20">
        <f t="shared" si="24"/>
        <v>3877.6854897626858</v>
      </c>
      <c r="AG101" s="20">
        <f t="shared" si="24"/>
        <v>4059.5819595134458</v>
      </c>
      <c r="AH101" s="20">
        <f t="shared" si="24"/>
        <v>4232.205457722921</v>
      </c>
      <c r="AI101" s="20">
        <f t="shared" si="24"/>
        <v>4393.4119587155901</v>
      </c>
      <c r="AJ101" s="20">
        <f t="shared" si="24"/>
        <v>4541.0881023089169</v>
      </c>
      <c r="AK101" s="20">
        <f t="shared" si="24"/>
        <v>4673.4635051238765</v>
      </c>
      <c r="AL101" s="20">
        <f t="shared" si="24"/>
        <v>4790.0168262400248</v>
      </c>
      <c r="AM101" s="20">
        <f t="shared" si="24"/>
        <v>4890.7769766363945</v>
      </c>
      <c r="AN101" s="20">
        <f t="shared" si="24"/>
        <v>4976.0495608602205</v>
      </c>
      <c r="AO101" s="20">
        <f t="shared" si="24"/>
        <v>5046.3914363628528</v>
      </c>
      <c r="AP101" s="20">
        <f t="shared" si="24"/>
        <v>5102.5815298580274</v>
      </c>
      <c r="AQ101" s="20">
        <f t="shared" si="24"/>
        <v>5145.5894527297505</v>
      </c>
      <c r="AR101" s="20">
        <f t="shared" si="24"/>
        <v>5176.5433527652849</v>
      </c>
      <c r="AS101" s="20">
        <f t="shared" si="24"/>
        <v>5196.6982853764339</v>
      </c>
      <c r="AT101" s="20">
        <f t="shared" si="24"/>
        <v>5207.4062013442754</v>
      </c>
      <c r="AU101" s="20">
        <f t="shared" si="24"/>
        <v>5210.0884462829736</v>
      </c>
      <c r="AV101" s="20">
        <f t="shared" si="24"/>
        <v>5206.2114638775101</v>
      </c>
      <c r="AW101" s="20">
        <f t="shared" si="24"/>
        <v>5197.2662024772935</v>
      </c>
      <c r="AX101" s="20">
        <f t="shared" si="24"/>
        <v>5184.7515521371524</v>
      </c>
      <c r="AY101" s="20">
        <f t="shared" si="24"/>
        <v>5170.1619933776656</v>
      </c>
      <c r="AZ101" s="20">
        <f t="shared" si="24"/>
        <v>5154.9795240915837</v>
      </c>
      <c r="BA101" s="20">
        <f t="shared" si="24"/>
        <v>5140.6698494561306</v>
      </c>
      <c r="BB101" s="20">
        <f t="shared" si="24"/>
        <v>5128.682772193737</v>
      </c>
      <c r="BC101" s="20">
        <f t="shared" si="24"/>
        <v>5120.4567068196975</v>
      </c>
      <c r="BD101" s="20">
        <f t="shared" si="24"/>
        <v>5117.4272609060217</v>
      </c>
      <c r="BE101" s="20">
        <f t="shared" si="24"/>
        <v>5121.0398782002767</v>
      </c>
      <c r="BF101" s="20">
        <f t="shared" si="24"/>
        <v>5132.7666225456787</v>
      </c>
      <c r="BG101" s="20">
        <f t="shared" si="24"/>
        <v>5154.1272988915653</v>
      </c>
      <c r="BH101" s="20">
        <f t="shared" si="24"/>
        <v>5186.7152607818634</v>
      </c>
      <c r="BI101" s="21">
        <f t="shared" si="24"/>
        <v>5232.2284472371603</v>
      </c>
    </row>
    <row r="102" spans="1:61" x14ac:dyDescent="0.2">
      <c r="A102" s="114" t="s">
        <v>33</v>
      </c>
      <c r="B102" s="14"/>
      <c r="I102" s="20">
        <f>I53</f>
        <v>87.53053933252626</v>
      </c>
      <c r="J102" s="20">
        <f t="shared" ref="J102:BI102" si="25">J53</f>
        <v>95.08803735377785</v>
      </c>
      <c r="K102" s="20">
        <f t="shared" si="25"/>
        <v>108.87049937819883</v>
      </c>
      <c r="L102" s="20">
        <f t="shared" si="25"/>
        <v>118.31566272018181</v>
      </c>
      <c r="M102" s="20">
        <f t="shared" si="25"/>
        <v>125.81415161256815</v>
      </c>
      <c r="N102" s="20">
        <f t="shared" si="25"/>
        <v>140.31477005110062</v>
      </c>
      <c r="O102" s="20">
        <f t="shared" si="25"/>
        <v>156.72015248722698</v>
      </c>
      <c r="P102" s="20">
        <f t="shared" si="25"/>
        <v>165.1852348132401</v>
      </c>
      <c r="Q102" s="20">
        <f t="shared" si="25"/>
        <v>184.25366435012344</v>
      </c>
      <c r="R102" s="20">
        <f t="shared" si="25"/>
        <v>209.81637237905477</v>
      </c>
      <c r="S102" s="20">
        <f t="shared" si="25"/>
        <v>245.89161153311522</v>
      </c>
      <c r="T102" s="20">
        <f t="shared" si="25"/>
        <v>264.34481065829374</v>
      </c>
      <c r="U102" s="20">
        <f t="shared" si="25"/>
        <v>255.71778339066671</v>
      </c>
      <c r="V102" s="20">
        <f t="shared" si="25"/>
        <v>314.44198403038911</v>
      </c>
      <c r="W102" s="20">
        <f t="shared" si="25"/>
        <v>339.54369713094945</v>
      </c>
      <c r="X102" s="20">
        <f t="shared" si="25"/>
        <v>367.18238214382745</v>
      </c>
      <c r="Y102" s="20">
        <f t="shared" si="25"/>
        <v>399.77756862212794</v>
      </c>
      <c r="Z102" s="20">
        <f t="shared" si="25"/>
        <v>437.44536336213872</v>
      </c>
      <c r="AA102" s="20">
        <f t="shared" si="25"/>
        <v>480.19363981013908</v>
      </c>
      <c r="AB102" s="20">
        <f t="shared" si="25"/>
        <v>527.85490618569702</v>
      </c>
      <c r="AC102" s="20">
        <f t="shared" si="25"/>
        <v>580.01159707482361</v>
      </c>
      <c r="AD102" s="20">
        <f t="shared" si="25"/>
        <v>635.91801761811985</v>
      </c>
      <c r="AE102" s="20">
        <f t="shared" si="25"/>
        <v>694.42652930523457</v>
      </c>
      <c r="AF102" s="20">
        <f t="shared" si="25"/>
        <v>754.1551530449924</v>
      </c>
      <c r="AG102" s="20">
        <f t="shared" si="25"/>
        <v>814.27915698434208</v>
      </c>
      <c r="AH102" s="20">
        <f t="shared" si="25"/>
        <v>874.10431364459748</v>
      </c>
      <c r="AI102" s="20">
        <f t="shared" si="25"/>
        <v>932.8883107189049</v>
      </c>
      <c r="AJ102" s="20">
        <f t="shared" si="25"/>
        <v>989.85503163251644</v>
      </c>
      <c r="AK102" s="20">
        <f t="shared" si="25"/>
        <v>1044.27933551047</v>
      </c>
      <c r="AL102" s="20">
        <f t="shared" si="25"/>
        <v>1095.7372197380778</v>
      </c>
      <c r="AM102" s="20">
        <f t="shared" si="25"/>
        <v>1143.9597811309304</v>
      </c>
      <c r="AN102" s="20">
        <f t="shared" si="25"/>
        <v>1188.7750513018168</v>
      </c>
      <c r="AO102" s="20">
        <f t="shared" si="25"/>
        <v>1230.1077755571346</v>
      </c>
      <c r="AP102" s="20">
        <f t="shared" si="25"/>
        <v>1267.976406704279</v>
      </c>
      <c r="AQ102" s="20">
        <f t="shared" si="25"/>
        <v>1302.4878496334341</v>
      </c>
      <c r="AR102" s="20">
        <f t="shared" si="25"/>
        <v>1333.8305468354417</v>
      </c>
      <c r="AS102" s="20">
        <f t="shared" si="25"/>
        <v>1362.2665102461272</v>
      </c>
      <c r="AT102" s="20">
        <f t="shared" si="25"/>
        <v>1388.1228875511172</v>
      </c>
      <c r="AU102" s="20">
        <f t="shared" si="25"/>
        <v>1411.7836093443307</v>
      </c>
      <c r="AV102" s="20">
        <f t="shared" si="25"/>
        <v>1433.681605839319</v>
      </c>
      <c r="AW102" s="20">
        <f t="shared" si="25"/>
        <v>1454.2920165374094</v>
      </c>
      <c r="AX102" s="20">
        <f t="shared" si="25"/>
        <v>1474.1267510189784</v>
      </c>
      <c r="AY102" s="20">
        <f t="shared" si="25"/>
        <v>1493.7307005196571</v>
      </c>
      <c r="AZ102" s="20">
        <f t="shared" si="25"/>
        <v>1513.6798537811783</v>
      </c>
      <c r="BA102" s="20">
        <f t="shared" si="25"/>
        <v>1534.5815414438218</v>
      </c>
      <c r="BB102" s="20">
        <f t="shared" si="25"/>
        <v>1557.0770248464094</v>
      </c>
      <c r="BC102" s="20">
        <f t="shared" si="25"/>
        <v>1581.846661015803</v>
      </c>
      <c r="BD102" s="20">
        <f t="shared" si="25"/>
        <v>1609.617919446991</v>
      </c>
      <c r="BE102" s="20">
        <f t="shared" si="25"/>
        <v>1641.1766022457136</v>
      </c>
      <c r="BF102" s="20">
        <f t="shared" si="25"/>
        <v>1677.3817329251092</v>
      </c>
      <c r="BG102" s="20">
        <f t="shared" si="25"/>
        <v>1719.1847383984475</v>
      </c>
      <c r="BH102" s="20">
        <f t="shared" si="25"/>
        <v>1767.6537645179001</v>
      </c>
      <c r="BI102" s="21">
        <f t="shared" si="25"/>
        <v>1824.0042535235459</v>
      </c>
    </row>
    <row r="103" spans="1:61" x14ac:dyDescent="0.2">
      <c r="A103" s="115" t="s">
        <v>34</v>
      </c>
      <c r="B103" s="15"/>
      <c r="C103" s="45"/>
      <c r="D103" s="45"/>
      <c r="E103" s="45"/>
      <c r="F103" s="45"/>
      <c r="G103" s="45"/>
      <c r="H103" s="45"/>
      <c r="I103" s="26">
        <f>I54</f>
        <v>106.41260783441682</v>
      </c>
      <c r="J103" s="26">
        <f t="shared" ref="J103:BI103" si="26">J54</f>
        <v>106.01747682394466</v>
      </c>
      <c r="K103" s="26">
        <f t="shared" si="26"/>
        <v>108.72061703685718</v>
      </c>
      <c r="L103" s="26">
        <f t="shared" si="26"/>
        <v>112.09366041509065</v>
      </c>
      <c r="M103" s="26">
        <f t="shared" si="26"/>
        <v>111.51452051101201</v>
      </c>
      <c r="N103" s="26">
        <f t="shared" si="26"/>
        <v>113.03205913023037</v>
      </c>
      <c r="O103" s="26">
        <f t="shared" si="26"/>
        <v>116.38619015098108</v>
      </c>
      <c r="P103" s="26">
        <f t="shared" si="26"/>
        <v>116.59976918770862</v>
      </c>
      <c r="Q103" s="26">
        <f t="shared" si="26"/>
        <v>121.7531333299423</v>
      </c>
      <c r="R103" s="26">
        <f t="shared" si="26"/>
        <v>133.96162549530575</v>
      </c>
      <c r="S103" s="26">
        <f t="shared" si="26"/>
        <v>142.45560376808243</v>
      </c>
      <c r="T103" s="26">
        <f t="shared" si="26"/>
        <v>148.20170190389067</v>
      </c>
      <c r="U103" s="26">
        <f t="shared" si="26"/>
        <v>150.38995216573491</v>
      </c>
      <c r="V103" s="26">
        <f t="shared" si="26"/>
        <v>171.45992894014705</v>
      </c>
      <c r="W103" s="26">
        <f t="shared" si="26"/>
        <v>178.87718995463754</v>
      </c>
      <c r="X103" s="26">
        <f t="shared" si="26"/>
        <v>186.42027317159869</v>
      </c>
      <c r="Y103" s="26">
        <f t="shared" si="26"/>
        <v>195.38657683475802</v>
      </c>
      <c r="Z103" s="26">
        <f t="shared" si="26"/>
        <v>205.66516117728929</v>
      </c>
      <c r="AA103" s="26">
        <f t="shared" si="26"/>
        <v>217.11617161680655</v>
      </c>
      <c r="AB103" s="26">
        <f t="shared" si="26"/>
        <v>229.55674874399651</v>
      </c>
      <c r="AC103" s="26">
        <f t="shared" si="26"/>
        <v>242.74786684150055</v>
      </c>
      <c r="AD103" s="26">
        <f t="shared" si="26"/>
        <v>256.38301944426888</v>
      </c>
      <c r="AE103" s="26">
        <f t="shared" si="26"/>
        <v>270.08010047072224</v>
      </c>
      <c r="AF103" s="26">
        <f t="shared" si="26"/>
        <v>283.44024692392401</v>
      </c>
      <c r="AG103" s="26">
        <f t="shared" si="26"/>
        <v>296.25967618231374</v>
      </c>
      <c r="AH103" s="26">
        <f t="shared" si="26"/>
        <v>308.38784555109299</v>
      </c>
      <c r="AI103" s="26">
        <f t="shared" si="26"/>
        <v>319.67393944223397</v>
      </c>
      <c r="AJ103" s="26">
        <f t="shared" si="26"/>
        <v>329.96970774442144</v>
      </c>
      <c r="AK103" s="26">
        <f t="shared" si="26"/>
        <v>339.15189647420925</v>
      </c>
      <c r="AL103" s="26">
        <f t="shared" si="26"/>
        <v>347.1872860528614</v>
      </c>
      <c r="AM103" s="26">
        <f t="shared" si="26"/>
        <v>354.08187774095092</v>
      </c>
      <c r="AN103" s="26">
        <f t="shared" si="26"/>
        <v>359.86105459805833</v>
      </c>
      <c r="AO103" s="26">
        <f t="shared" si="26"/>
        <v>364.56770745461409</v>
      </c>
      <c r="AP103" s="26">
        <f t="shared" si="26"/>
        <v>368.26011521574299</v>
      </c>
      <c r="AQ103" s="26">
        <f t="shared" si="26"/>
        <v>371.00968692480041</v>
      </c>
      <c r="AR103" s="26">
        <f t="shared" si="26"/>
        <v>372.89866499191447</v>
      </c>
      <c r="AS103" s="26">
        <f t="shared" si="26"/>
        <v>374.01787771999392</v>
      </c>
      <c r="AT103" s="26">
        <f t="shared" si="26"/>
        <v>374.46461593135376</v>
      </c>
      <c r="AU103" s="26">
        <f t="shared" si="26"/>
        <v>374.34069422482128</v>
      </c>
      <c r="AV103" s="26">
        <f t="shared" si="26"/>
        <v>373.75074314989746</v>
      </c>
      <c r="AW103" s="26">
        <f t="shared" si="26"/>
        <v>372.80076517373237</v>
      </c>
      <c r="AX103" s="26">
        <f t="shared" si="26"/>
        <v>371.596975355849</v>
      </c>
      <c r="AY103" s="26">
        <f t="shared" si="26"/>
        <v>370.24493757177908</v>
      </c>
      <c r="AZ103" s="26">
        <f t="shared" si="26"/>
        <v>368.84899921412801</v>
      </c>
      <c r="BA103" s="26">
        <f t="shared" si="26"/>
        <v>367.51202168596313</v>
      </c>
      <c r="BB103" s="26">
        <f t="shared" si="26"/>
        <v>366.3354007211712</v>
      </c>
      <c r="BC103" s="26">
        <f t="shared" si="26"/>
        <v>365.41936958533319</v>
      </c>
      <c r="BD103" s="26">
        <f t="shared" si="26"/>
        <v>364.86357946165538</v>
      </c>
      <c r="BE103" s="26">
        <f t="shared" si="26"/>
        <v>364.76795474448357</v>
      </c>
      <c r="BF103" s="26">
        <f t="shared" si="26"/>
        <v>365.23382651822283</v>
      </c>
      <c r="BG103" s="26">
        <f t="shared" si="26"/>
        <v>366.36535523086218</v>
      </c>
      <c r="BH103" s="26">
        <f t="shared" si="26"/>
        <v>368.27126361920176</v>
      </c>
      <c r="BI103" s="27">
        <f t="shared" si="26"/>
        <v>371.06691358560983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024C-163D-480D-BCC4-5905249A2132}">
  <dimension ref="A1:BM77"/>
  <sheetViews>
    <sheetView tabSelected="1" topLeftCell="A4" zoomScale="90" zoomScaleNormal="90" workbookViewId="0">
      <selection activeCell="A12" sqref="A12:XFD12"/>
    </sheetView>
  </sheetViews>
  <sheetFormatPr defaultRowHeight="14.25" x14ac:dyDescent="0.2"/>
  <cols>
    <col min="1" max="1" width="34.25" customWidth="1"/>
    <col min="2" max="60" width="9.875" customWidth="1"/>
    <col min="61" max="61" width="10.75" customWidth="1"/>
    <col min="63" max="63" width="9.5" customWidth="1"/>
    <col min="64" max="64" width="14.375" customWidth="1"/>
    <col min="65" max="65" width="12.5" customWidth="1"/>
    <col min="66" max="66" width="11.75" customWidth="1"/>
  </cols>
  <sheetData>
    <row r="1" spans="1:65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2">
        <v>2022</v>
      </c>
      <c r="X1" s="42">
        <v>2023</v>
      </c>
      <c r="Y1" s="42">
        <v>2024</v>
      </c>
      <c r="Z1" s="43">
        <v>2025</v>
      </c>
      <c r="AA1" s="42">
        <v>2026</v>
      </c>
      <c r="AB1" s="42">
        <v>2027</v>
      </c>
      <c r="AC1" s="42">
        <v>2028</v>
      </c>
      <c r="AD1" s="42">
        <v>2029</v>
      </c>
      <c r="AE1" s="43">
        <v>2030</v>
      </c>
      <c r="AF1" s="41">
        <v>2031</v>
      </c>
      <c r="AG1" s="42">
        <v>2032</v>
      </c>
      <c r="AH1" s="42">
        <v>2033</v>
      </c>
      <c r="AI1" s="42">
        <v>2034</v>
      </c>
      <c r="AJ1" s="43">
        <v>2035</v>
      </c>
      <c r="AK1" s="41">
        <v>2036</v>
      </c>
      <c r="AL1" s="42">
        <v>2037</v>
      </c>
      <c r="AM1" s="42">
        <v>2038</v>
      </c>
      <c r="AN1" s="42">
        <v>2039</v>
      </c>
      <c r="AO1" s="43">
        <v>2040</v>
      </c>
      <c r="AP1" s="41">
        <v>2041</v>
      </c>
      <c r="AQ1" s="42">
        <v>2042</v>
      </c>
      <c r="AR1" s="42">
        <v>2043</v>
      </c>
      <c r="AS1" s="42">
        <v>2044</v>
      </c>
      <c r="AT1" s="43">
        <v>2045</v>
      </c>
      <c r="AU1" s="41">
        <v>2046</v>
      </c>
      <c r="AV1" s="42">
        <v>2047</v>
      </c>
      <c r="AW1" s="42">
        <v>2048</v>
      </c>
      <c r="AX1" s="42">
        <v>2049</v>
      </c>
      <c r="AY1" s="43">
        <v>2050</v>
      </c>
      <c r="AZ1" s="41">
        <v>2051</v>
      </c>
      <c r="BA1" s="42">
        <v>2052</v>
      </c>
      <c r="BB1" s="42">
        <v>2053</v>
      </c>
      <c r="BC1" s="42">
        <v>2054</v>
      </c>
      <c r="BD1" s="43">
        <v>2055</v>
      </c>
      <c r="BE1" s="41">
        <v>2056</v>
      </c>
      <c r="BF1" s="42">
        <v>2057</v>
      </c>
      <c r="BG1" s="42">
        <v>2058</v>
      </c>
      <c r="BH1" s="42">
        <v>2059</v>
      </c>
      <c r="BI1" s="43">
        <v>2060</v>
      </c>
      <c r="BL1" s="57"/>
    </row>
    <row r="2" spans="1:65" s="9" customFormat="1" x14ac:dyDescent="0.2">
      <c r="A2" s="4" t="s">
        <v>0</v>
      </c>
      <c r="B2" s="6">
        <f>'增加值 (2001-2022, 当年价) '!B2*B$77</f>
        <v>208489.63213153562</v>
      </c>
      <c r="C2" s="7">
        <f>'增加值 (2001-2022, 当年价) '!C2*C$77</f>
        <v>227462.18865550534</v>
      </c>
      <c r="D2" s="7">
        <f>'增加值 (2001-2022, 当年价) '!D2*D$77</f>
        <v>250208.40752105589</v>
      </c>
      <c r="E2" s="7">
        <f>'增加值 (2001-2022, 当年价) '!E2*E$77</f>
        <v>275479.45668068255</v>
      </c>
      <c r="F2" s="7">
        <f>'增加值 (2001-2022, 当年价) '!F2*F$77</f>
        <v>306884.11474228039</v>
      </c>
      <c r="G2" s="6">
        <f>'增加值 (2001-2022, 当年价) '!G2*G$77</f>
        <v>345858.39731455001</v>
      </c>
      <c r="H2" s="7">
        <f>'增加值 (2001-2022, 当年价) '!H2*H$77</f>
        <v>394970.28973321617</v>
      </c>
      <c r="I2" s="7">
        <f>'增加值 (2001-2022, 当年价) '!I2*I$77</f>
        <v>433282.40783733811</v>
      </c>
      <c r="J2" s="7">
        <f>'增加值 (2001-2022, 当年价) '!J2*J$77</f>
        <v>474010.95417404798</v>
      </c>
      <c r="K2" s="8">
        <f>'增加值 (2001-2022, 当年价) '!K2*K$77</f>
        <v>524256.11531649705</v>
      </c>
      <c r="L2" s="6">
        <f>'增加值 (2001-2022, 当年价) '!L2*L$77</f>
        <v>574584.70238688064</v>
      </c>
      <c r="M2" s="7">
        <f>'增加值 (2001-2022, 当年价) '!M2*M$77</f>
        <v>619976.89387544419</v>
      </c>
      <c r="N2" s="7">
        <f>'增加值 (2001-2022, 当年价) '!N2*N$77</f>
        <v>668335.0915977289</v>
      </c>
      <c r="O2" s="7">
        <f>'增加值 (2001-2022, 当年价) '!O2*O$77</f>
        <v>717791.88837596087</v>
      </c>
      <c r="P2" s="8">
        <f>'增加值 (2001-2022, 当年价) '!P2*P$77</f>
        <v>768037.32056227815</v>
      </c>
      <c r="Q2" s="6">
        <f>'增加值 (2001-2022, 当年价) '!Q2*Q$77</f>
        <v>820263.85836051311</v>
      </c>
      <c r="R2" s="7">
        <f>'增加值 (2001-2022, 当年价) '!R2*R$77</f>
        <v>876862.06458738854</v>
      </c>
      <c r="S2" s="7">
        <f>'增加值 (2001-2022, 当年价) '!S2*S$77</f>
        <v>935611.82291474345</v>
      </c>
      <c r="T2" s="7">
        <f>'增加值 (2001-2022, 当年价) '!T2*T$77</f>
        <v>991748.53228962829</v>
      </c>
      <c r="U2" s="8">
        <f>'增加值 (2001-2022, 当年价) '!U2*U$77</f>
        <v>1013567</v>
      </c>
      <c r="V2" s="6">
        <f>'增加值 (2001-2022, 当年价) '!V2*V$77</f>
        <v>1098706.628</v>
      </c>
      <c r="W2" s="7">
        <f>'增加值 (2001-2022, 当年价) '!W2*W$77</f>
        <v>1131667.8268400002</v>
      </c>
      <c r="X2" s="63">
        <f>VLOOKUP($A2,平滑数据导入!$A$1:$AN$61,COLUMN(平滑数据导入!C$1),0)</f>
        <v>1191736.6956441731</v>
      </c>
      <c r="Y2" s="63">
        <f>VLOOKUP($A2,平滑数据导入!$A$1:$AN$61,COLUMN(平滑数据导入!D$1),0)</f>
        <v>1256336.3283222499</v>
      </c>
      <c r="Z2" s="135">
        <f>W2*(1+情景假设!B3)^3</f>
        <v>1325076.0418799622</v>
      </c>
      <c r="AA2" s="65">
        <f>VLOOKUP($A2,平滑数据导入!$A$1:$AN$61,COLUMN(平滑数据导入!F$1),0)</f>
        <v>1397449.6915219279</v>
      </c>
      <c r="AB2" s="63">
        <f>VLOOKUP($A2,平滑数据导入!$A$1:$AN$61,COLUMN(平滑数据导入!G$1),0)</f>
        <v>1472801.0145419349</v>
      </c>
      <c r="AC2" s="63">
        <f>VLOOKUP($A2,平滑数据导入!$A$1:$AN$61,COLUMN(平滑数据导入!H$1),0)</f>
        <v>1550293.68740366</v>
      </c>
      <c r="AD2" s="63">
        <f>VLOOKUP($A2,平滑数据导入!$A$1:$AN$61,COLUMN(平滑数据导入!I$1),0)</f>
        <v>1628889.3780584589</v>
      </c>
      <c r="AE2" s="135">
        <f>Z2*(1+情景假设!B4)^5</f>
        <v>1707337.9778973525</v>
      </c>
      <c r="AF2" s="65">
        <f>VLOOKUP($A2,平滑数据导入!$A$1:$AN$61,COLUMN(平滑数据导入!K$1),0)</f>
        <v>1784510.990121555</v>
      </c>
      <c r="AG2" s="63">
        <f>VLOOKUP($A2,平滑数据导入!$A$1:$AN$61,COLUMN(平滑数据导入!L$1),0)</f>
        <v>1860506.1742187981</v>
      </c>
      <c r="AH2" s="63">
        <f>VLOOKUP($A2,平滑数据导入!$A$1:$AN$61,COLUMN(平滑数据导入!M$1),0)</f>
        <v>1935850.984164082</v>
      </c>
      <c r="AI2" s="63">
        <f>VLOOKUP($A2,平滑数据导入!$A$1:$AN$61,COLUMN(平滑数据导入!N$1),0)</f>
        <v>2011183.9287805411</v>
      </c>
      <c r="AJ2" s="135">
        <f>AE2*(1+情景假设!B5)^5</f>
        <v>2087243.649633561</v>
      </c>
      <c r="AK2" s="65">
        <f>VLOOKUP($A2,平滑数据导入!$A$1:$AN$61,COLUMN(平滑数据导入!P$1),0)</f>
        <v>2164676.571555621</v>
      </c>
      <c r="AL2" s="63">
        <f>VLOOKUP($A2,平滑数据导入!$A$1:$AN$61,COLUMN(平滑数据导入!Q$1),0)</f>
        <v>2243423.8770797672</v>
      </c>
      <c r="AM2" s="63">
        <f>VLOOKUP($A2,平滑数据导入!$A$1:$AN$61,COLUMN(平滑数据导入!R$1),0)</f>
        <v>2323232.1393008209</v>
      </c>
      <c r="AN2" s="63">
        <f>VLOOKUP($A2,平滑数据导入!$A$1:$AN$61,COLUMN(平滑数据导入!S$1),0)</f>
        <v>2403835.152238877</v>
      </c>
      <c r="AO2" s="66">
        <f>VLOOKUP($A2,平滑数据导入!$A$1:$AN$61,COLUMN(平滑数据导入!T$1),0)</f>
        <v>2484952.6214405568</v>
      </c>
      <c r="AP2" s="65">
        <f>VLOOKUP($A2,平滑数据导入!$A$1:$AN$61,COLUMN(平滑数据导入!U$1),0)</f>
        <v>2566289.090512577</v>
      </c>
      <c r="AQ2" s="63">
        <f>VLOOKUP($A2,平滑数据导入!$A$1:$AN$61,COLUMN(平滑数据导入!V$1),0)</f>
        <v>2647533.199343272</v>
      </c>
      <c r="AR2" s="63">
        <f>VLOOKUP($A2,平滑数据导入!$A$1:$AN$61,COLUMN(平滑数据导入!W$1),0)</f>
        <v>2728357.373146784</v>
      </c>
      <c r="AS2" s="63">
        <f>VLOOKUP($A2,平滑数据导入!$A$1:$AN$61,COLUMN(平滑数据导入!X$1),0)</f>
        <v>2808418.0400344748</v>
      </c>
      <c r="AT2" s="66">
        <f>VLOOKUP($A2,平滑数据导入!$A$1:$AN$61,COLUMN(平滑数据导入!Y$1),0)</f>
        <v>2887356.4685105602</v>
      </c>
      <c r="AU2" s="65">
        <f>VLOOKUP($A2,平滑数据导入!$A$1:$AN$61,COLUMN(平滑数据导入!Z$1),0)</f>
        <v>2964800.3051386252</v>
      </c>
      <c r="AV2" s="63">
        <f>VLOOKUP($A2,平滑数据导入!$A$1:$AN$61,COLUMN(平滑数据导入!AA$1),0)</f>
        <v>3040365.87677977</v>
      </c>
      <c r="AW2" s="63">
        <f>VLOOKUP($A2,平滑数据导入!$A$1:$AN$61,COLUMN(平滑数据导入!AB$1),0)</f>
        <v>3113661.3015325498</v>
      </c>
      <c r="AX2" s="63">
        <f>VLOOKUP($A2,平滑数据导入!$A$1:$AN$61,COLUMN(平滑数据导入!AC$1),0)</f>
        <v>3184290.4282278069</v>
      </c>
      <c r="AY2" s="135">
        <f>AJ2*(1+情景假设!B6)^15</f>
        <v>3251857.5966359503</v>
      </c>
      <c r="AZ2" s="65">
        <f>VLOOKUP($A2,平滑数据导入!$A$1:$AN$61,COLUMN(平滑数据导入!AE$1),0)</f>
        <v>3315973.1802141122</v>
      </c>
      <c r="BA2" s="63">
        <f>VLOOKUP($A2,平滑数据导入!$A$1:$AN$61,COLUMN(平滑数据导入!AF$1),0)</f>
        <v>3376259.8412585789</v>
      </c>
      <c r="BB2" s="63">
        <f>VLOOKUP($A2,平滑数据导入!$A$1:$AN$61,COLUMN(平滑数据导入!AG$1),0)</f>
        <v>3432359.3959661219</v>
      </c>
      <c r="BC2" s="63">
        <f>VLOOKUP($A2,平滑数据导入!$A$1:$AN$61,COLUMN(平滑数据导入!AH$1),0)</f>
        <v>3483940.1556085991</v>
      </c>
      <c r="BD2" s="66">
        <f>VLOOKUP($A2,平滑数据导入!$A$1:$AN$61,COLUMN(平滑数据导入!AI$1),0)</f>
        <v>3530704.5814585872</v>
      </c>
      <c r="BE2" s="65">
        <f>VLOOKUP($A2,平滑数据导入!$A$1:$AN$61,COLUMN(平滑数据导入!AJ$1),0)</f>
        <v>3572397.0671034572</v>
      </c>
      <c r="BF2" s="63">
        <f>VLOOKUP($A2,平滑数据导入!$A$1:$AN$61,COLUMN(平滑数据导入!AK$1),0)</f>
        <v>3608811.6442794502</v>
      </c>
      <c r="BG2" s="63">
        <f>VLOOKUP($A2,平滑数据导入!$A$1:$AN$61,COLUMN(平滑数据导入!AL$1),0)</f>
        <v>3639799.3992749131</v>
      </c>
      <c r="BH2" s="63">
        <f>VLOOKUP($A2,平滑数据导入!$A$1:$AN$61,COLUMN(平滑数据导入!AM$1),0)</f>
        <v>3665275.3881080411</v>
      </c>
      <c r="BI2" s="135">
        <f>AJ2*(1+情景假设!B7)^25</f>
        <v>3685224.8516569789</v>
      </c>
    </row>
    <row r="3" spans="1:65" x14ac:dyDescent="0.2">
      <c r="A3" s="10" t="s">
        <v>1</v>
      </c>
      <c r="B3" s="11">
        <f>'增加值 (2001-2022, 当年价) '!B3*B$77</f>
        <v>29675.93721477779</v>
      </c>
      <c r="C3" s="12">
        <f>'增加值 (2001-2022, 当年价) '!C3*C$77</f>
        <v>30901.469411529</v>
      </c>
      <c r="D3" s="12">
        <f>'增加值 (2001-2022, 当年价) '!D3*D$77</f>
        <v>31645.386093641948</v>
      </c>
      <c r="E3" s="12">
        <f>'增加值 (2001-2022, 当年价) '!E3*E$77</f>
        <v>36444.641091354868</v>
      </c>
      <c r="F3" s="13">
        <f>'增加值 (2001-2022, 当年价) '!F3*F$77</f>
        <v>36724.407910178343</v>
      </c>
      <c r="G3" s="11">
        <f>'增加值 (2001-2022, 当年价) '!G3*G$77</f>
        <v>37883.920921859433</v>
      </c>
      <c r="H3" s="12">
        <f>'增加值 (2001-2022, 当年价) '!H3*H$77</f>
        <v>41653.224626077863</v>
      </c>
      <c r="I3" s="12">
        <f>'增加值 (2001-2022, 当年价) '!I3*I$77</f>
        <v>45368.998120648939</v>
      </c>
      <c r="J3" s="12">
        <f>'增加值 (2001-2022, 当年价) '!J3*J$77</f>
        <v>47139.865402492462</v>
      </c>
      <c r="K3" s="13">
        <f>'增加值 (2001-2022, 当年价) '!K3*K$77</f>
        <v>50399.248549447446</v>
      </c>
      <c r="L3" s="11">
        <f>'增加值 (2001-2022, 当年价) '!L3*L$77</f>
        <v>54312.680927517635</v>
      </c>
      <c r="M3" s="12">
        <f>'增加值 (2001-2022, 当年价) '!M3*M$77</f>
        <v>58225.658703428679</v>
      </c>
      <c r="N3" s="12">
        <f>'增加值 (2001-2022, 当年价) '!N3*N$77</f>
        <v>61644.382254581113</v>
      </c>
      <c r="O3" s="12">
        <f>'增加值 (2001-2022, 当年价) '!O3*O$77</f>
        <v>64101.063232371307</v>
      </c>
      <c r="P3" s="13">
        <f>'增加值 (2001-2022, 当年价) '!P3*P$77</f>
        <v>66732.21068238109</v>
      </c>
      <c r="Q3" s="11">
        <f>'增加值 (2001-2022, 当年价) '!Q3*Q$77</f>
        <v>68631.611084360557</v>
      </c>
      <c r="R3" s="12">
        <f>'增加值 (2001-2022, 当年价) '!R3*R$77</f>
        <v>68143.575410893376</v>
      </c>
      <c r="S3" s="12">
        <f>'增加值 (2001-2022, 当年价) '!S3*S$77</f>
        <v>68758.857830048146</v>
      </c>
      <c r="T3" s="12">
        <f>'增加值 (2001-2022, 当年价) '!T3*T$77</f>
        <v>73967.215695633218</v>
      </c>
      <c r="U3" s="13">
        <f>'增加值 (2001-2022, 当年价) '!U3*U$77</f>
        <v>81396.5</v>
      </c>
      <c r="V3" s="11">
        <f>'增加值 (2001-2022, 当年价) '!V3*V$77</f>
        <v>82959.622466645262</v>
      </c>
      <c r="W3" s="12">
        <f>'增加值 (2001-2022, 当年价) '!W3*W$77</f>
        <v>86574.037414115228</v>
      </c>
      <c r="X3" s="67">
        <f>VLOOKUP($A3,平滑数据导入!$A$1:$AN$61,COLUMN(平滑数据导入!C$1),0)</f>
        <v>89648.787939950213</v>
      </c>
      <c r="Y3" s="67">
        <f>VLOOKUP($A3,平滑数据导入!$A$1:$AN$61,COLUMN(平滑数据导入!D$1),0)</f>
        <v>93524.524711204911</v>
      </c>
      <c r="Z3" s="136">
        <f>Z2*情景假设!B15</f>
        <v>98055.627099117148</v>
      </c>
      <c r="AA3" s="69">
        <f>VLOOKUP($A3,平滑数据导入!$A$1:$AN$61,COLUMN(平滑数据导入!F$1),0)</f>
        <v>103068.7584415515</v>
      </c>
      <c r="AB3" s="67">
        <f>VLOOKUP($A3,平滑数据导入!$A$1:$AN$61,COLUMN(平滑数据导入!G$1),0)</f>
        <v>108350.4367928125</v>
      </c>
      <c r="AC3" s="67">
        <f>VLOOKUP($A3,平滑数据导入!$A$1:$AN$61,COLUMN(平滑数据导入!H$1),0)</f>
        <v>113638.3644002928</v>
      </c>
      <c r="AD3" s="67">
        <f>VLOOKUP($A3,平滑数据导入!$A$1:$AN$61,COLUMN(平滑数据导入!I$1),0)</f>
        <v>118618.26173391929</v>
      </c>
      <c r="AE3" s="137">
        <f>AE2*情景假设!B16</f>
        <v>122928.33440860949</v>
      </c>
      <c r="AF3" s="69">
        <f>VLOOKUP($A3,平滑数据导入!$A$1:$AN$61,COLUMN(平滑数据导入!K$1),0)</f>
        <v>126272.3231413602</v>
      </c>
      <c r="AG3" s="67">
        <f>VLOOKUP($A3,平滑数据导入!$A$1:$AN$61,COLUMN(平滑数据导入!L$1),0)</f>
        <v>128754.6969132435</v>
      </c>
      <c r="AH3" s="67">
        <f>VLOOKUP($A3,平滑数据导入!$A$1:$AN$61,COLUMN(平滑数据导入!M$1),0)</f>
        <v>130617.0939076764</v>
      </c>
      <c r="AI3" s="67">
        <f>VLOOKUP($A3,平滑数据导入!$A$1:$AN$61,COLUMN(平滑数据导入!N$1),0)</f>
        <v>132130.25337315639</v>
      </c>
      <c r="AJ3" s="136">
        <f>AJ2*情景假设!B17</f>
        <v>133583.59357654781</v>
      </c>
      <c r="AK3" s="69">
        <f>VLOOKUP($A3,平滑数据导入!$A$1:$AN$61,COLUMN(平滑数据导入!P$1),0)</f>
        <v>135225.4281646047</v>
      </c>
      <c r="AL3" s="67">
        <f>VLOOKUP($A3,平滑数据导入!$A$1:$AN$61,COLUMN(平滑数据导入!Q$1),0)</f>
        <v>137092.52109286419</v>
      </c>
      <c r="AM3" s="67">
        <f>VLOOKUP($A3,平滑数据导入!$A$1:$AN$61,COLUMN(平滑数据导入!R$1),0)</f>
        <v>139167.4206993042</v>
      </c>
      <c r="AN3" s="67">
        <f>VLOOKUP($A3,平滑数据导入!$A$1:$AN$61,COLUMN(平滑数据导入!S$1),0)</f>
        <v>141432.12704558051</v>
      </c>
      <c r="AO3" s="70">
        <f>VLOOKUP($A3,平滑数据导入!$A$1:$AN$61,COLUMN(平滑数据导入!T$1),0)</f>
        <v>143867.769215362</v>
      </c>
      <c r="AP3" s="69">
        <f>VLOOKUP($A3,平滑数据导入!$A$1:$AN$61,COLUMN(平滑数据导入!U$1),0)</f>
        <v>146454.30777275181</v>
      </c>
      <c r="AQ3" s="67">
        <f>VLOOKUP($A3,平滑数据导入!$A$1:$AN$61,COLUMN(平滑数据导入!V$1),0)</f>
        <v>149170.2638264187</v>
      </c>
      <c r="AR3" s="67">
        <f>VLOOKUP($A3,平滑数据导入!$A$1:$AN$61,COLUMN(平滑数据导入!W$1),0)</f>
        <v>151992.4774769574</v>
      </c>
      <c r="AS3" s="67">
        <f>VLOOKUP($A3,平滑数据导入!$A$1:$AN$61,COLUMN(平滑数据导入!X$1),0)</f>
        <v>154895.89964819601</v>
      </c>
      <c r="AT3" s="70">
        <f>VLOOKUP($A3,平滑数据导入!$A$1:$AN$61,COLUMN(平滑数据导入!Y$1),0)</f>
        <v>157853.42240098631</v>
      </c>
      <c r="AU3" s="69">
        <f>VLOOKUP($A3,平滑数据导入!$A$1:$AN$61,COLUMN(平滑数据导入!Z$1),0)</f>
        <v>160835.7537728133</v>
      </c>
      <c r="AV3" s="67">
        <f>VLOOKUP($A3,平滑数据导入!$A$1:$AN$61,COLUMN(平滑数据导入!AA$1),0)</f>
        <v>163811.34394076921</v>
      </c>
      <c r="AW3" s="67">
        <f>VLOOKUP($A3,平滑数据导入!$A$1:$AN$61,COLUMN(平滑数据导入!AB$1),0)</f>
        <v>166746.37002306979</v>
      </c>
      <c r="AX3" s="67">
        <f>VLOOKUP($A3,平滑数据导入!$A$1:$AN$61,COLUMN(平滑数据导入!AC$1),0)</f>
        <v>169604.78706289249</v>
      </c>
      <c r="AY3" s="136">
        <f>AY2*情景假设!B18</f>
        <v>172348.45262170516</v>
      </c>
      <c r="AZ3" s="69">
        <f>VLOOKUP($A3,平滑数据导入!$A$1:$AN$61,COLUMN(平滑数据导入!AE$1),0)</f>
        <v>174937.3318907131</v>
      </c>
      <c r="BA3" s="67">
        <f>VLOOKUP($A3,平滑数据导入!$A$1:$AN$61,COLUMN(平滑数据导入!AF$1),0)</f>
        <v>177329.78925569219</v>
      </c>
      <c r="BB3" s="67">
        <f>VLOOKUP($A3,平滑数据导入!$A$1:$AN$61,COLUMN(平滑数据导入!AG$1),0)</f>
        <v>179482.97077783279</v>
      </c>
      <c r="BC3" s="67">
        <f>VLOOKUP($A3,平滑数据导入!$A$1:$AN$61,COLUMN(平滑数据导入!AH$1),0)</f>
        <v>181353.2800509932</v>
      </c>
      <c r="BD3" s="70">
        <f>VLOOKUP($A3,平滑数据导入!$A$1:$AN$61,COLUMN(平滑数据导入!AI$1),0)</f>
        <v>182896.94735343431</v>
      </c>
      <c r="BE3" s="69">
        <f>VLOOKUP($A3,平滑数据导入!$A$1:$AN$61,COLUMN(平滑数据导入!AJ$1),0)</f>
        <v>184070.68894514529</v>
      </c>
      <c r="BF3" s="67">
        <f>VLOOKUP($A3,平滑数据导入!$A$1:$AN$61,COLUMN(平滑数据导入!AK$1),0)</f>
        <v>184832.44981712999</v>
      </c>
      <c r="BG3" s="67">
        <f>VLOOKUP($A3,平滑数据导入!$A$1:$AN$61,COLUMN(平滑数据导入!AL$1),0)</f>
        <v>185142.2192596836</v>
      </c>
      <c r="BH3" s="67">
        <f>VLOOKUP($A3,平滑数据导入!$A$1:$AN$61,COLUMN(平滑数据导入!AM$1),0)</f>
        <v>184962.90440540071</v>
      </c>
      <c r="BI3" s="136">
        <f>BI2*情景假设!B19</f>
        <v>184261.24258284911</v>
      </c>
    </row>
    <row r="4" spans="1:65" x14ac:dyDescent="0.2">
      <c r="A4" s="14" t="s">
        <v>2</v>
      </c>
      <c r="B4" s="11">
        <f>'增加值 (2001-2022, 当年价) '!B4*B$77</f>
        <v>82472.588935236359</v>
      </c>
      <c r="C4" s="12">
        <f>'增加值 (2001-2022, 当年价) '!C4*C$77</f>
        <v>89280.442375518236</v>
      </c>
      <c r="D4" s="12">
        <f>'增加值 (2001-2022, 当年价) '!D4*D$77</f>
        <v>100799.63833201525</v>
      </c>
      <c r="E4" s="12">
        <f>'增加值 (2001-2022, 当年价) '!E4*E$77</f>
        <v>111960.0304202925</v>
      </c>
      <c r="F4" s="13">
        <f>'增加值 (2001-2022, 当年价) '!F4*F$77</f>
        <v>127718.90013401274</v>
      </c>
      <c r="G4" s="11">
        <f>'增加值 (2001-2022, 当年价) '!G4*G$77</f>
        <v>145373.42336474854</v>
      </c>
      <c r="H4" s="12">
        <f>'增加值 (2001-2022, 当年价) '!H4*H$77</f>
        <v>163331.37833449789</v>
      </c>
      <c r="I4" s="12">
        <f>'增加值 (2001-2022, 当年价) '!I4*I$77</f>
        <v>178777.31335147261</v>
      </c>
      <c r="J4" s="12">
        <f>'增加值 (2001-2022, 当年价) '!J4*J$77</f>
        <v>187816.58747999065</v>
      </c>
      <c r="K4" s="13">
        <f>'增加值 (2001-2022, 当年价) '!K4*K$77</f>
        <v>210052.75645915509</v>
      </c>
      <c r="L4" s="11">
        <f>'增加值 (2001-2022, 当年价) '!L4*L$77</f>
        <v>229790.33434331449</v>
      </c>
      <c r="M4" s="12">
        <f>'增加值 (2001-2022, 当年价) '!M4*M$77</f>
        <v>240473.17222739744</v>
      </c>
      <c r="N4" s="12">
        <f>'增加值 (2001-2022, 当年价) '!N4*N$77</f>
        <v>250594.10025312903</v>
      </c>
      <c r="O4" s="12">
        <f>'增加值 (2001-2022, 当年价) '!O4*O$77</f>
        <v>260094.46798668895</v>
      </c>
      <c r="P4" s="13">
        <f>'增加值 (2001-2022, 当年价) '!P4*P$77</f>
        <v>261976.82537780039</v>
      </c>
      <c r="Q4" s="11">
        <f>'增加值 (2001-2022, 当年价) '!Q4*Q$77</f>
        <v>269693.62544095406</v>
      </c>
      <c r="R4" s="12">
        <f>'增加值 (2001-2022, 当年价) '!R4*R$77</f>
        <v>289941.42849585827</v>
      </c>
      <c r="S4" s="12">
        <f>'增加值 (2001-2022, 当年价) '!S4*S$77</f>
        <v>306438.05124800676</v>
      </c>
      <c r="T4" s="12">
        <f>'增加值 (2001-2022, 当年价) '!T4*T$77</f>
        <v>313513.06904014404</v>
      </c>
      <c r="U4" s="13">
        <f>'增加值 (2001-2022, 当年价) '!U4*U$77</f>
        <v>312902.90000000002</v>
      </c>
      <c r="V4" s="11">
        <f>'增加值 (2001-2022, 当年价) '!V4*V$77</f>
        <v>356193.67592506018</v>
      </c>
      <c r="W4" s="12">
        <f>'增加值 (2001-2022, 当年价) '!W4*W$77</f>
        <v>375578.60517081129</v>
      </c>
      <c r="X4" s="67">
        <f>VLOOKUP($A4,平滑数据导入!$A$1:$AN$61,COLUMN(平滑数据导入!C$1),0)</f>
        <v>387683.62141912221</v>
      </c>
      <c r="Y4" s="67">
        <f>VLOOKUP($A4,平滑数据导入!$A$1:$AN$61,COLUMN(平滑数据导入!D$1),0)</f>
        <v>400765.69786332268</v>
      </c>
      <c r="Z4" s="136">
        <f>Z2*情景假设!D15</f>
        <v>414748.80110842816</v>
      </c>
      <c r="AA4" s="69">
        <f>VLOOKUP($A4,平滑数据导入!$A$1:$AN$61,COLUMN(平滑数据导入!F$1),0)</f>
        <v>429555.044638397</v>
      </c>
      <c r="AB4" s="67">
        <f>VLOOKUP($A4,平滑数据导入!$A$1:$AN$61,COLUMN(平滑数据导入!G$1),0)</f>
        <v>445099.62406152551</v>
      </c>
      <c r="AC4" s="67">
        <f>VLOOKUP($A4,平滑数据导入!$A$1:$AN$61,COLUMN(平滑数据导入!H$1),0)</f>
        <v>461286.47130633972</v>
      </c>
      <c r="AD4" s="67">
        <f>VLOOKUP($A4,平滑数据导入!$A$1:$AN$61,COLUMN(平滑数据导入!I$1),0)</f>
        <v>478004.94304384961</v>
      </c>
      <c r="AE4" s="137">
        <f>AE2*情景假设!D16</f>
        <v>495128.01359023218</v>
      </c>
      <c r="AF4" s="69">
        <f>VLOOKUP($A4,平滑数据导入!$A$1:$AN$61,COLUMN(平滑数据导入!K$1),0)</f>
        <v>512507.14724321029</v>
      </c>
      <c r="AG4" s="67">
        <f>VLOOKUP($A4,平滑数据导入!$A$1:$AN$61,COLUMN(平滑数据导入!L$1),0)</f>
        <v>529952.09358599829</v>
      </c>
      <c r="AH4" s="67">
        <f>VLOOKUP($A4,平滑数据导入!$A$1:$AN$61,COLUMN(平滑数据导入!M$1),0)</f>
        <v>547236.71865556692</v>
      </c>
      <c r="AI4" s="67">
        <f>VLOOKUP($A4,平滑数据导入!$A$1:$AN$61,COLUMN(平滑数据导入!N$1),0)</f>
        <v>564101.58162630035</v>
      </c>
      <c r="AJ4" s="136">
        <f>AJ2*情景假设!D17</f>
        <v>580253.73459812999</v>
      </c>
      <c r="AK4" s="69">
        <f>VLOOKUP($A4,平滑数据导入!$A$1:$AN$61,COLUMN(平滑数据导入!P$1),0)</f>
        <v>595417.61545557354</v>
      </c>
      <c r="AL4" s="67">
        <f>VLOOKUP($A4,平滑数据导入!$A$1:$AN$61,COLUMN(平滑数据导入!Q$1),0)</f>
        <v>609500.37969936093</v>
      </c>
      <c r="AM4" s="67">
        <f>VLOOKUP($A4,平滑数据导入!$A$1:$AN$61,COLUMN(平滑数据导入!R$1),0)</f>
        <v>622470.34195375256</v>
      </c>
      <c r="AN4" s="67">
        <f>VLOOKUP($A4,平滑数据导入!$A$1:$AN$61,COLUMN(平滑数据导入!S$1),0)</f>
        <v>634311.30914371565</v>
      </c>
      <c r="AO4" s="70">
        <f>VLOOKUP($A4,平滑数据导入!$A$1:$AN$61,COLUMN(平滑数据导入!T$1),0)</f>
        <v>645022.3449939125</v>
      </c>
      <c r="AP4" s="69">
        <f>VLOOKUP($A4,平滑数据导入!$A$1:$AN$61,COLUMN(平滑数据导入!U$1),0)</f>
        <v>654617.26503814175</v>
      </c>
      <c r="AQ4" s="67">
        <f>VLOOKUP($A4,平滑数据导入!$A$1:$AN$61,COLUMN(平滑数据导入!V$1),0)</f>
        <v>663123.90320902073</v>
      </c>
      <c r="AR4" s="67">
        <f>VLOOKUP($A4,平滑数据导入!$A$1:$AN$61,COLUMN(平滑数据导入!W$1),0)</f>
        <v>670583.19512830477</v>
      </c>
      <c r="AS4" s="67">
        <f>VLOOKUP($A4,平滑数据导入!$A$1:$AN$61,COLUMN(平滑数据导入!X$1),0)</f>
        <v>677048.12515229627</v>
      </c>
      <c r="AT4" s="70">
        <f>VLOOKUP($A4,平滑数据导入!$A$1:$AN$61,COLUMN(平滑数据导入!Y$1),0)</f>
        <v>682582.58427893824</v>
      </c>
      <c r="AU4" s="69">
        <f>VLOOKUP($A4,平滑数据导入!$A$1:$AN$61,COLUMN(平滑数据导入!Z$1),0)</f>
        <v>687260.18449536455</v>
      </c>
      <c r="AV4" s="67">
        <f>VLOOKUP($A4,平滑数据导入!$A$1:$AN$61,COLUMN(平滑数据导入!AA$1),0)</f>
        <v>691163.07237807475</v>
      </c>
      <c r="AW4" s="67">
        <f>VLOOKUP($A4,平滑数据导入!$A$1:$AN$61,COLUMN(平滑数据导入!AB$1),0)</f>
        <v>694380.78110780613</v>
      </c>
      <c r="AX4" s="67">
        <f>VLOOKUP($A4,平滑数据导入!$A$1:$AN$61,COLUMN(平滑数据导入!AC$1),0)</f>
        <v>697009.15587695478</v>
      </c>
      <c r="AY4" s="136">
        <f>AY2*情景假设!D18</f>
        <v>699149.38327672926</v>
      </c>
      <c r="AZ4" s="69">
        <f>VLOOKUP($A4,平滑数据导入!$A$1:$AN$61,COLUMN(平滑数据导入!AE$1),0)</f>
        <v>700907.15095080296</v>
      </c>
      <c r="BA4" s="67">
        <f>VLOOKUP($A4,平滑数据导入!$A$1:$AN$61,COLUMN(平滑数据导入!AF$1),0)</f>
        <v>702391.95985233539</v>
      </c>
      <c r="BB4" s="67">
        <f>VLOOKUP($A4,平滑数据导入!$A$1:$AN$61,COLUMN(平滑数据导入!AG$1),0)</f>
        <v>703716.60806568584</v>
      </c>
      <c r="BC4" s="67">
        <f>VLOOKUP($A4,平滑数据导入!$A$1:$AN$61,COLUMN(平滑数据导入!AH$1),0)</f>
        <v>704996.86254387896</v>
      </c>
      <c r="BD4" s="70">
        <f>VLOOKUP($A4,平滑数据导入!$A$1:$AN$61,COLUMN(平滑数据导入!AI$1),0)</f>
        <v>706351.33343314275</v>
      </c>
      <c r="BE4" s="69">
        <f>VLOOKUP($A4,平滑数据导入!$A$1:$AN$61,COLUMN(平滑数据导入!AJ$1),0)</f>
        <v>707901.56505583401</v>
      </c>
      <c r="BF4" s="67">
        <f>VLOOKUP($A4,平滑数据导入!$A$1:$AN$61,COLUMN(平滑数据导入!AK$1),0)</f>
        <v>709772.35824943543</v>
      </c>
      <c r="BG4" s="67">
        <f>VLOOKUP($A4,平滑数据导入!$A$1:$AN$61,COLUMN(平滑数据导入!AL$1),0)</f>
        <v>712092.34077068197</v>
      </c>
      <c r="BH4" s="67">
        <f>VLOOKUP($A4,平滑数据导入!$A$1:$AN$61,COLUMN(平滑数据导入!AM$1),0)</f>
        <v>714994.80606067472</v>
      </c>
      <c r="BI4" s="136">
        <f>BI2*情景假设!D19</f>
        <v>718618.84607311094</v>
      </c>
    </row>
    <row r="5" spans="1:65" x14ac:dyDescent="0.2">
      <c r="A5" s="14" t="s">
        <v>3</v>
      </c>
      <c r="B5" s="11">
        <f>'增加值 (2001-2022, 当年价) '!B5*B$77</f>
        <v>11181.133378356233</v>
      </c>
      <c r="C5" s="12">
        <f>'增加值 (2001-2022, 当年价) '!C5*C$77</f>
        <v>12113.57335174635</v>
      </c>
      <c r="D5" s="12">
        <f>'增加值 (2001-2022, 当年价) '!D5*D$77</f>
        <v>13675.141587294222</v>
      </c>
      <c r="E5" s="12">
        <f>'增加值 (2001-2022, 当年价) '!E5*E$77</f>
        <v>14843.769360047083</v>
      </c>
      <c r="F5" s="13">
        <f>'增加值 (2001-2022, 当年价) '!F5*F$77</f>
        <v>17039.114768328702</v>
      </c>
      <c r="G5" s="11">
        <f>'增加值 (2001-2022, 当年价) '!G5*G$77</f>
        <v>19622.680762062624</v>
      </c>
      <c r="H5" s="12">
        <f>'增加值 (2001-2022, 当年价) '!H5*H$77</f>
        <v>22444.194102628626</v>
      </c>
      <c r="I5" s="12">
        <f>'增加值 (2001-2022, 当年价) '!I5*I$77</f>
        <v>25525.888969277854</v>
      </c>
      <c r="J5" s="12">
        <f>'增加值 (2001-2022, 当年价) '!J5*J$77</f>
        <v>30848.589489425267</v>
      </c>
      <c r="K5" s="13">
        <f>'增加值 (2001-2022, 当年价) '!K5*K$77</f>
        <v>34676.499557887699</v>
      </c>
      <c r="L5" s="11">
        <f>'增加值 (2001-2022, 当年价) '!L5*L$77</f>
        <v>38773.323458779632</v>
      </c>
      <c r="M5" s="12">
        <f>'增加值 (2001-2022, 当年价) '!M5*M$77</f>
        <v>42472.296546692742</v>
      </c>
      <c r="N5" s="12">
        <f>'增加值 (2001-2022, 当年价) '!N5*N$77</f>
        <v>46095.215645851218</v>
      </c>
      <c r="O5" s="12">
        <f>'增加值 (2001-2022, 当年价) '!O5*O$77</f>
        <v>50638.347628195064</v>
      </c>
      <c r="P5" s="13">
        <f>'增加值 (2001-2022, 当年价) '!P5*P$77</f>
        <v>53251.105784283529</v>
      </c>
      <c r="Q5" s="11">
        <f>'增加值 (2001-2022, 当年价) '!Q5*Q$77</f>
        <v>56595.610575849489</v>
      </c>
      <c r="R5" s="12">
        <f>'增加值 (2001-2022, 当年价) '!R5*R$77</f>
        <v>61025.280239916909</v>
      </c>
      <c r="S5" s="12">
        <f>'增加值 (2001-2022, 当年价) '!S5*S$77</f>
        <v>66656.46135676594</v>
      </c>
      <c r="T5" s="12">
        <f>'增加值 (2001-2022, 当年价) '!T5*T$77</f>
        <v>71022.878800094404</v>
      </c>
      <c r="U5" s="13">
        <f>'增加值 (2001-2022, 当年价) '!U5*U$77</f>
        <v>72444.7</v>
      </c>
      <c r="V5" s="11">
        <f>'增加值 (2001-2022, 当年价) '!V5*V$77</f>
        <v>76614.920254027675</v>
      </c>
      <c r="W5" s="12">
        <f>'增加值 (2001-2022, 当年价) '!W5*W$77</f>
        <v>77971.748616420751</v>
      </c>
      <c r="X5" s="67">
        <f>VLOOKUP($A5,平滑数据导入!$A$1:$AN$61,COLUMN(平滑数据导入!C$1),0)</f>
        <v>81805.07806619101</v>
      </c>
      <c r="Y5" s="67">
        <f>VLOOKUP($A5,平滑数据导入!$A$1:$AN$61,COLUMN(平滑数据导入!D$1),0)</f>
        <v>85868.267638835605</v>
      </c>
      <c r="Z5" s="136">
        <f>Z2*情景假设!E15</f>
        <v>90105.170847837435</v>
      </c>
      <c r="AA5" s="69">
        <f>VLOOKUP($A5,平滑数据导入!$A$1:$AN$61,COLUMN(平滑数据导入!F$1),0)</f>
        <v>94446.622139245927</v>
      </c>
      <c r="AB5" s="67">
        <f>VLOOKUP($A5,平滑数据导入!$A$1:$AN$61,COLUMN(平滑数据导入!G$1),0)</f>
        <v>98809.334712507422</v>
      </c>
      <c r="AC5" s="67">
        <f>VLOOKUP($A5,平滑数据导入!$A$1:$AN$61,COLUMN(平滑数据导入!H$1),0)</f>
        <v>103095.44480981769</v>
      </c>
      <c r="AD5" s="67">
        <f>VLOOKUP($A5,平滑数据导入!$A$1:$AN$61,COLUMN(平滑数据导入!I$1),0)</f>
        <v>107192.9102051002</v>
      </c>
      <c r="AE5" s="137">
        <f>AE2*情景假设!E16</f>
        <v>110976.96856332792</v>
      </c>
      <c r="AF5" s="69">
        <f>VLOOKUP($A5,平滑数据导入!$A$1:$AN$61,COLUMN(平滑数据导入!K$1),0)</f>
        <v>114348.8997923799</v>
      </c>
      <c r="AG5" s="67">
        <f>VLOOKUP($A5,平滑数据导入!$A$1:$AN$61,COLUMN(平滑数据导入!L$1),0)</f>
        <v>117355.5372420304</v>
      </c>
      <c r="AH5" s="67">
        <f>VLOOKUP($A5,平滑数据导入!$A$1:$AN$61,COLUMN(平滑数据导入!M$1),0)</f>
        <v>120094.9564929084</v>
      </c>
      <c r="AI5" s="67">
        <f>VLOOKUP($A5,平滑数据导入!$A$1:$AN$61,COLUMN(平滑数据导入!N$1),0)</f>
        <v>122679.6886443409</v>
      </c>
      <c r="AJ5" s="136">
        <f>AJ2*情景假设!E17</f>
        <v>125234.61897801366</v>
      </c>
      <c r="AK5" s="69">
        <f>VLOOKUP($A5,平滑数据导入!$A$1:$AN$61,COLUMN(平滑数据导入!P$1),0)</f>
        <v>127870.4955621094</v>
      </c>
      <c r="AL5" s="67">
        <f>VLOOKUP($A5,平滑数据导入!$A$1:$AN$61,COLUMN(平滑数据导入!Q$1),0)</f>
        <v>130603.22575892349</v>
      </c>
      <c r="AM5" s="67">
        <f>VLOOKUP($A5,平滑数据导入!$A$1:$AN$61,COLUMN(平滑数据导入!R$1),0)</f>
        <v>133423.3092307219</v>
      </c>
      <c r="AN5" s="67">
        <f>VLOOKUP($A5,平滑数据导入!$A$1:$AN$61,COLUMN(平滑数据导入!S$1),0)</f>
        <v>136320.25959427829</v>
      </c>
      <c r="AO5" s="70">
        <f>VLOOKUP($A5,平滑数据导入!$A$1:$AN$61,COLUMN(平滑数据导入!T$1),0)</f>
        <v>139282.52649452869</v>
      </c>
      <c r="AP5" s="69">
        <f>VLOOKUP($A5,平滑数据导入!$A$1:$AN$61,COLUMN(平滑数据导入!U$1),0)</f>
        <v>142297.42649679389</v>
      </c>
      <c r="AQ5" s="67">
        <f>VLOOKUP($A5,平滑数据导入!$A$1:$AN$61,COLUMN(平滑数据导入!V$1),0)</f>
        <v>145351.0846198595</v>
      </c>
      <c r="AR5" s="67">
        <f>VLOOKUP($A5,平滑数据导入!$A$1:$AN$61,COLUMN(平滑数据导入!W$1),0)</f>
        <v>148428.38850740349</v>
      </c>
      <c r="AS5" s="67">
        <f>VLOOKUP($A5,平滑数据导入!$A$1:$AN$61,COLUMN(平滑数据导入!X$1),0)</f>
        <v>151512.9573807586</v>
      </c>
      <c r="AT5" s="70">
        <f>VLOOKUP($A5,平滑数据导入!$A$1:$AN$61,COLUMN(平滑数据导入!Y$1),0)</f>
        <v>154587.1280235431</v>
      </c>
      <c r="AU5" s="69">
        <f>VLOOKUP($A5,平滑数据导入!$A$1:$AN$61,COLUMN(平滑数据导入!Z$1),0)</f>
        <v>157631.9601093728</v>
      </c>
      <c r="AV5" s="67">
        <f>VLOOKUP($A5,平滑数据导入!$A$1:$AN$61,COLUMN(平滑数据导入!AA$1),0)</f>
        <v>160627.26318826541</v>
      </c>
      <c r="AW5" s="67">
        <f>VLOOKUP($A5,平滑数据导入!$A$1:$AN$61,COLUMN(平滑数据导入!AB$1),0)</f>
        <v>163551.64758591331</v>
      </c>
      <c r="AX5" s="67">
        <f>VLOOKUP($A5,平滑数据导入!$A$1:$AN$61,COLUMN(平滑数据导入!AC$1),0)</f>
        <v>166382.60133346191</v>
      </c>
      <c r="AY5" s="136">
        <f>AY2*情景假设!E18</f>
        <v>169096.5950250694</v>
      </c>
      <c r="AZ5" s="69">
        <f>VLOOKUP($A5,平滑数据导入!$A$1:$AN$61,COLUMN(平滑数据导入!AE$1),0)</f>
        <v>171669.21618894351</v>
      </c>
      <c r="BA5" s="67">
        <f>VLOOKUP($A5,平滑数据导入!$A$1:$AN$61,COLUMN(平滑数据导入!AF$1),0)</f>
        <v>174075.33434897449</v>
      </c>
      <c r="BB5" s="67">
        <f>VLOOKUP($A5,平滑数据导入!$A$1:$AN$61,COLUMN(平滑数据导入!AG$1),0)</f>
        <v>176289.29744516511</v>
      </c>
      <c r="BC5" s="67">
        <f>VLOOKUP($A5,平滑数据导入!$A$1:$AN$61,COLUMN(平滑数据导入!AH$1),0)</f>
        <v>178285.15967132911</v>
      </c>
      <c r="BD5" s="70">
        <f>VLOOKUP($A5,平滑数据导入!$A$1:$AN$61,COLUMN(平滑数据导入!AI$1),0)</f>
        <v>180036.94008118959</v>
      </c>
      <c r="BE5" s="69">
        <f>VLOOKUP($A5,平滑数据导入!$A$1:$AN$61,COLUMN(平滑数据导入!AJ$1),0)</f>
        <v>181518.91051625239</v>
      </c>
      <c r="BF5" s="67">
        <f>VLOOKUP($A5,平滑数据导入!$A$1:$AN$61,COLUMN(平滑数据导入!AK$1),0)</f>
        <v>182705.91053260639</v>
      </c>
      <c r="BG5" s="67">
        <f>VLOOKUP($A5,平滑数据导入!$A$1:$AN$61,COLUMN(平滑数据导入!AL$1),0)</f>
        <v>183573.68606587249</v>
      </c>
      <c r="BH5" s="67">
        <f>VLOOKUP($A5,平滑数据导入!$A$1:$AN$61,COLUMN(平滑数据导入!AM$1),0)</f>
        <v>184099.2475959314</v>
      </c>
      <c r="BI5" s="136">
        <f>BI2*情景假设!E19</f>
        <v>184261.24258284896</v>
      </c>
      <c r="BM5" s="58"/>
    </row>
    <row r="6" spans="1:65" x14ac:dyDescent="0.2">
      <c r="A6" s="14" t="s">
        <v>4</v>
      </c>
      <c r="B6" s="11">
        <f>'增加值 (2001-2022, 当年价) '!B6*B$77</f>
        <v>12922.19691913198</v>
      </c>
      <c r="C6" s="12">
        <f>'增加值 (2001-2022, 当年价) '!C6*C$77</f>
        <v>14005.145364926902</v>
      </c>
      <c r="D6" s="12">
        <f>'增加值 (2001-2022, 当年价) '!D6*D$77</f>
        <v>14410.716652702284</v>
      </c>
      <c r="E6" s="12">
        <f>'增加值 (2001-2022, 当年价) '!E6*E$77</f>
        <v>15841.240702858573</v>
      </c>
      <c r="F6" s="13">
        <f>'增加值 (2001-2022, 当年价) '!F6*F$77</f>
        <v>17478.670029358709</v>
      </c>
      <c r="G6" s="11">
        <f>'增加值 (2001-2022, 当年价) '!G6*G$77</f>
        <v>19206.903926131014</v>
      </c>
      <c r="H6" s="12">
        <f>'增加值 (2001-2022, 当年价) '!H6*H$77</f>
        <v>21357.812046410043</v>
      </c>
      <c r="I6" s="12">
        <f>'增加值 (2001-2022, 当年价) '!I6*I$77</f>
        <v>22214.293173693201</v>
      </c>
      <c r="J6" s="12">
        <f>'增加值 (2001-2022, 当年价) '!J6*J$77</f>
        <v>22471.738420302012</v>
      </c>
      <c r="K6" s="13">
        <f>'增加值 (2001-2022, 当年价) '!K6*K$77</f>
        <v>23894.578991226455</v>
      </c>
      <c r="L6" s="11">
        <f>'增加值 (2001-2022, 当年价) '!L6*L$77</f>
        <v>25720.526961160911</v>
      </c>
      <c r="M6" s="12">
        <f>'增加值 (2001-2022, 当年价) '!M6*M$77</f>
        <v>27354.589707269035</v>
      </c>
      <c r="N6" s="12">
        <f>'增加值 (2001-2022, 当年价) '!N6*N$77</f>
        <v>29353.002496532965</v>
      </c>
      <c r="O6" s="12">
        <f>'增加值 (2001-2022, 当年价) '!O6*O$77</f>
        <v>31825.567469102905</v>
      </c>
      <c r="P6" s="13">
        <f>'增加值 (2001-2022, 当年价) '!P6*P$77</f>
        <v>34027.489263973992</v>
      </c>
      <c r="Q6" s="11">
        <f>'增加值 (2001-2022, 当年价) '!Q6*Q$77</f>
        <v>36297.463499736106</v>
      </c>
      <c r="R6" s="12">
        <f>'增加值 (2001-2022, 当年价) '!R6*R$77</f>
        <v>39121.852645308427</v>
      </c>
      <c r="S6" s="12">
        <f>'增加值 (2001-2022, 当年价) '!S6*S$77</f>
        <v>41053.77693860625</v>
      </c>
      <c r="T6" s="12">
        <f>'增加值 (2001-2022, 当年价) '!T6*T$77</f>
        <v>42691.5780889854</v>
      </c>
      <c r="U6" s="13">
        <f>'增加值 (2001-2022, 当年价) '!U6*U$77</f>
        <v>40582.9</v>
      </c>
      <c r="V6" s="11">
        <f>'增加值 (2001-2022, 当年价) '!V6*V$77</f>
        <v>44991.98369146973</v>
      </c>
      <c r="W6" s="12">
        <f>'增加值 (2001-2022, 当年价) '!W6*W$77</f>
        <v>46450.003049149032</v>
      </c>
      <c r="X6" s="67">
        <f>VLOOKUP($A6,平滑数据导入!$A$1:$AN$61,COLUMN(平滑数据导入!C$1),0)</f>
        <v>48488.395867085768</v>
      </c>
      <c r="Y6" s="111">
        <f>VLOOKUP($A6,平滑数据导入!$A$1:$AN$61,COLUMN(平滑数据导入!D$1),0)</f>
        <v>50475.608187655132</v>
      </c>
      <c r="Z6" s="137">
        <f t="shared" ref="Z6:BI6" si="0">Z57</f>
        <v>52394.72297559138</v>
      </c>
      <c r="AA6" s="69">
        <f>VLOOKUP($A6,平滑数据导入!$A$1:$AN$61,COLUMN(平滑数据导入!F$1),0)</f>
        <v>54228.345027771058</v>
      </c>
      <c r="AB6" s="67">
        <f>VLOOKUP($A6,平滑数据导入!$A$1:$AN$61,COLUMN(平滑数据导入!G$1),0)</f>
        <v>55958.818576533893</v>
      </c>
      <c r="AC6" s="67">
        <f>VLOOKUP($A6,平滑数据导入!$A$1:$AN$61,COLUMN(平滑数据导入!H$1),0)</f>
        <v>57568.468704691972</v>
      </c>
      <c r="AD6" s="67">
        <f>VLOOKUP($A6,平滑数据导入!$A$1:$AN$61,COLUMN(平滑数据导入!I$1),0)</f>
        <v>59039.863207858609</v>
      </c>
      <c r="AE6" s="137">
        <f>AE57</f>
        <v>60356.090633259213</v>
      </c>
      <c r="AF6" s="69">
        <f>VLOOKUP($A6,平滑数据导入!$A$1:$AN$61,COLUMN(平滑数据导入!K$1),0)</f>
        <v>61509.555168305262</v>
      </c>
      <c r="AG6" s="67">
        <f>VLOOKUP($A6,平滑数据导入!$A$1:$AN$61,COLUMN(平滑数据导入!L$1),0)</f>
        <v>62528.8824494855</v>
      </c>
      <c r="AH6" s="67">
        <f>VLOOKUP($A6,平滑数据导入!$A$1:$AN$61,COLUMN(平滑数据导入!M$1),0)</f>
        <v>63455.06239218454</v>
      </c>
      <c r="AI6" s="67">
        <f>VLOOKUP($A6,平滑数据导入!$A$1:$AN$61,COLUMN(平滑数据导入!N$1),0)</f>
        <v>64332.487465975777</v>
      </c>
      <c r="AJ6" s="137">
        <f t="shared" si="0"/>
        <v>65208.439071092638</v>
      </c>
      <c r="AK6" s="69">
        <f>VLOOKUP($A6,平滑数据导入!$A$1:$AN$61,COLUMN(平滑数据导入!P$1),0)</f>
        <v>66121.855853919566</v>
      </c>
      <c r="AL6" s="67">
        <f>VLOOKUP($A6,平滑数据导入!$A$1:$AN$61,COLUMN(平滑数据导入!Q$1),0)</f>
        <v>67069.056549451372</v>
      </c>
      <c r="AM6" s="67">
        <f>VLOOKUP($A6,平滑数据导入!$A$1:$AN$61,COLUMN(平滑数据导入!R$1),0)</f>
        <v>68034.766985159265</v>
      </c>
      <c r="AN6" s="67">
        <f>VLOOKUP($A6,平滑数据导入!$A$1:$AN$61,COLUMN(平滑数据导入!S$1),0)</f>
        <v>69002.80684169165</v>
      </c>
      <c r="AO6" s="70">
        <f>VLOOKUP($A6,平滑数据导入!$A$1:$AN$61,COLUMN(平滑数据导入!T$1),0)</f>
        <v>69956.064932717825</v>
      </c>
      <c r="AP6" s="69">
        <f>VLOOKUP($A6,平滑数据导入!$A$1:$AN$61,COLUMN(平滑数据导入!U$1),0)</f>
        <v>70876.515206681084</v>
      </c>
      <c r="AQ6" s="67">
        <f>VLOOKUP($A6,平滑数据导入!$A$1:$AN$61,COLUMN(平滑数据导入!V$1),0)</f>
        <v>71745.277333349601</v>
      </c>
      <c r="AR6" s="67">
        <f>VLOOKUP($A6,平滑数据导入!$A$1:$AN$61,COLUMN(平滑数据导入!W$1),0)</f>
        <v>72542.72546542123</v>
      </c>
      <c r="AS6" s="67">
        <f>VLOOKUP($A6,平滑数据导入!$A$1:$AN$61,COLUMN(平滑数据导入!X$1),0)</f>
        <v>73248.648160439698</v>
      </c>
      <c r="AT6" s="70">
        <f>VLOOKUP($A6,平滑数据导入!$A$1:$AN$61,COLUMN(平滑数据导入!Y$1),0)</f>
        <v>73842.461481970662</v>
      </c>
      <c r="AU6" s="69">
        <f>VLOOKUP($A6,平滑数据导入!$A$1:$AN$61,COLUMN(平滑数据导入!Z$1),0)</f>
        <v>74303.47595349366</v>
      </c>
      <c r="AV6" s="67">
        <f>VLOOKUP($A6,平滑数据导入!$A$1:$AN$61,COLUMN(平滑数据导入!AA$1),0)</f>
        <v>74611.216312101809</v>
      </c>
      <c r="AW6" s="67">
        <f>VLOOKUP($A6,平滑数据导入!$A$1:$AN$61,COLUMN(平滑数据导入!AB$1),0)</f>
        <v>74745.790921537715</v>
      </c>
      <c r="AX6" s="67">
        <f>VLOOKUP($A6,平滑数据导入!$A$1:$AN$61,COLUMN(平滑数据导入!AC$1),0)</f>
        <v>74688.305301258893</v>
      </c>
      <c r="AY6" s="137">
        <f>AY57</f>
        <v>74421.311585954041</v>
      </c>
      <c r="AZ6" s="69">
        <f>VLOOKUP($A6,平滑数据导入!$A$1:$AN$61,COLUMN(平滑数据导入!AE$1),0)</f>
        <v>73929.282956390365</v>
      </c>
      <c r="BA6" s="67">
        <f>VLOOKUP($A6,平滑数据导入!$A$1:$AN$61,COLUMN(平滑数据导入!AF$1),0)</f>
        <v>73199.099318076507</v>
      </c>
      <c r="BB6" s="67">
        <f>VLOOKUP($A6,平滑数据导入!$A$1:$AN$61,COLUMN(平滑数据导入!AG$1),0)</f>
        <v>72220.527918918873</v>
      </c>
      <c r="BC6" s="67">
        <f>VLOOKUP($A6,平滑数据导入!$A$1:$AN$61,COLUMN(平滑数据导入!AH$1),0)</f>
        <v>70986.680384241583</v>
      </c>
      <c r="BD6" s="70">
        <f>VLOOKUP($A6,平滑数据导入!$A$1:$AN$61,COLUMN(平滑数据导入!AI$1),0)</f>
        <v>69494.426014380209</v>
      </c>
      <c r="BE6" s="69">
        <f>VLOOKUP($A6,平滑数据导入!$A$1:$AN$61,COLUMN(平滑数据导入!AJ$1),0)</f>
        <v>67744.740344266567</v>
      </c>
      <c r="BF6" s="67">
        <f>VLOOKUP($A6,平滑数据导入!$A$1:$AN$61,COLUMN(平滑数据导入!AK$1),0)</f>
        <v>65742.968097878693</v>
      </c>
      <c r="BG6" s="67">
        <f>VLOOKUP($A6,平滑数据导入!$A$1:$AN$61,COLUMN(平滑数据导入!AL$1),0)</f>
        <v>63498.980940534377</v>
      </c>
      <c r="BH6" s="67">
        <f>VLOOKUP($A6,平滑数据导入!$A$1:$AN$61,COLUMN(平滑数据导入!AM$1),0)</f>
        <v>61027.212942117141</v>
      </c>
      <c r="BI6" s="137">
        <f t="shared" si="0"/>
        <v>58346.560445000279</v>
      </c>
    </row>
    <row r="7" spans="1:65" x14ac:dyDescent="0.2">
      <c r="A7" s="14" t="s">
        <v>5</v>
      </c>
      <c r="B7" s="11">
        <f>'增加值 (2001-2022, 当年价) '!B7*B$77</f>
        <v>17152.616485966111</v>
      </c>
      <c r="C7" s="12">
        <f>'增加值 (2001-2022, 当年价) '!C7*C$77</f>
        <v>18681.749754360146</v>
      </c>
      <c r="D7" s="12">
        <f>'增加值 (2001-2022, 当年价) '!D7*D$77</f>
        <v>20339.742996748846</v>
      </c>
      <c r="E7" s="12">
        <f>'增加值 (2001-2022, 当年价) '!E7*E$77</f>
        <v>21201.883194183185</v>
      </c>
      <c r="F7" s="13">
        <f>'增加值 (2001-2022, 当年价) '!F7*F$77</f>
        <v>22884.560803942069</v>
      </c>
      <c r="G7" s="11">
        <f>'增加值 (2001-2022, 当年价) '!G7*G$77</f>
        <v>26058.395523850108</v>
      </c>
      <c r="H7" s="12">
        <f>'增加值 (2001-2022, 当年价) '!H7*H$77</f>
        <v>30623.280761177761</v>
      </c>
      <c r="I7" s="12">
        <f>'增加值 (2001-2022, 当年价) '!I7*I$77</f>
        <v>35540.208943581521</v>
      </c>
      <c r="J7" s="12">
        <f>'增加值 (2001-2022, 当年价) '!J7*J$77</f>
        <v>39448.493208340893</v>
      </c>
      <c r="K7" s="13">
        <f>'增加值 (2001-2022, 当年价) '!K7*K$77</f>
        <v>45678.365859529622</v>
      </c>
      <c r="L7" s="11">
        <f>'增加值 (2001-2022, 当年价) '!L7*L$77</f>
        <v>51500.521306789298</v>
      </c>
      <c r="M7" s="12">
        <f>'增加值 (2001-2022, 当年价) '!M7*M$77</f>
        <v>57367.259264602661</v>
      </c>
      <c r="N7" s="12">
        <f>'增加值 (2001-2022, 当年价) '!N7*N$77</f>
        <v>63443.814282969681</v>
      </c>
      <c r="O7" s="12">
        <f>'增加值 (2001-2022, 当年价) '!O7*O$77</f>
        <v>70456.495572018976</v>
      </c>
      <c r="P7" s="13">
        <f>'增加值 (2001-2022, 当年价) '!P7*P$77</f>
        <v>75503.463751392177</v>
      </c>
      <c r="Q7" s="11">
        <f>'增加值 (2001-2022, 当年价) '!Q7*Q$77</f>
        <v>81020.819704871668</v>
      </c>
      <c r="R7" s="12">
        <f>'增加值 (2001-2022, 当年价) '!R7*R$77</f>
        <v>85528.934305470306</v>
      </c>
      <c r="S7" s="12">
        <f>'增加值 (2001-2022, 当年价) '!S7*S$77</f>
        <v>90483.044653986115</v>
      </c>
      <c r="T7" s="12">
        <f>'增加值 (2001-2022, 当年价) '!T7*T$77</f>
        <v>96158.315337849839</v>
      </c>
      <c r="U7" s="13">
        <f>'增加值 (2001-2022, 当年价) '!U7*U$77</f>
        <v>96086.1</v>
      </c>
      <c r="V7" s="11">
        <f>'增加值 (2001-2022, 当年价) '!V7*V$77</f>
        <v>105634.48778242921</v>
      </c>
      <c r="W7" s="12">
        <f>'增加值 (2001-2022, 当年价) '!W7*W$77</f>
        <v>107085.79216328831</v>
      </c>
      <c r="X7" s="67">
        <f>VLOOKUP($A7,平滑数据导入!$A$1:$AN$61,COLUMN(平滑数据导入!C$1),0)</f>
        <v>112033.83841205599</v>
      </c>
      <c r="Y7" s="111">
        <f>VLOOKUP($A7,平滑数据导入!$A$1:$AN$61,COLUMN(平滑数据导入!D$1),0)</f>
        <v>116875.4734098927</v>
      </c>
      <c r="Z7" s="137">
        <f t="shared" ref="Z7:BI7" si="1">Z58</f>
        <v>121569.86917203684</v>
      </c>
      <c r="AA7" s="69">
        <f>VLOOKUP($A7,平滑数据导入!$A$1:$AN$61,COLUMN(平滑数据导入!F$1),0)</f>
        <v>126074.8639587099</v>
      </c>
      <c r="AB7" s="67">
        <f>VLOOKUP($A7,平滑数据导入!$A$1:$AN$61,COLUMN(平滑数据导入!G$1),0)</f>
        <v>130347.4841530798</v>
      </c>
      <c r="AC7" s="67">
        <f>VLOOKUP($A7,平滑数据导入!$A$1:$AN$61,COLUMN(平滑数据导入!H$1),0)</f>
        <v>134344.5268146072</v>
      </c>
      <c r="AD7" s="67">
        <f>VLOOKUP($A7,平滑数据导入!$A$1:$AN$61,COLUMN(平滑数据导入!I$1),0)</f>
        <v>138023.19492312489</v>
      </c>
      <c r="AE7" s="137">
        <f t="shared" ref="AE7:AE10" si="2">AE58</f>
        <v>141341.77505798792</v>
      </c>
      <c r="AF7" s="69">
        <f>VLOOKUP($A7,平滑数据导入!$A$1:$AN$61,COLUMN(平滑数据导入!K$1),0)</f>
        <v>144280.4101931288</v>
      </c>
      <c r="AG7" s="67">
        <f>VLOOKUP($A7,平滑数据导入!$A$1:$AN$61,COLUMN(平滑数据导入!L$1),0)</f>
        <v>146904.85862489871</v>
      </c>
      <c r="AH7" s="67">
        <f>VLOOKUP($A7,平滑数据导入!$A$1:$AN$61,COLUMN(平滑数据导入!M$1),0)</f>
        <v>149310.69543947541</v>
      </c>
      <c r="AI7" s="67">
        <f>VLOOKUP($A7,平滑数据导入!$A$1:$AN$61,COLUMN(平滑数据导入!N$1),0)</f>
        <v>151602.25035860209</v>
      </c>
      <c r="AJ7" s="137">
        <f t="shared" si="1"/>
        <v>153891.40052524977</v>
      </c>
      <c r="AK7" s="69">
        <f>VLOOKUP($A7,平滑数据导入!$A$1:$AN$61,COLUMN(平滑数据导入!P$1),0)</f>
        <v>156270.85554332391</v>
      </c>
      <c r="AL7" s="67">
        <f>VLOOKUP($A7,平滑数据导入!$A$1:$AN$61,COLUMN(平滑数据导入!Q$1),0)</f>
        <v>158732.3123797169</v>
      </c>
      <c r="AM7" s="67">
        <f>VLOOKUP($A7,平滑数据导入!$A$1:$AN$61,COLUMN(平滑数据导入!R$1),0)</f>
        <v>161239.7622768181</v>
      </c>
      <c r="AN7" s="67">
        <f>VLOOKUP($A7,平滑数据导入!$A$1:$AN$61,COLUMN(平滑数据导入!S$1),0)</f>
        <v>163754.8403061195</v>
      </c>
      <c r="AO7" s="70">
        <f>VLOOKUP($A7,平滑数据导入!$A$1:$AN$61,COLUMN(平滑数据导入!T$1),0)</f>
        <v>166236.7618053534</v>
      </c>
      <c r="AP7" s="69">
        <f>VLOOKUP($A7,平滑数据导入!$A$1:$AN$61,COLUMN(平滑数据导入!U$1),0)</f>
        <v>168642.35593205161</v>
      </c>
      <c r="AQ7" s="67">
        <f>VLOOKUP($A7,平滑数据导入!$A$1:$AN$61,COLUMN(平滑数据导入!V$1),0)</f>
        <v>170926.20640937111</v>
      </c>
      <c r="AR7" s="67">
        <f>VLOOKUP($A7,平滑数据导入!$A$1:$AN$61,COLUMN(平滑数据导入!W$1),0)</f>
        <v>173040.90891292191</v>
      </c>
      <c r="AS7" s="67">
        <f>VLOOKUP($A7,平滑数据导入!$A$1:$AN$61,COLUMN(平滑数据导入!X$1),0)</f>
        <v>174937.45311273049</v>
      </c>
      <c r="AT7" s="70">
        <f>VLOOKUP($A7,平滑数据导入!$A$1:$AN$61,COLUMN(平滑数据导入!Y$1),0)</f>
        <v>176565.73506482181</v>
      </c>
      <c r="AU7" s="69">
        <f>VLOOKUP($A7,平滑数据导入!$A$1:$AN$61,COLUMN(平滑数据导入!Z$1),0)</f>
        <v>177875.202391158</v>
      </c>
      <c r="AV7" s="67">
        <f>VLOOKUP($A7,平滑数据导入!$A$1:$AN$61,COLUMN(平滑数据导入!AA$1),0)</f>
        <v>178815.63048314161</v>
      </c>
      <c r="AW7" s="67">
        <f>VLOOKUP($A7,平滑数据导入!$A$1:$AN$61,COLUMN(平滑数据导入!AB$1),0)</f>
        <v>179338.02285328621</v>
      </c>
      <c r="AX7" s="67">
        <f>VLOOKUP($A7,平滑数据导入!$A$1:$AN$61,COLUMN(平滑数据导入!AC$1),0)</f>
        <v>179395.62284719769</v>
      </c>
      <c r="AY7" s="137">
        <f t="shared" ref="AY7:AY10" si="3">AY58</f>
        <v>178945.01739331632</v>
      </c>
      <c r="AZ7" s="69">
        <f>VLOOKUP($A7,平滑数据导入!$A$1:$AN$61,COLUMN(平滑数据导入!AE$1),0)</f>
        <v>177947.30657100771</v>
      </c>
      <c r="BA7" s="67">
        <f>VLOOKUP($A7,平滑数据导入!$A$1:$AN$61,COLUMN(平滑数据导入!AF$1),0)</f>
        <v>176369.30585987229</v>
      </c>
      <c r="BB7" s="67">
        <f>VLOOKUP($A7,平滑数据导入!$A$1:$AN$61,COLUMN(平滑数据导入!AG$1),0)</f>
        <v>174184.74141097441</v>
      </c>
      <c r="BC7" s="67">
        <f>VLOOKUP($A7,平滑数据导入!$A$1:$AN$61,COLUMN(平滑数据导入!AH$1),0)</f>
        <v>171375.3930310396</v>
      </c>
      <c r="BD7" s="70">
        <f>VLOOKUP($A7,平滑数据导入!$A$1:$AN$61,COLUMN(平滑数据导入!AI$1),0)</f>
        <v>167932.1353080204</v>
      </c>
      <c r="BE7" s="69">
        <f>VLOOKUP($A7,平滑数据导入!$A$1:$AN$61,COLUMN(平滑数据导入!AJ$1),0)</f>
        <v>163855.82495021031</v>
      </c>
      <c r="BF7" s="67">
        <f>VLOOKUP($A7,平滑数据导入!$A$1:$AN$61,COLUMN(平滑数据导入!AK$1),0)</f>
        <v>159157.98244559011</v>
      </c>
      <c r="BG7" s="67">
        <f>VLOOKUP($A7,平滑数据导入!$A$1:$AN$61,COLUMN(平滑数据导入!AL$1),0)</f>
        <v>153861.21897621141</v>
      </c>
      <c r="BH7" s="67">
        <f>VLOOKUP($A7,平滑数据导入!$A$1:$AN$61,COLUMN(平滑数据导入!AM$1),0)</f>
        <v>147999.3654166031</v>
      </c>
      <c r="BI7" s="137">
        <f t="shared" si="1"/>
        <v>141617.26930056512</v>
      </c>
    </row>
    <row r="8" spans="1:65" x14ac:dyDescent="0.2">
      <c r="A8" s="14" t="s">
        <v>6</v>
      </c>
      <c r="B8" s="11">
        <f>'增加值 (2001-2022, 当年价) '!B8*B$77</f>
        <v>4513.6385874010248</v>
      </c>
      <c r="C8" s="12">
        <f>'增加值 (2001-2022, 当年价) '!C8*C$77</f>
        <v>5092.0326235075754</v>
      </c>
      <c r="D8" s="12">
        <f>'增加值 (2001-2022, 当年价) '!D8*D$77</f>
        <v>5691.7851781488607</v>
      </c>
      <c r="E8" s="12">
        <f>'增加值 (2001-2022, 当年价) '!E8*E$77</f>
        <v>6238.1108824838657</v>
      </c>
      <c r="F8" s="13">
        <f>'增加值 (2001-2022, 当年价) '!F8*F$77</f>
        <v>6873.8054741095848</v>
      </c>
      <c r="G8" s="11">
        <f>'增加值 (2001-2022, 当年价) '!G8*G$77</f>
        <v>7553.6469442222424</v>
      </c>
      <c r="H8" s="12">
        <f>'增加值 (2001-2022, 当年价) '!H8*H$77</f>
        <v>8113.2807727908448</v>
      </c>
      <c r="I8" s="12">
        <f>'增加值 (2001-2022, 当年价) '!I8*I$77</f>
        <v>8979.4462881834588</v>
      </c>
      <c r="J8" s="12">
        <f>'增加值 (2001-2022, 当年价) '!J8*J$77</f>
        <v>9462.0566134484743</v>
      </c>
      <c r="K8" s="13">
        <f>'增加值 (2001-2022, 当年价) '!K8*K$77</f>
        <v>9810.4193647830252</v>
      </c>
      <c r="L8" s="11">
        <f>'增加值 (2001-2022, 当年价) '!L8*L$77</f>
        <v>10086.374948865838</v>
      </c>
      <c r="M8" s="12">
        <f>'增加值 (2001-2022, 当年价) '!M8*M$77</f>
        <v>10978.23468974103</v>
      </c>
      <c r="N8" s="12">
        <f>'增加值 (2001-2022, 当年价) '!N8*N$77</f>
        <v>11528.425064808491</v>
      </c>
      <c r="O8" s="12">
        <f>'增加值 (2001-2022, 当年价) '!O8*O$77</f>
        <v>12523.822103857652</v>
      </c>
      <c r="P8" s="13">
        <f>'增加值 (2001-2022, 当年价) '!P8*P$77</f>
        <v>13720.594558606477</v>
      </c>
      <c r="Q8" s="11">
        <f>'增加值 (2001-2022, 当年价) '!Q8*Q$77</f>
        <v>14954.528147087502</v>
      </c>
      <c r="R8" s="12">
        <f>'增加值 (2001-2022, 当年价) '!R8*R$77</f>
        <v>15867.146170529086</v>
      </c>
      <c r="S8" s="12">
        <f>'增加值 (2001-2022, 当年价) '!S8*S$77</f>
        <v>16814.082962921035</v>
      </c>
      <c r="T8" s="12">
        <f>'增加值 (2001-2022, 当年价) '!T8*T$77</f>
        <v>17998.073570923636</v>
      </c>
      <c r="U8" s="13">
        <f>'增加值 (2001-2022, 当年价) '!U8*U$77</f>
        <v>15285.4</v>
      </c>
      <c r="V8" s="11">
        <f>'增加值 (2001-2022, 当年价) '!V8*V$77</f>
        <v>17067.645704961466</v>
      </c>
      <c r="W8" s="12">
        <f>'增加值 (2001-2022, 当年价) '!W8*W$77</f>
        <v>16696.536385320014</v>
      </c>
      <c r="X8" s="67">
        <f>VLOOKUP($A8,平滑数据导入!$A$1:$AN$61,COLUMN(平滑数据导入!C$1),0)</f>
        <v>17528.172811370201</v>
      </c>
      <c r="Y8" s="67">
        <f>VLOOKUP($A8,平滑数据导入!$A$1:$AN$61,COLUMN(平滑数据导入!D$1),0)</f>
        <v>18346.360758450119</v>
      </c>
      <c r="Z8" s="137">
        <f t="shared" ref="Z8:BI8" si="4">Z59</f>
        <v>19144.295990420516</v>
      </c>
      <c r="AA8" s="69">
        <f>VLOOKUP($A8,平滑数据导入!$A$1:$AN$61,COLUMN(平滑数据导入!F$1),0)</f>
        <v>19914.90428677345</v>
      </c>
      <c r="AB8" s="67">
        <f>VLOOKUP($A8,平滑数据导入!$A$1:$AN$61,COLUMN(平滑数据导入!G$1),0)</f>
        <v>20650.9275154924</v>
      </c>
      <c r="AC8" s="67">
        <f>VLOOKUP($A8,平滑数据导入!$A$1:$AN$61,COLUMN(平滑数据导入!H$1),0)</f>
        <v>21345.020707842621</v>
      </c>
      <c r="AD8" s="67">
        <f>VLOOKUP($A8,平滑数据导入!$A$1:$AN$61,COLUMN(平滑数据导入!I$1),0)</f>
        <v>21989.8588431754</v>
      </c>
      <c r="AE8" s="137">
        <f t="shared" si="2"/>
        <v>22578.251649442162</v>
      </c>
      <c r="AF8" s="69">
        <f>VLOOKUP($A8,平滑数据导入!$A$1:$AN$61,COLUMN(平滑数据导入!K$1),0)</f>
        <v>23106.505893294609</v>
      </c>
      <c r="AG8" s="67">
        <f>VLOOKUP($A8,平滑数据导入!$A$1:$AN$61,COLUMN(平滑数据导入!L$1),0)</f>
        <v>23584.79806982385</v>
      </c>
      <c r="AH8" s="67">
        <f>VLOOKUP($A8,平滑数据导入!$A$1:$AN$61,COLUMN(平滑数据导入!M$1),0)</f>
        <v>24028.281398759991</v>
      </c>
      <c r="AI8" s="67">
        <f>VLOOKUP($A8,平滑数据导入!$A$1:$AN$61,COLUMN(平滑数据导入!N$1),0)</f>
        <v>24453.704799924781</v>
      </c>
      <c r="AJ8" s="137">
        <f t="shared" si="4"/>
        <v>24879.220875290674</v>
      </c>
      <c r="AK8" s="69">
        <f>VLOOKUP($A8,平滑数据导入!$A$1:$AN$61,COLUMN(平滑数据导入!P$1),0)</f>
        <v>25320.01655536818</v>
      </c>
      <c r="AL8" s="67">
        <f>VLOOKUP($A8,平滑数据导入!$A$1:$AN$61,COLUMN(平滑数据导入!Q$1),0)</f>
        <v>25774.843120200279</v>
      </c>
      <c r="AM8" s="67">
        <f>VLOOKUP($A8,平滑数据导入!$A$1:$AN$61,COLUMN(平滑数据导入!R$1),0)</f>
        <v>26237.88634549957</v>
      </c>
      <c r="AN8" s="67">
        <f>VLOOKUP($A8,平滑数据导入!$A$1:$AN$61,COLUMN(平滑数据导入!S$1),0)</f>
        <v>26702.89621662621</v>
      </c>
      <c r="AO8" s="70">
        <f>VLOOKUP($A8,平滑数据导入!$A$1:$AN$61,COLUMN(平滑数据导入!T$1),0)</f>
        <v>27163.174865440211</v>
      </c>
      <c r="AP8" s="69">
        <f>VLOOKUP($A8,平滑数据导入!$A$1:$AN$61,COLUMN(平滑数据导入!U$1),0)</f>
        <v>27611.58047671667</v>
      </c>
      <c r="AQ8" s="67">
        <f>VLOOKUP($A8,平滑数据导入!$A$1:$AN$61,COLUMN(平滑数据导入!V$1),0)</f>
        <v>28040.54903957959</v>
      </c>
      <c r="AR8" s="67">
        <f>VLOOKUP($A8,平滑数据导入!$A$1:$AN$61,COLUMN(平滑数据导入!W$1),0)</f>
        <v>28442.135725009339</v>
      </c>
      <c r="AS8" s="67">
        <f>VLOOKUP($A8,平滑数据导入!$A$1:$AN$61,COLUMN(平滑数据导入!X$1),0)</f>
        <v>28808.077439474539</v>
      </c>
      <c r="AT8" s="70">
        <f>VLOOKUP($A8,平滑数据导入!$A$1:$AN$61,COLUMN(平滑数据导入!Y$1),0)</f>
        <v>29129.877722114659</v>
      </c>
      <c r="AU8" s="69">
        <f>VLOOKUP($A8,平滑数据导入!$A$1:$AN$61,COLUMN(平滑数据导入!Z$1),0)</f>
        <v>29398.914608042742</v>
      </c>
      <c r="AV8" s="67">
        <f>VLOOKUP($A8,平滑数据导入!$A$1:$AN$61,COLUMN(平滑数据导入!AA$1),0)</f>
        <v>29606.571369255598</v>
      </c>
      <c r="AW8" s="67">
        <f>VLOOKUP($A8,平滑数据导入!$A$1:$AN$61,COLUMN(平滑数据导入!AB$1),0)</f>
        <v>29744.389172301839</v>
      </c>
      <c r="AX8" s="67">
        <f>VLOOKUP($A8,平滑数据导入!$A$1:$AN$61,COLUMN(平滑数据导入!AC$1),0)</f>
        <v>29804.239674331031</v>
      </c>
      <c r="AY8" s="137">
        <f t="shared" si="3"/>
        <v>29778.514445480832</v>
      </c>
      <c r="AZ8" s="69">
        <f>VLOOKUP($A8,平滑数据导入!$A$1:$AN$61,COLUMN(平滑数据导入!AE$1),0)</f>
        <v>29660.326898931118</v>
      </c>
      <c r="BA8" s="67">
        <f>VLOOKUP($A8,平滑数据导入!$A$1:$AN$61,COLUMN(平滑数据导入!AF$1),0)</f>
        <v>29443.72118803121</v>
      </c>
      <c r="BB8" s="67">
        <f>VLOOKUP($A8,平滑数据导入!$A$1:$AN$61,COLUMN(平滑数据导入!AG$1),0)</f>
        <v>29123.881363894088</v>
      </c>
      <c r="BC8" s="67">
        <f>VLOOKUP($A8,平滑数据导入!$A$1:$AN$61,COLUMN(平滑数据导入!AH$1),0)</f>
        <v>28697.333059245611</v>
      </c>
      <c r="BD8" s="70">
        <f>VLOOKUP($A8,平滑数据导入!$A$1:$AN$61,COLUMN(平滑数据导入!AI$1),0)</f>
        <v>28162.129164957889</v>
      </c>
      <c r="BE8" s="69">
        <f>VLOOKUP($A8,平滑数据导入!$A$1:$AN$61,COLUMN(平滑数据导入!AJ$1),0)</f>
        <v>27518.0104863247</v>
      </c>
      <c r="BF8" s="67">
        <f>VLOOKUP($A8,平滑数据导入!$A$1:$AN$61,COLUMN(平滑数据导入!AK$1),0)</f>
        <v>26766.53229344881</v>
      </c>
      <c r="BG8" s="67">
        <f>VLOOKUP($A8,平滑数据导入!$A$1:$AN$61,COLUMN(平滑数据导入!AL$1),0)</f>
        <v>25911.148087676171</v>
      </c>
      <c r="BH8" s="67">
        <f>VLOOKUP($A8,平滑数据导入!$A$1:$AN$61,COLUMN(平滑数据导入!AM$1),0)</f>
        <v>24957.242845712339</v>
      </c>
      <c r="BI8" s="137">
        <f t="shared" si="4"/>
        <v>23912.109496612862</v>
      </c>
    </row>
    <row r="9" spans="1:65" x14ac:dyDescent="0.2">
      <c r="A9" s="14" t="s">
        <v>7</v>
      </c>
      <c r="B9" s="11">
        <f>'增加值 (2001-2022, 当年价) '!B9*B$77</f>
        <v>9784.408500699994</v>
      </c>
      <c r="C9" s="12">
        <f>'增加值 (2001-2022, 当年价) '!C9*C$77</f>
        <v>10382.528937787503</v>
      </c>
      <c r="D9" s="12">
        <f>'增加值 (2001-2022, 当年价) '!D9*D$77</f>
        <v>11007.589536974048</v>
      </c>
      <c r="E9" s="12">
        <f>'增加值 (2001-2022, 当年价) '!E9*E$77</f>
        <v>11234.659311987014</v>
      </c>
      <c r="F9" s="13">
        <f>'增加值 (2001-2022, 当年价) '!F9*F$77</f>
        <v>12264.296250729163</v>
      </c>
      <c r="G9" s="11">
        <f>'增加值 (2001-2022, 当年价) '!G9*G$77</f>
        <v>15717.404628357772</v>
      </c>
      <c r="H9" s="12">
        <f>'增加值 (2001-2022, 当年价) '!H9*H$77</f>
        <v>22227.765856134683</v>
      </c>
      <c r="I9" s="12">
        <f>'增加值 (2001-2022, 当年价) '!I9*I$77</f>
        <v>24898.85730634338</v>
      </c>
      <c r="J9" s="12">
        <f>'增加值 (2001-2022, 当年价) '!J9*J$77</f>
        <v>29699.732335281249</v>
      </c>
      <c r="K9" s="13">
        <f>'增加值 (2001-2022, 当年价) '!K9*K$77</f>
        <v>32735.023671667281</v>
      </c>
      <c r="L9" s="11">
        <f>'增加值 (2001-2022, 当年价) '!L9*L$77</f>
        <v>36207.040865314841</v>
      </c>
      <c r="M9" s="12">
        <f>'增加值 (2001-2022, 当年价) '!M9*M$77</f>
        <v>40602.972624593269</v>
      </c>
      <c r="N9" s="12">
        <f>'增加值 (2001-2022, 当年价) '!N9*N$77</f>
        <v>46542.227698753755</v>
      </c>
      <c r="O9" s="12">
        <f>'增加值 (2001-2022, 当年价) '!O9*O$77</f>
        <v>52257.487203405923</v>
      </c>
      <c r="P9" s="13">
        <f>'增加值 (2001-2022, 当年价) '!P9*P$77</f>
        <v>62771.042778023329</v>
      </c>
      <c r="Q9" s="11">
        <f>'增加值 (2001-2022, 当年价) '!Q9*Q$77</f>
        <v>65898.479240726272</v>
      </c>
      <c r="R9" s="12">
        <f>'增加值 (2001-2022, 当年价) '!R9*R$77</f>
        <v>68337.804624444689</v>
      </c>
      <c r="S9" s="12">
        <f>'增加值 (2001-2022, 当年价) '!S9*S$77</f>
        <v>71864.668488840805</v>
      </c>
      <c r="T9" s="12">
        <f>'增加值 (2001-2022, 当年价) '!T9*T$77</f>
        <v>76655.099319507237</v>
      </c>
      <c r="U9" s="13">
        <f>'增加值 (2001-2022, 当年价) '!U9*U$77</f>
        <v>83617.7</v>
      </c>
      <c r="V9" s="11">
        <f>'增加值 (2001-2022, 当年价) '!V9*V$77</f>
        <v>87195.415071666503</v>
      </c>
      <c r="W9" s="12">
        <f>'增加值 (2001-2022, 当年价) '!W9*W$77</f>
        <v>90528.212015436089</v>
      </c>
      <c r="X9" s="67">
        <f>VLOOKUP($A9,平滑数据导入!$A$1:$AN$61,COLUMN(平滑数据导入!C$1),0)</f>
        <v>95394.858794102664</v>
      </c>
      <c r="Y9" s="67">
        <f>VLOOKUP($A9,平滑数据导入!$A$1:$AN$61,COLUMN(平滑数据导入!D$1),0)</f>
        <v>100548.2743168114</v>
      </c>
      <c r="Z9" s="137">
        <f t="shared" ref="Z9:BI9" si="5">Z60</f>
        <v>105932.20039135663</v>
      </c>
      <c r="AA9" s="69">
        <f>VLOOKUP($A9,平滑数据导入!$A$1:$AN$61,COLUMN(平滑数据导入!F$1),0)</f>
        <v>111475.6929844199</v>
      </c>
      <c r="AB9" s="67">
        <f>VLOOKUP($A9,平滑数据导入!$A$1:$AN$61,COLUMN(平滑数据导入!G$1),0)</f>
        <v>117091.7450733156</v>
      </c>
      <c r="AC9" s="67">
        <f>VLOOKUP($A9,平滑数据导入!$A$1:$AN$61,COLUMN(平滑数据导入!H$1),0)</f>
        <v>122676.5013383295</v>
      </c>
      <c r="AD9" s="67">
        <f>VLOOKUP($A9,平滑数据导入!$A$1:$AN$61,COLUMN(平滑数据导入!I$1),0)</f>
        <v>128109.2784743755</v>
      </c>
      <c r="AE9" s="137">
        <f t="shared" si="2"/>
        <v>133253.61024118628</v>
      </c>
      <c r="AF9" s="69">
        <f>VLOOKUP($A9,平滑数据导入!$A$1:$AN$61,COLUMN(平滑数据导入!K$1),0)</f>
        <v>137992.68774006801</v>
      </c>
      <c r="AG9" s="67">
        <f>VLOOKUP($A9,平滑数据导入!$A$1:$AN$61,COLUMN(平滑数据导入!L$1),0)</f>
        <v>142340.6512200367</v>
      </c>
      <c r="AH9" s="67">
        <f>VLOOKUP($A9,平滑数据导入!$A$1:$AN$61,COLUMN(平滑数据导入!M$1),0)</f>
        <v>146358.88872698889</v>
      </c>
      <c r="AI9" s="67">
        <f>VLOOKUP($A9,平滑数据导入!$A$1:$AN$61,COLUMN(平滑数据导入!N$1),0)</f>
        <v>150123.27603322419</v>
      </c>
      <c r="AJ9" s="137">
        <f t="shared" si="5"/>
        <v>153722.42705041473</v>
      </c>
      <c r="AK9" s="69">
        <f>VLOOKUP($A9,平滑数据导入!$A$1:$AN$61,COLUMN(平滑数据导入!P$1),0)</f>
        <v>157234.48965119969</v>
      </c>
      <c r="AL9" s="67">
        <f>VLOOKUP($A9,平滑数据导入!$A$1:$AN$61,COLUMN(平滑数据导入!Q$1),0)</f>
        <v>160656.8948082042</v>
      </c>
      <c r="AM9" s="67">
        <f>VLOOKUP($A9,平滑数据导入!$A$1:$AN$61,COLUMN(平滑数据导入!R$1),0)</f>
        <v>163964.9792716158</v>
      </c>
      <c r="AN9" s="67">
        <f>VLOOKUP($A9,平滑数据导入!$A$1:$AN$61,COLUMN(平滑数据导入!S$1),0)</f>
        <v>167133.00082888399</v>
      </c>
      <c r="AO9" s="70">
        <f>VLOOKUP($A9,平滑数据导入!$A$1:$AN$61,COLUMN(平滑数据导入!T$1),0)</f>
        <v>170134.3130768277</v>
      </c>
      <c r="AP9" s="69">
        <f>VLOOKUP($A9,平滑数据导入!$A$1:$AN$61,COLUMN(平滑数据导入!U$1),0)</f>
        <v>172941.57412882449</v>
      </c>
      <c r="AQ9" s="67">
        <f>VLOOKUP($A9,平滑数据导入!$A$1:$AN$61,COLUMN(平滑数据导入!V$1),0)</f>
        <v>175526.98940617981</v>
      </c>
      <c r="AR9" s="67">
        <f>VLOOKUP($A9,平滑数据导入!$A$1:$AN$61,COLUMN(平滑数据导入!W$1),0)</f>
        <v>177862.58789528391</v>
      </c>
      <c r="AS9" s="67">
        <f>VLOOKUP($A9,平滑数据导入!$A$1:$AN$61,COLUMN(平滑数据导入!X$1),0)</f>
        <v>179920.53038881641</v>
      </c>
      <c r="AT9" s="70">
        <f>VLOOKUP($A9,平滑数据导入!$A$1:$AN$61,COLUMN(平滑数据导入!Y$1),0)</f>
        <v>181673.44728329251</v>
      </c>
      <c r="AU9" s="69">
        <f>VLOOKUP($A9,平滑数据导入!$A$1:$AN$61,COLUMN(平滑数据导入!Z$1),0)</f>
        <v>183094.80249506721</v>
      </c>
      <c r="AV9" s="67">
        <f>VLOOKUP($A9,平滑数据导入!$A$1:$AN$61,COLUMN(平滑数据导入!AA$1),0)</f>
        <v>184159.2790064755</v>
      </c>
      <c r="AW9" s="67">
        <f>VLOOKUP($A9,平滑数据导入!$A$1:$AN$61,COLUMN(平滑数据导入!AB$1),0)</f>
        <v>184843.18049226259</v>
      </c>
      <c r="AX9" s="67">
        <f>VLOOKUP($A9,平滑数据导入!$A$1:$AN$61,COLUMN(平滑数据导入!AC$1),0)</f>
        <v>185124.84243807499</v>
      </c>
      <c r="AY9" s="137">
        <f t="shared" si="3"/>
        <v>184985.04518608071</v>
      </c>
      <c r="AZ9" s="69">
        <f>VLOOKUP($A9,平滑数据导入!$A$1:$AN$61,COLUMN(平滑数据导入!AE$1),0)</f>
        <v>184407.42046956779</v>
      </c>
      <c r="BA9" s="67">
        <f>VLOOKUP($A9,平滑数据导入!$A$1:$AN$61,COLUMN(平滑数据导入!AF$1),0)</f>
        <v>183378.84227252749</v>
      </c>
      <c r="BB9" s="67">
        <f>VLOOKUP($A9,平滑数据导入!$A$1:$AN$61,COLUMN(平滑数据导入!AG$1),0)</f>
        <v>181889.79231590679</v>
      </c>
      <c r="BC9" s="67">
        <f>VLOOKUP($A9,平滑数据导入!$A$1:$AN$61,COLUMN(平滑数据导入!AH$1),0)</f>
        <v>179934.6901720833</v>
      </c>
      <c r="BD9" s="70">
        <f>VLOOKUP($A9,平滑数据导入!$A$1:$AN$61,COLUMN(平滑数据导入!AI$1),0)</f>
        <v>177512.17798202531</v>
      </c>
      <c r="BE9" s="69">
        <f>VLOOKUP($A9,平滑数据导入!$A$1:$AN$61,COLUMN(平滑数据导入!AJ$1),0)</f>
        <v>174625.35002840971</v>
      </c>
      <c r="BF9" s="67">
        <f>VLOOKUP($A9,平滑数据导入!$A$1:$AN$61,COLUMN(平滑数据导入!AK$1),0)</f>
        <v>171281.91802718121</v>
      </c>
      <c r="BG9" s="67">
        <f>VLOOKUP($A9,平滑数据导入!$A$1:$AN$61,COLUMN(平滑数据导入!AL$1),0)</f>
        <v>167494.303953494</v>
      </c>
      <c r="BH9" s="67">
        <f>VLOOKUP($A9,平滑数据导入!$A$1:$AN$61,COLUMN(平滑数据导入!AM$1),0)</f>
        <v>163279.65351692561</v>
      </c>
      <c r="BI9" s="137">
        <f t="shared" si="5"/>
        <v>158659.76503227933</v>
      </c>
    </row>
    <row r="10" spans="1:65" x14ac:dyDescent="0.2">
      <c r="A10" s="14" t="s">
        <v>8</v>
      </c>
      <c r="B10" s="11">
        <f>'增加值 (2001-2022, 当年价) '!B10*B$77</f>
        <v>8849.7481207415294</v>
      </c>
      <c r="C10" s="12">
        <f>'增加值 (2001-2022, 当年价) '!C10*C$77</f>
        <v>9968.9694766959637</v>
      </c>
      <c r="D10" s="12">
        <f>'增加值 (2001-2022, 当年价) '!D10*D$77</f>
        <v>11210.23682603325</v>
      </c>
      <c r="E10" s="12">
        <f>'增加值 (2001-2022, 当年价) '!E10*E$77</f>
        <v>12174.086673928416</v>
      </c>
      <c r="F10" s="13">
        <f>'增加值 (2001-2022, 当年价) '!F10*F$77</f>
        <v>13897.18752418652</v>
      </c>
      <c r="G10" s="11">
        <f>'增加值 (2001-2022, 当年价) '!G10*G$77</f>
        <v>16266.835276597949</v>
      </c>
      <c r="H10" s="12">
        <f>'增加值 (2001-2022, 当年价) '!H10*H$77</f>
        <v>20054.709273094148</v>
      </c>
      <c r="I10" s="12">
        <f>'增加值 (2001-2022, 当年价) '!I10*I$77</f>
        <v>19815.693481260099</v>
      </c>
      <c r="J10" s="12">
        <f>'增加值 (2001-2022, 当年价) '!J10*J$77</f>
        <v>25515.727051401482</v>
      </c>
      <c r="K10" s="13">
        <f>'增加值 (2001-2022, 当年价) '!K10*K$77</f>
        <v>29673.719962985957</v>
      </c>
      <c r="L10" s="11">
        <f>'增加值 (2001-2022, 当年价) '!L10*L$77</f>
        <v>32713.773617339204</v>
      </c>
      <c r="M10" s="12">
        <f>'增加值 (2001-2022, 当年价) '!M10*M$77</f>
        <v>35399.508787493542</v>
      </c>
      <c r="N10" s="12">
        <f>'增加值 (2001-2022, 当年价) '!N10*N$77</f>
        <v>39832.538462927179</v>
      </c>
      <c r="O10" s="12">
        <f>'增加值 (2001-2022, 当年价) '!O10*O$77</f>
        <v>42479.298420686639</v>
      </c>
      <c r="P10" s="13">
        <f>'增加值 (2001-2022, 当年价) '!P10*P$77</f>
        <v>47467.341287589115</v>
      </c>
      <c r="Q10" s="11">
        <f>'增加值 (2001-2022, 当年价) '!Q10*Q$77</f>
        <v>54914.739986851237</v>
      </c>
      <c r="R10" s="12">
        <f>'增加值 (2001-2022, 当年价) '!R10*R$77</f>
        <v>60161.524062886783</v>
      </c>
      <c r="S10" s="12">
        <f>'增加值 (2001-2022, 当年价) '!S10*S$77</f>
        <v>65771.006096197845</v>
      </c>
      <c r="T10" s="12">
        <f>'增加值 (2001-2022, 当年价) '!T10*T$77</f>
        <v>70818.500320559091</v>
      </c>
      <c r="U10" s="13">
        <f>'增加值 (2001-2022, 当年价) '!U10*U$77</f>
        <v>73425.3</v>
      </c>
      <c r="V10" s="11">
        <f>'增加值 (2001-2022, 当年价) '!V10*V$77</f>
        <v>74150.558181630418</v>
      </c>
      <c r="W10" s="12">
        <f>'增加值 (2001-2022, 当年价) '!W10*W$77</f>
        <v>69030.48514791824</v>
      </c>
      <c r="X10" s="67">
        <f>VLOOKUP($A10,平滑数据导入!$A$1:$AN$61,COLUMN(平滑数据导入!C$1),0)</f>
        <v>73092.815036197891</v>
      </c>
      <c r="Y10" s="67">
        <f>VLOOKUP($A10,平滑数据导入!$A$1:$AN$61,COLUMN(平滑数据导入!D$1),0)</f>
        <v>77128.309574413186</v>
      </c>
      <c r="Z10" s="137">
        <f t="shared" ref="Z10:BI10" si="6">Z61</f>
        <v>81098.17811667861</v>
      </c>
      <c r="AA10" s="69">
        <f>VLOOKUP($A10,平滑数据导入!$A$1:$AN$61,COLUMN(平滑数据导入!F$1),0)</f>
        <v>84960.946244032093</v>
      </c>
      <c r="AB10" s="67">
        <f>VLOOKUP($A10,平滑数据导入!$A$1:$AN$61,COLUMN(平滑数据导入!G$1),0)</f>
        <v>88672.987275190448</v>
      </c>
      <c r="AC10" s="67">
        <f>VLOOKUP($A10,平滑数据导入!$A$1:$AN$61,COLUMN(平滑数据导入!H$1),0)</f>
        <v>92189.167317818807</v>
      </c>
      <c r="AD10" s="67">
        <f>VLOOKUP($A10,平滑数据导入!$A$1:$AN$61,COLUMN(平滑数据导入!I$1),0)</f>
        <v>95463.597607615695</v>
      </c>
      <c r="AE10" s="137">
        <f t="shared" si="2"/>
        <v>98450.483100471567</v>
      </c>
      <c r="AF10" s="69">
        <f>VLOOKUP($A10,平滑数据导入!$A$1:$AN$61,COLUMN(平滑数据导入!K$1),0)</f>
        <v>101125.555489711</v>
      </c>
      <c r="AG10" s="67">
        <f>VLOOKUP($A10,平滑数据导入!$A$1:$AN$61,COLUMN(平滑数据导入!L$1),0)</f>
        <v>103552.3912651089</v>
      </c>
      <c r="AH10" s="67">
        <f>VLOOKUP($A10,平滑数据导入!$A$1:$AN$61,COLUMN(平滑数据导入!M$1),0)</f>
        <v>105827.04828284431</v>
      </c>
      <c r="AI10" s="67">
        <f>VLOOKUP($A10,平滑数据导入!$A$1:$AN$61,COLUMN(平滑数据导入!N$1),0)</f>
        <v>108056.7168749166</v>
      </c>
      <c r="AJ10" s="137">
        <f t="shared" si="6"/>
        <v>110358.7017801468</v>
      </c>
      <c r="AK10" s="69">
        <f>VLOOKUP($A10,平滑数据导入!$A$1:$AN$61,COLUMN(平滑数据导入!P$1),0)</f>
        <v>112834.74073614441</v>
      </c>
      <c r="AL10" s="67">
        <f>VLOOKUP($A10,平滑数据导入!$A$1:$AN$61,COLUMN(平滑数据导入!Q$1),0)</f>
        <v>115489.9735763557</v>
      </c>
      <c r="AM10" s="67">
        <f>VLOOKUP($A10,平滑数据导入!$A$1:$AN$61,COLUMN(平滑数据导入!R$1),0)</f>
        <v>118302.8458042634</v>
      </c>
      <c r="AN10" s="67">
        <f>VLOOKUP($A10,平滑数据导入!$A$1:$AN$61,COLUMN(平滑数据导入!S$1),0)</f>
        <v>121249.46578397541</v>
      </c>
      <c r="AO10" s="70">
        <f>VLOOKUP($A10,平滑数据导入!$A$1:$AN$61,COLUMN(平滑数据导入!T$1),0)</f>
        <v>124303.2480503288</v>
      </c>
      <c r="AP10" s="69">
        <f>VLOOKUP($A10,平滑数据导入!$A$1:$AN$61,COLUMN(平滑数据导入!U$1),0)</f>
        <v>127434.60881296769</v>
      </c>
      <c r="AQ10" s="67">
        <f>VLOOKUP($A10,平滑数据导入!$A$1:$AN$61,COLUMN(平滑数据导入!V$1),0)</f>
        <v>130610.72566557259</v>
      </c>
      <c r="AR10" s="67">
        <f>VLOOKUP($A10,平滑数据导入!$A$1:$AN$61,COLUMN(平滑数据导入!W$1),0)</f>
        <v>133795.3754639104</v>
      </c>
      <c r="AS10" s="67">
        <f>VLOOKUP($A10,平滑数据导入!$A$1:$AN$61,COLUMN(平滑数据导入!X$1),0)</f>
        <v>136948.86581312661</v>
      </c>
      <c r="AT10" s="70">
        <f>VLOOKUP($A10,平滑数据导入!$A$1:$AN$61,COLUMN(平滑数据导入!Y$1),0)</f>
        <v>140028.07645217021</v>
      </c>
      <c r="AU10" s="69">
        <f>VLOOKUP($A10,平滑数据导入!$A$1:$AN$61,COLUMN(平滑数据导入!Z$1),0)</f>
        <v>142986.62687115441</v>
      </c>
      <c r="AV10" s="67">
        <f>VLOOKUP($A10,平滑数据导入!$A$1:$AN$61,COLUMN(平滑数据导入!AA$1),0)</f>
        <v>145775.1855694261</v>
      </c>
      <c r="AW10" s="67">
        <f>VLOOKUP($A10,平滑数据导入!$A$1:$AN$61,COLUMN(平滑数据导入!AB$1),0)</f>
        <v>148341.9342898177</v>
      </c>
      <c r="AX10" s="67">
        <f>VLOOKUP($A10,平滑数据导入!$A$1:$AN$61,COLUMN(平滑数据导入!AC$1),0)</f>
        <v>150633.1972048484</v>
      </c>
      <c r="AY10" s="137">
        <f t="shared" si="3"/>
        <v>152594.24028595633</v>
      </c>
      <c r="AZ10" s="69">
        <f>VLOOKUP($A10,平滑数据导入!$A$1:$AN$61,COLUMN(平滑数据导入!AE$1),0)</f>
        <v>154170.2399268935</v>
      </c>
      <c r="BA10" s="67">
        <f>VLOOKUP($A10,平滑数据导入!$A$1:$AN$61,COLUMN(平滑数据导入!AF$1),0)</f>
        <v>155307.41237685189</v>
      </c>
      <c r="BB10" s="67">
        <f>VLOOKUP($A10,平滑数据导入!$A$1:$AN$61,COLUMN(平滑数据导入!AG$1),0)</f>
        <v>155954.28683750899</v>
      </c>
      <c r="BC10" s="67">
        <f>VLOOKUP($A10,平滑数据导入!$A$1:$AN$61,COLUMN(平滑数据导入!AH$1),0)</f>
        <v>156063.09548740191</v>
      </c>
      <c r="BD10" s="70">
        <f>VLOOKUP($A10,平滑数据导入!$A$1:$AN$61,COLUMN(平滑数据导入!AI$1),0)</f>
        <v>155591.24364853781</v>
      </c>
      <c r="BE10" s="69">
        <f>VLOOKUP($A10,平滑数据导入!$A$1:$AN$61,COLUMN(平滑数据导入!AJ$1),0)</f>
        <v>154502.81336934911</v>
      </c>
      <c r="BF10" s="67">
        <f>VLOOKUP($A10,平滑数据导入!$A$1:$AN$61,COLUMN(平滑数据导入!AK$1),0)</f>
        <v>152770.04454935031</v>
      </c>
      <c r="BG10" s="67">
        <f>VLOOKUP($A10,平滑数据导入!$A$1:$AN$61,COLUMN(平滑数据导入!AL$1),0)</f>
        <v>150374.7301473009</v>
      </c>
      <c r="BH10" s="67">
        <f>VLOOKUP($A10,平滑数据导入!$A$1:$AN$61,COLUMN(平滑数据导入!AM$1),0)</f>
        <v>147309.4568117717</v>
      </c>
      <c r="BI10" s="137">
        <f t="shared" si="6"/>
        <v>143578.62024664911</v>
      </c>
    </row>
    <row r="11" spans="1:65" x14ac:dyDescent="0.2">
      <c r="A11" s="15" t="s">
        <v>9</v>
      </c>
      <c r="B11" s="16">
        <f>'增加值 (2001-2022, 当年价) '!B11*B$77</f>
        <v>31937.552049663198</v>
      </c>
      <c r="C11" s="17">
        <f>'增加值 (2001-2022, 当年价) '!C11*C$77</f>
        <v>37036.464236731954</v>
      </c>
      <c r="D11" s="17">
        <f>'增加值 (2001-2022, 当年价) '!D11*D$77</f>
        <v>41428.534463569165</v>
      </c>
      <c r="E11" s="17">
        <f>'增加值 (2001-2022, 当年价) '!E11*E$77</f>
        <v>45540.864826594312</v>
      </c>
      <c r="F11" s="18">
        <f>'增加值 (2001-2022, 当年价) '!F11*F$77</f>
        <v>52003.008017669003</v>
      </c>
      <c r="G11" s="16">
        <f>'增加值 (2001-2022, 当年价) '!G11*G$77</f>
        <v>58175.343577348067</v>
      </c>
      <c r="H11" s="17">
        <f>'增加值 (2001-2022, 当年价) '!H11*H$77</f>
        <v>65164.643960404319</v>
      </c>
      <c r="I11" s="17">
        <f>'增加值 (2001-2022, 当年价) '!I11*I$77</f>
        <v>72161.979645155414</v>
      </c>
      <c r="J11" s="17">
        <f>'增加值 (2001-2022, 当年价) '!J11*J$77</f>
        <v>81608.164173365454</v>
      </c>
      <c r="K11" s="18">
        <f>'增加值 (2001-2022, 当年价) '!K11*K$77</f>
        <v>87335.50289981447</v>
      </c>
      <c r="L11" s="16">
        <f>'增加值 (2001-2022, 当年价) '!L11*L$77</f>
        <v>95480.12595779878</v>
      </c>
      <c r="M11" s="17">
        <f>'增加值 (2001-2022, 当年价) '!M11*M$77</f>
        <v>107103.2013242258</v>
      </c>
      <c r="N11" s="17">
        <f>'增加值 (2001-2022, 当年价) '!N11*N$77</f>
        <v>119301.61086028998</v>
      </c>
      <c r="O11" s="17">
        <f>'增加值 (2001-2022, 当年价) '!O11*O$77</f>
        <v>133415.33875963348</v>
      </c>
      <c r="P11" s="18">
        <f>'增加值 (2001-2022, 当年价) '!P11*P$77</f>
        <v>152587.13558397276</v>
      </c>
      <c r="Q11" s="16">
        <f>'增加值 (2001-2022, 当年价) '!Q11*Q$77</f>
        <v>172256.87078333952</v>
      </c>
      <c r="R11" s="17">
        <f>'增加值 (2001-2022, 当年价) '!R11*R$77</f>
        <v>188734.62401960831</v>
      </c>
      <c r="S11" s="17">
        <f>'增加值 (2001-2022, 当年价) '!S11*S$77</f>
        <v>207771.77156290377</v>
      </c>
      <c r="T11" s="17">
        <f>'增加值 (2001-2022, 当年价) '!T11*T$77</f>
        <v>228923.80211593144</v>
      </c>
      <c r="U11" s="18">
        <f>'增加值 (2001-2022, 当年价) '!U11*U$77</f>
        <v>237825.3</v>
      </c>
      <c r="V11" s="16">
        <f>'增加值 (2001-2022, 当年价) '!V11*V$77</f>
        <v>248575.80545442237</v>
      </c>
      <c r="W11" s="17">
        <f>'增加值 (2001-2022, 当年价) '!W11*W$77</f>
        <v>261752.40687754125</v>
      </c>
      <c r="X11" s="72">
        <f>VLOOKUP($A11,平滑数据导入!$A$1:$AN$61,COLUMN(平滑数据导入!C$1),0)</f>
        <v>286061.12729809672</v>
      </c>
      <c r="Y11" s="72">
        <f>VLOOKUP($A11,平滑数据导入!$A$1:$AN$61,COLUMN(平滑数据导入!D$1),0)</f>
        <v>312803.81186166411</v>
      </c>
      <c r="Z11" s="138">
        <f t="shared" ref="Z11:BI11" si="7">SUM(Z62:Z70)</f>
        <v>342027.17617849534</v>
      </c>
      <c r="AA11" s="74">
        <f>VLOOKUP($A11,平滑数据导入!$A$1:$AN$61,COLUMN(平滑数据导入!F$1),0)</f>
        <v>373724.51380102732</v>
      </c>
      <c r="AB11" s="72">
        <f>VLOOKUP($A11,平滑数据导入!$A$1:$AN$61,COLUMN(平滑数据导入!G$1),0)</f>
        <v>407819.65638147708</v>
      </c>
      <c r="AC11" s="72">
        <f>VLOOKUP($A11,平滑数据导入!$A$1:$AN$61,COLUMN(平滑数据导入!H$1),0)</f>
        <v>444149.72200391977</v>
      </c>
      <c r="AD11" s="72">
        <f>VLOOKUP($A11,平滑数据导入!$A$1:$AN$61,COLUMN(平滑数据导入!I$1),0)</f>
        <v>482447.47001944011</v>
      </c>
      <c r="AE11" s="138">
        <f>SUM(AE62:AE70)</f>
        <v>522324.45065283589</v>
      </c>
      <c r="AF11" s="74">
        <f>VLOOKUP($A11,平滑数据导入!$A$1:$AN$61,COLUMN(平滑数据导入!K$1),0)</f>
        <v>563367.90546009713</v>
      </c>
      <c r="AG11" s="72">
        <f>VLOOKUP($A11,平滑数据导入!$A$1:$AN$61,COLUMN(平滑数据导入!L$1),0)</f>
        <v>605532.26484817185</v>
      </c>
      <c r="AH11" s="72">
        <f>VLOOKUP($A11,平滑数据导入!$A$1:$AN$61,COLUMN(平滑数据导入!M$1),0)</f>
        <v>648922.23886767682</v>
      </c>
      <c r="AI11" s="72">
        <f>VLOOKUP($A11,平滑数据导入!$A$1:$AN$61,COLUMN(平滑数据导入!N$1),0)</f>
        <v>693703.9696041001</v>
      </c>
      <c r="AJ11" s="138">
        <f t="shared" si="7"/>
        <v>740111.5131786745</v>
      </c>
      <c r="AK11" s="74">
        <f>VLOOKUP($A11,平滑数据导入!$A$1:$AN$61,COLUMN(平滑数据导入!P$1),0)</f>
        <v>788381.07403337758</v>
      </c>
      <c r="AL11" s="72">
        <f>VLOOKUP($A11,平滑数据导入!$A$1:$AN$61,COLUMN(平滑数据导入!Q$1),0)</f>
        <v>838504.67009468935</v>
      </c>
      <c r="AM11" s="72">
        <f>VLOOKUP($A11,平滑数据导入!$A$1:$AN$61,COLUMN(平滑数据导入!R$1),0)</f>
        <v>890390.82673368626</v>
      </c>
      <c r="AN11" s="72">
        <f>VLOOKUP($A11,平滑数据导入!$A$1:$AN$61,COLUMN(平滑数据导入!S$1),0)</f>
        <v>943928.44647800596</v>
      </c>
      <c r="AO11" s="75">
        <f>VLOOKUP($A11,平滑数据导入!$A$1:$AN$61,COLUMN(平滑数据导入!T$1),0)</f>
        <v>998986.41800608533</v>
      </c>
      <c r="AP11" s="74">
        <f>VLOOKUP($A11,平滑数据导入!$A$1:$AN$61,COLUMN(平滑数据导入!U$1),0)</f>
        <v>1055413.4566476471</v>
      </c>
      <c r="AQ11" s="72">
        <f>VLOOKUP($A11,平滑数据导入!$A$1:$AN$61,COLUMN(平滑数据导入!V$1),0)</f>
        <v>1113038.1998339209</v>
      </c>
      <c r="AR11" s="72">
        <f>VLOOKUP($A11,平滑数据导入!$A$1:$AN$61,COLUMN(平滑数据导入!W$1),0)</f>
        <v>1171669.578571571</v>
      </c>
      <c r="AS11" s="72">
        <f>VLOOKUP($A11,平滑数据导入!$A$1:$AN$61,COLUMN(平滑数据导入!X$1),0)</f>
        <v>1231097.482938637</v>
      </c>
      <c r="AT11" s="75">
        <f>VLOOKUP($A11,平滑数据导入!$A$1:$AN$61,COLUMN(平滑数据导入!Y$1),0)</f>
        <v>1291093.7358027219</v>
      </c>
      <c r="AU11" s="74">
        <f>VLOOKUP($A11,平滑数据导入!$A$1:$AN$61,COLUMN(平滑数据导入!Z$1),0)</f>
        <v>1351413.384442158</v>
      </c>
      <c r="AV11" s="72">
        <f>VLOOKUP($A11,平滑数据导入!$A$1:$AN$61,COLUMN(平滑数据导入!AA$1),0)</f>
        <v>1411796.3145322599</v>
      </c>
      <c r="AW11" s="72">
        <f>VLOOKUP($A11,平滑数据导入!$A$1:$AN$61,COLUMN(平滑数据导入!AB$1),0)</f>
        <v>1471969.1850865551</v>
      </c>
      <c r="AX11" s="72">
        <f>VLOOKUP($A11,平滑数据导入!$A$1:$AN$61,COLUMN(平滑数据导入!AC$1),0)</f>
        <v>1531647.6764887881</v>
      </c>
      <c r="AY11" s="138">
        <f>SUM(AY62:AY70)</f>
        <v>1590539.0368156587</v>
      </c>
      <c r="AZ11" s="74">
        <f>VLOOKUP($A11,平滑数据导入!$A$1:$AN$61,COLUMN(平滑数据导入!AE$1),0)</f>
        <v>1648344.9043608611</v>
      </c>
      <c r="BA11" s="72">
        <f>VLOOKUP($A11,平滑数据导入!$A$1:$AN$61,COLUMN(平滑数据导入!AF$1),0)</f>
        <v>1704764.376786218</v>
      </c>
      <c r="BB11" s="72">
        <f>VLOOKUP($A11,平滑数据导入!$A$1:$AN$61,COLUMN(平滑数据导入!AG$1),0)</f>
        <v>1759497.2898302351</v>
      </c>
      <c r="BC11" s="72">
        <f>VLOOKUP($A11,平滑数据导入!$A$1:$AN$61,COLUMN(平滑数据导入!AH$1),0)</f>
        <v>1812247.6612083849</v>
      </c>
      <c r="BD11" s="75">
        <f>VLOOKUP($A11,平滑数据导入!$A$1:$AN$61,COLUMN(平滑数据导入!AI$1),0)</f>
        <v>1862727.248472899</v>
      </c>
      <c r="BE11" s="74">
        <f>VLOOKUP($A11,平滑数据导入!$A$1:$AN$61,COLUMN(平滑数据导入!AJ$1),0)</f>
        <v>1910659.163407665</v>
      </c>
      <c r="BF11" s="72">
        <f>VLOOKUP($A11,平滑数据导入!$A$1:$AN$61,COLUMN(平滑数据导入!AK$1),0)</f>
        <v>1955781.480266829</v>
      </c>
      <c r="BG11" s="72">
        <f>VLOOKUP($A11,平滑数据导入!$A$1:$AN$61,COLUMN(平滑数据导入!AL$1),0)</f>
        <v>1997850.771073458</v>
      </c>
      <c r="BH11" s="72">
        <f>VLOOKUP($A11,平滑数据导入!$A$1:$AN$61,COLUMN(平滑数据导入!AM$1),0)</f>
        <v>2036645.4985129051</v>
      </c>
      <c r="BI11" s="138">
        <f t="shared" si="7"/>
        <v>2071969.1958970635</v>
      </c>
    </row>
    <row r="12" spans="1:65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2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5" s="9" customFormat="1" x14ac:dyDescent="0.2">
      <c r="A13" s="4" t="s">
        <v>2</v>
      </c>
      <c r="B13" s="6">
        <f>B4</f>
        <v>82472.588935236359</v>
      </c>
      <c r="C13" s="7">
        <f t="shared" ref="C13:BI13" si="8">C4</f>
        <v>89280.442375518236</v>
      </c>
      <c r="D13" s="7">
        <f t="shared" si="8"/>
        <v>100799.63833201525</v>
      </c>
      <c r="E13" s="7">
        <f t="shared" si="8"/>
        <v>111960.0304202925</v>
      </c>
      <c r="F13" s="8">
        <f t="shared" si="8"/>
        <v>127718.90013401274</v>
      </c>
      <c r="G13" s="6">
        <f t="shared" si="8"/>
        <v>145373.42336474854</v>
      </c>
      <c r="H13" s="7">
        <f t="shared" si="8"/>
        <v>163331.37833449789</v>
      </c>
      <c r="I13" s="7">
        <f t="shared" si="8"/>
        <v>178777.31335147261</v>
      </c>
      <c r="J13" s="7">
        <f t="shared" si="8"/>
        <v>187816.58747999065</v>
      </c>
      <c r="K13" s="8">
        <f t="shared" si="8"/>
        <v>210052.75645915509</v>
      </c>
      <c r="L13" s="6">
        <f t="shared" si="8"/>
        <v>229790.33434331449</v>
      </c>
      <c r="M13" s="39">
        <f t="shared" si="8"/>
        <v>240473.17222739744</v>
      </c>
      <c r="N13" s="39">
        <f t="shared" si="8"/>
        <v>250594.10025312903</v>
      </c>
      <c r="O13" s="39">
        <f t="shared" si="8"/>
        <v>260094.46798668895</v>
      </c>
      <c r="P13" s="40">
        <f t="shared" si="8"/>
        <v>261976.82537780039</v>
      </c>
      <c r="Q13" s="38">
        <f t="shared" si="8"/>
        <v>269693.62544095406</v>
      </c>
      <c r="R13" s="39">
        <f t="shared" si="8"/>
        <v>289941.42849585827</v>
      </c>
      <c r="S13" s="39">
        <f t="shared" si="8"/>
        <v>306438.05124800676</v>
      </c>
      <c r="T13" s="39">
        <f t="shared" si="8"/>
        <v>313513.06904014404</v>
      </c>
      <c r="U13" s="40">
        <f t="shared" si="8"/>
        <v>312902.90000000002</v>
      </c>
      <c r="V13" s="38">
        <f t="shared" si="8"/>
        <v>356193.67592506018</v>
      </c>
      <c r="W13" s="39">
        <f t="shared" si="8"/>
        <v>375578.60517081129</v>
      </c>
      <c r="X13" s="81">
        <f>VLOOKUP($A13,平滑数据导入!$A$1:$AN$61,COLUMN(平滑数据导入!C$1),0)</f>
        <v>387683.62141912221</v>
      </c>
      <c r="Y13" s="81">
        <f>VLOOKUP($A13,平滑数据导入!$A$1:$AN$61,COLUMN(平滑数据导入!D$1),0)</f>
        <v>400765.69786332268</v>
      </c>
      <c r="Z13" s="139">
        <f>Z4</f>
        <v>414748.80110842816</v>
      </c>
      <c r="AA13" s="83">
        <f>VLOOKUP($A13,平滑数据导入!$A$1:$AN$61,COLUMN(平滑数据导入!F$1),0)</f>
        <v>429555.044638397</v>
      </c>
      <c r="AB13" s="81">
        <f>VLOOKUP($A13,平滑数据导入!$A$1:$AN$61,COLUMN(平滑数据导入!G$1),0)</f>
        <v>445099.62406152551</v>
      </c>
      <c r="AC13" s="81">
        <f>VLOOKUP($A13,平滑数据导入!$A$1:$AN$61,COLUMN(平滑数据导入!H$1),0)</f>
        <v>461286.47130633972</v>
      </c>
      <c r="AD13" s="81">
        <f>VLOOKUP($A13,平滑数据导入!$A$1:$AN$61,COLUMN(平滑数据导入!I$1),0)</f>
        <v>478004.94304384961</v>
      </c>
      <c r="AE13" s="139">
        <f>AE4</f>
        <v>495128.01359023218</v>
      </c>
      <c r="AF13" s="83">
        <f>VLOOKUP($A13,平滑数据导入!$A$1:$AN$61,COLUMN(平滑数据导入!K$1),0)</f>
        <v>512507.14724321029</v>
      </c>
      <c r="AG13" s="81">
        <f>VLOOKUP($A13,平滑数据导入!$A$1:$AN$61,COLUMN(平滑数据导入!L$1),0)</f>
        <v>529952.09358599829</v>
      </c>
      <c r="AH13" s="81">
        <f>VLOOKUP($A13,平滑数据导入!$A$1:$AN$61,COLUMN(平滑数据导入!M$1),0)</f>
        <v>547236.71865556692</v>
      </c>
      <c r="AI13" s="81">
        <f>VLOOKUP($A13,平滑数据导入!$A$1:$AN$61,COLUMN(平滑数据导入!N$1),0)</f>
        <v>564101.58162630035</v>
      </c>
      <c r="AJ13" s="139">
        <f t="shared" si="8"/>
        <v>580253.73459812999</v>
      </c>
      <c r="AK13" s="83">
        <f>VLOOKUP($A13,平滑数据导入!$A$1:$AN$61,COLUMN(平滑数据导入!P$1),0)</f>
        <v>595417.61545557354</v>
      </c>
      <c r="AL13" s="81">
        <f>VLOOKUP($A13,平滑数据导入!$A$1:$AN$61,COLUMN(平滑数据导入!Q$1),0)</f>
        <v>609500.37969936093</v>
      </c>
      <c r="AM13" s="81">
        <f>VLOOKUP($A13,平滑数据导入!$A$1:$AN$61,COLUMN(平滑数据导入!R$1),0)</f>
        <v>622470.34195375256</v>
      </c>
      <c r="AN13" s="81">
        <f>VLOOKUP($A13,平滑数据导入!$A$1:$AN$61,COLUMN(平滑数据导入!S$1),0)</f>
        <v>634311.30914371565</v>
      </c>
      <c r="AO13" s="84">
        <f>VLOOKUP($A13,平滑数据导入!$A$1:$AN$61,COLUMN(平滑数据导入!T$1),0)</f>
        <v>645022.3449939125</v>
      </c>
      <c r="AP13" s="83">
        <f>VLOOKUP($A13,平滑数据导入!$A$1:$AN$61,COLUMN(平滑数据导入!U$1),0)</f>
        <v>654617.26503814175</v>
      </c>
      <c r="AQ13" s="81">
        <f>VLOOKUP($A13,平滑数据导入!$A$1:$AN$61,COLUMN(平滑数据导入!V$1),0)</f>
        <v>663123.90320902073</v>
      </c>
      <c r="AR13" s="81">
        <f>VLOOKUP($A13,平滑数据导入!$A$1:$AN$61,COLUMN(平滑数据导入!W$1),0)</f>
        <v>670583.19512830477</v>
      </c>
      <c r="AS13" s="81">
        <f>VLOOKUP($A13,平滑数据导入!$A$1:$AN$61,COLUMN(平滑数据导入!X$1),0)</f>
        <v>677048.12515229627</v>
      </c>
      <c r="AT13" s="84">
        <f>VLOOKUP($A13,平滑数据导入!$A$1:$AN$61,COLUMN(平滑数据导入!Y$1),0)</f>
        <v>682582.58427893824</v>
      </c>
      <c r="AU13" s="83">
        <f>VLOOKUP($A13,平滑数据导入!$A$1:$AN$61,COLUMN(平滑数据导入!Z$1),0)</f>
        <v>687260.18449536455</v>
      </c>
      <c r="AV13" s="81">
        <f>VLOOKUP($A13,平滑数据导入!$A$1:$AN$61,COLUMN(平滑数据导入!AA$1),0)</f>
        <v>691163.07237807475</v>
      </c>
      <c r="AW13" s="81">
        <f>VLOOKUP($A13,平滑数据导入!$A$1:$AN$61,COLUMN(平滑数据导入!AB$1),0)</f>
        <v>694380.78110780613</v>
      </c>
      <c r="AX13" s="81">
        <f>VLOOKUP($A13,平滑数据导入!$A$1:$AN$61,COLUMN(平滑数据导入!AC$1),0)</f>
        <v>697009.15587695478</v>
      </c>
      <c r="AY13" s="139">
        <f>AY4</f>
        <v>699149.38327672926</v>
      </c>
      <c r="AZ13" s="83">
        <f>VLOOKUP($A13,平滑数据导入!$A$1:$AN$61,COLUMN(平滑数据导入!AE$1),0)</f>
        <v>700907.15095080296</v>
      </c>
      <c r="BA13" s="81">
        <f>VLOOKUP($A13,平滑数据导入!$A$1:$AN$61,COLUMN(平滑数据导入!AF$1),0)</f>
        <v>702391.95985233539</v>
      </c>
      <c r="BB13" s="81">
        <f>VLOOKUP($A13,平滑数据导入!$A$1:$AN$61,COLUMN(平滑数据导入!AG$1),0)</f>
        <v>703716.60806568584</v>
      </c>
      <c r="BC13" s="81">
        <f>VLOOKUP($A13,平滑数据导入!$A$1:$AN$61,COLUMN(平滑数据导入!AH$1),0)</f>
        <v>704996.86254387896</v>
      </c>
      <c r="BD13" s="84">
        <f>VLOOKUP($A13,平滑数据导入!$A$1:$AN$61,COLUMN(平滑数据导入!AI$1),0)</f>
        <v>706351.33343314275</v>
      </c>
      <c r="BE13" s="83">
        <f>VLOOKUP($A13,平滑数据导入!$A$1:$AN$61,COLUMN(平滑数据导入!AJ$1),0)</f>
        <v>707901.56505583401</v>
      </c>
      <c r="BF13" s="81">
        <f>VLOOKUP($A13,平滑数据导入!$A$1:$AN$61,COLUMN(平滑数据导入!AK$1),0)</f>
        <v>709772.35824943543</v>
      </c>
      <c r="BG13" s="81">
        <f>VLOOKUP($A13,平滑数据导入!$A$1:$AN$61,COLUMN(平滑数据导入!AL$1),0)</f>
        <v>712092.34077068197</v>
      </c>
      <c r="BH13" s="81">
        <f>VLOOKUP($A13,平滑数据导入!$A$1:$AN$61,COLUMN(平滑数据导入!AM$1),0)</f>
        <v>714994.80606067472</v>
      </c>
      <c r="BI13" s="139">
        <f t="shared" si="8"/>
        <v>718618.84607311094</v>
      </c>
    </row>
    <row r="14" spans="1:65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f>'增加值 (2001-2022, 当年价) '!I14*I$77</f>
        <v>11675.691302555673</v>
      </c>
      <c r="J14" s="23">
        <f>'增加值 (2001-2022, 当年价) '!J14*J$77</f>
        <v>11986.509173068849</v>
      </c>
      <c r="K14" s="24">
        <f>'增加值 (2001-2022, 当年价) '!K14*K$77</f>
        <v>13642.402547215563</v>
      </c>
      <c r="L14" s="22">
        <f>'增加值 (2001-2022, 当年价) '!L14*L$77</f>
        <v>15284.767301525537</v>
      </c>
      <c r="M14" s="23">
        <f>'增加值 (2001-2022, 当年价) '!M14*M$77</f>
        <v>15977.00058411059</v>
      </c>
      <c r="N14" s="23">
        <f>'增加值 (2001-2022, 当年价) '!N14*N$77</f>
        <v>16042.647349483059</v>
      </c>
      <c r="O14" s="23">
        <f>'增加值 (2001-2022, 当年价) '!O14*O$77</f>
        <v>15765.052945342293</v>
      </c>
      <c r="P14" s="23">
        <f>'增加值 (2001-2022, 当年价) '!P14*P$77</f>
        <v>15240.595553465613</v>
      </c>
      <c r="Q14" s="22">
        <f>'增加值 (2001-2022, 当年价) '!Q14*Q$77</f>
        <v>14649.973762874</v>
      </c>
      <c r="R14" s="23">
        <f>'增加值 (2001-2022, 当年价) '!R14*R$77</f>
        <v>14517.447248030725</v>
      </c>
      <c r="S14" s="23">
        <f>'增加值 (2001-2022, 当年价) '!S14*S$77</f>
        <v>14773.011258582617</v>
      </c>
      <c r="T14" s="23">
        <f>'增加值 (2001-2022, 当年价) '!T14*T$77</f>
        <v>15027.04880806837</v>
      </c>
      <c r="U14" s="24">
        <f>'增加值 (2001-2022, 当年价) '!U14*U$77</f>
        <v>14783.756200003678</v>
      </c>
      <c r="V14" s="23">
        <f>'增加值 (2001-2022, 当年价) '!V14*V$77</f>
        <v>16423.99901838032</v>
      </c>
      <c r="W14" s="23">
        <f>'增加值 (2001-2022, 当年价) '!W14*W$77</f>
        <v>18002.06128553487</v>
      </c>
      <c r="X14" s="98">
        <f>VLOOKUP($A14,平滑数据导入!$A$1:$AN$61,COLUMN(平滑数据导入!C$1),0)</f>
        <v>18094.152110728981</v>
      </c>
      <c r="Y14" s="98">
        <f>VLOOKUP($A14,平滑数据导入!$A$1:$AN$61,COLUMN(平滑数据导入!D$1),0)</f>
        <v>18288.484507585479</v>
      </c>
      <c r="Z14" s="140">
        <f>VLOOKUP(A14,情景假设!$B$48:$S$88,14,0)/情景假设!O$47*Z$13</f>
        <v>18563.363464699902</v>
      </c>
      <c r="AA14" s="100">
        <f>VLOOKUP($A14,平滑数据导入!$A$1:$AN$61,COLUMN(平滑数据导入!F$1),0)</f>
        <v>18896.922060254161</v>
      </c>
      <c r="AB14" s="98">
        <f>VLOOKUP($A14,平滑数据导入!$A$1:$AN$61,COLUMN(平滑数据导入!G$1),0)</f>
        <v>19266.237817176348</v>
      </c>
      <c r="AC14" s="98">
        <f>VLOOKUP($A14,平滑数据导入!$A$1:$AN$61,COLUMN(平滑数据导入!H$1),0)</f>
        <v>19646.72606478888</v>
      </c>
      <c r="AD14" s="98">
        <f>VLOOKUP($A14,平滑数据导入!$A$1:$AN$61,COLUMN(平滑数据导入!I$1),0)</f>
        <v>20011.83335396355</v>
      </c>
      <c r="AE14" s="132">
        <f>VLOOKUP(A14,情景假设!$B$48:$S$88,15,0)/情景假设!P$47*AE$13</f>
        <v>20333.070539176162</v>
      </c>
      <c r="AF14" s="98">
        <f>VLOOKUP($A14,平滑数据导入!$A$1:$AN$61,COLUMN(平滑数据导入!K$1),0)</f>
        <v>20586.09303979472</v>
      </c>
      <c r="AG14" s="98">
        <f>VLOOKUP($A14,平滑数据导入!$A$1:$AN$61,COLUMN(平滑数据导入!L$1),0)</f>
        <v>20768.885181584301</v>
      </c>
      <c r="AH14" s="98">
        <f>VLOOKUP($A14,平滑数据导入!$A$1:$AN$61,COLUMN(平滑数据导入!M$1),0)</f>
        <v>20885.921016824799</v>
      </c>
      <c r="AI14" s="98">
        <f>VLOOKUP($A14,平滑数据导入!$A$1:$AN$61,COLUMN(平滑数据导入!N$1),0)</f>
        <v>20942.482956781369</v>
      </c>
      <c r="AJ14" s="140">
        <f>VLOOKUP(A14,情景假设!$B$48:$S$88,16,0)/情景假设!Q$47*AJ$13</f>
        <v>20944.485918574643</v>
      </c>
      <c r="AK14" s="100">
        <f>VLOOKUP($A14,平滑数据导入!$A$1:$AN$61,COLUMN(平滑数据导入!P$1),0)</f>
        <v>20897.615305886949</v>
      </c>
      <c r="AL14" s="98">
        <f>VLOOKUP($A14,平滑数据导入!$A$1:$AN$61,COLUMN(平滑数据导入!Q$1),0)</f>
        <v>20805.114858536661</v>
      </c>
      <c r="AM14" s="98">
        <f>VLOOKUP($A14,平滑数据导入!$A$1:$AN$61,COLUMN(平滑数据导入!R$1),0)</f>
        <v>20669.80280987384</v>
      </c>
      <c r="AN14" s="98">
        <f>VLOOKUP($A14,平滑数据导入!$A$1:$AN$61,COLUMN(平滑数据导入!S$1),0)</f>
        <v>20494.713101598601</v>
      </c>
      <c r="AO14" s="99">
        <f>VLOOKUP($A14,平滑数据导入!$A$1:$AN$61,COLUMN(平滑数据导入!T$1),0)</f>
        <v>20283.043055483449</v>
      </c>
      <c r="AP14" s="98">
        <f>VLOOKUP($A14,平滑数据导入!$A$1:$AN$61,COLUMN(平滑数据导入!U$1),0)</f>
        <v>20038.103127609749</v>
      </c>
      <c r="AQ14" s="98">
        <f>VLOOKUP($A14,平滑数据导入!$A$1:$AN$61,COLUMN(平滑数据导入!V$1),0)</f>
        <v>19763.269526568711</v>
      </c>
      <c r="AR14" s="98">
        <f>VLOOKUP($A14,平滑数据导入!$A$1:$AN$61,COLUMN(平滑数据导入!W$1),0)</f>
        <v>19461.940323878389</v>
      </c>
      <c r="AS14" s="98">
        <f>VLOOKUP($A14,平滑数据导入!$A$1:$AN$61,COLUMN(平滑数据导入!X$1),0)</f>
        <v>19137.495533517769</v>
      </c>
      <c r="AT14" s="98">
        <f>VLOOKUP($A14,平滑数据导入!$A$1:$AN$61,COLUMN(平滑数据导入!Y$1),0)</f>
        <v>18793.261492451558</v>
      </c>
      <c r="AU14" s="100">
        <f>VLOOKUP($A14,平滑数据导入!$A$1:$AN$61,COLUMN(平滑数据导入!Z$1),0)</f>
        <v>18432.47973892884</v>
      </c>
      <c r="AV14" s="98">
        <f>VLOOKUP($A14,平滑数据导入!$A$1:$AN$61,COLUMN(平滑数据导入!AA$1),0)</f>
        <v>18058.280462938179</v>
      </c>
      <c r="AW14" s="98">
        <f>VLOOKUP($A14,平滑数据导入!$A$1:$AN$61,COLUMN(平滑数据导入!AB$1),0)</f>
        <v>17673.660495382679</v>
      </c>
      <c r="AX14" s="98">
        <f>VLOOKUP($A14,平滑数据导入!$A$1:$AN$61,COLUMN(平滑数据导入!AC$1),0)</f>
        <v>17281.4657104332</v>
      </c>
      <c r="AY14" s="132">
        <f>VLOOKUP(A14,情景假设!$B$48:$S$88,17,0)/情景假设!R$47*AY$13</f>
        <v>16884.37763954914</v>
      </c>
      <c r="AZ14" s="100">
        <f>VLOOKUP($A14,平滑数据导入!$A$1:$AN$61,COLUMN(平滑数据导入!AE$1),0)</f>
        <v>16484.904035660958</v>
      </c>
      <c r="BA14" s="98">
        <f>VLOOKUP($A14,平滑数据导入!$A$1:$AN$61,COLUMN(平滑数据导入!AF$1),0)</f>
        <v>16085.37308132315</v>
      </c>
      <c r="BB14" s="98">
        <f>VLOOKUP($A14,平滑数据导入!$A$1:$AN$61,COLUMN(平滑数据导入!AG$1),0)</f>
        <v>15687.930904241201</v>
      </c>
      <c r="BC14" s="98">
        <f>VLOOKUP($A14,平滑数据导入!$A$1:$AN$61,COLUMN(平滑数据导入!AH$1),0)</f>
        <v>15294.54204612719</v>
      </c>
      <c r="BD14" s="99">
        <f>VLOOKUP($A14,平滑数据导入!$A$1:$AN$61,COLUMN(平滑数据导入!AI$1),0)</f>
        <v>14906.992524851559</v>
      </c>
      <c r="BE14" s="98">
        <f>VLOOKUP($A14,平滑数据导入!$A$1:$AN$61,COLUMN(平滑数据导入!AJ$1),0)</f>
        <v>14526.89513374494</v>
      </c>
      <c r="BF14" s="98">
        <f>VLOOKUP($A14,平滑数据导入!$A$1:$AN$61,COLUMN(平滑数据导入!AK$1),0)</f>
        <v>14155.69663404508</v>
      </c>
      <c r="BG14" s="98">
        <f>VLOOKUP($A14,平滑数据导入!$A$1:$AN$61,COLUMN(平滑数据导入!AL$1),0)</f>
        <v>13794.68651531628</v>
      </c>
      <c r="BH14" s="98">
        <f>VLOOKUP($A14,平滑数据导入!$A$1:$AN$61,COLUMN(平滑数据导入!AM$1),0)</f>
        <v>13445.00702270546</v>
      </c>
      <c r="BI14" s="132">
        <f>VLOOKUP(A14,情景假设!$B$48:$S$88,18,0)/情景假设!S$47*BI$13</f>
        <v>13107.664177792192</v>
      </c>
    </row>
    <row r="15" spans="1:65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f>'增加值 (2001-2022, 当年价) '!I15*I$77</f>
        <v>12283.179582633313</v>
      </c>
      <c r="J15" s="20">
        <f>'增加值 (2001-2022, 当年价) '!J15*J$77</f>
        <v>12202.638496028681</v>
      </c>
      <c r="K15" s="21">
        <f>'增加值 (2001-2022, 当年价) '!K15*K$77</f>
        <v>11826.461249538334</v>
      </c>
      <c r="L15" s="19">
        <f>'增加值 (2001-2022, 当年价) '!L15*L$77</f>
        <v>11943.371736968709</v>
      </c>
      <c r="M15" s="20">
        <f>'增加值 (2001-2022, 当年价) '!M15*M$77</f>
        <v>11733.855261453687</v>
      </c>
      <c r="N15" s="20">
        <f>'增加值 (2001-2022, 当年价) '!N15*N$77</f>
        <v>11403.079682203779</v>
      </c>
      <c r="O15" s="20">
        <f>'增加值 (2001-2022, 当年价) '!O15*O$77</f>
        <v>11315.090716981736</v>
      </c>
      <c r="P15" s="20">
        <f>'增加值 (2001-2022, 当年价) '!P15*P$77</f>
        <v>11185.568962035375</v>
      </c>
      <c r="Q15" s="19">
        <f>'增加值 (2001-2022, 当年价) '!Q15*Q$77</f>
        <v>10904.914030827651</v>
      </c>
      <c r="R15" s="20">
        <f>'增加值 (2001-2022, 当年价) '!R15*R$77</f>
        <v>10740.037662864512</v>
      </c>
      <c r="S15" s="20">
        <f>'增加值 (2001-2022, 当年价) '!S15*S$77</f>
        <v>10907.716769371638</v>
      </c>
      <c r="T15" s="20">
        <f>'增加值 (2001-2022, 当年价) '!T15*T$77</f>
        <v>10905.983026745087</v>
      </c>
      <c r="U15" s="21">
        <f>'增加值 (2001-2022, 当年价) '!U15*U$77</f>
        <v>10602.811030571023</v>
      </c>
      <c r="V15" s="20">
        <f>'增加值 (2001-2022, 当年价) '!V15*V$77</f>
        <v>11470.075268301911</v>
      </c>
      <c r="W15" s="20">
        <f>'增加值 (2001-2022, 当年价) '!W15*W$77</f>
        <v>12304.162743704102</v>
      </c>
      <c r="X15" s="90">
        <f>VLOOKUP($A15,平滑数据导入!$A$1:$AN$61,COLUMN(平滑数据导入!C$1),0)</f>
        <v>12232.37658199681</v>
      </c>
      <c r="Y15" s="90">
        <f>VLOOKUP($A15,平滑数据导入!$A$1:$AN$61,COLUMN(平滑数据导入!D$1),0)</f>
        <v>12220.797150044569</v>
      </c>
      <c r="Z15" s="141">
        <f>VLOOKUP(A15,情景假设!$B$48:$S$88,14,0)/情景假设!O$47*Z$13</f>
        <v>12255.872049881027</v>
      </c>
      <c r="AA15" s="89">
        <f>VLOOKUP($A15,平滑数据导入!$A$1:$AN$61,COLUMN(平滑数据导入!F$1),0)</f>
        <v>12324.54698012749</v>
      </c>
      <c r="AB15" s="90">
        <f>VLOOKUP($A15,平滑数据导入!$A$1:$AN$61,COLUMN(平滑数据导入!G$1),0)</f>
        <v>12413.83154337158</v>
      </c>
      <c r="AC15" s="90">
        <f>VLOOKUP($A15,平滑数据导入!$A$1:$AN$61,COLUMN(平滑数据导入!H$1),0)</f>
        <v>12510.507876858739</v>
      </c>
      <c r="AD15" s="90">
        <f>VLOOKUP($A15,平滑数据导入!$A$1:$AN$61,COLUMN(平滑数据导入!I$1),0)</f>
        <v>12600.97984500064</v>
      </c>
      <c r="AE15" s="133">
        <f>VLOOKUP(A15,情景假设!$B$48:$S$88,15,0)/情景假设!P$47*AE$13</f>
        <v>12671.267219354668</v>
      </c>
      <c r="AF15" s="90">
        <f>VLOOKUP($A15,平滑数据导入!$A$1:$AN$61,COLUMN(平滑数据导入!K$1),0)</f>
        <v>12710.02682047437</v>
      </c>
      <c r="AG15" s="90">
        <f>VLOOKUP($A15,平滑数据导入!$A$1:$AN$61,COLUMN(平滑数据导入!L$1),0)</f>
        <v>12717.475686422529</v>
      </c>
      <c r="AH15" s="90">
        <f>VLOOKUP($A15,平滑数据导入!$A$1:$AN$61,COLUMN(平滑数据导入!M$1),0)</f>
        <v>12696.93799193723</v>
      </c>
      <c r="AI15" s="90">
        <f>VLOOKUP($A15,平滑数据导入!$A$1:$AN$61,COLUMN(平滑数据导入!N$1),0)</f>
        <v>12651.91649316751</v>
      </c>
      <c r="AJ15" s="141">
        <f>VLOOKUP(A15,情景假设!$B$48:$S$88,16,0)/情景假设!Q$47*AJ$13</f>
        <v>12586.021587931527</v>
      </c>
      <c r="AK15" s="89">
        <f>VLOOKUP($A15,平滑数据导入!$A$1:$AN$61,COLUMN(平滑数据导入!P$1),0)</f>
        <v>12502.454947917569</v>
      </c>
      <c r="AL15" s="90">
        <f>VLOOKUP($A15,平滑数据导入!$A$1:$AN$61,COLUMN(平滑数据导入!Q$1),0)</f>
        <v>12402.623254678439</v>
      </c>
      <c r="AM15" s="90">
        <f>VLOOKUP($A15,平滑数据导入!$A$1:$AN$61,COLUMN(平滑数据导入!R$1),0)</f>
        <v>12287.51951678245</v>
      </c>
      <c r="AN15" s="90">
        <f>VLOOKUP($A15,平滑数据导入!$A$1:$AN$61,COLUMN(平滑数据导入!S$1),0)</f>
        <v>12158.17229023839</v>
      </c>
      <c r="AO15" s="101">
        <f>VLOOKUP($A15,平滑数据导入!$A$1:$AN$61,COLUMN(平滑数据导入!T$1),0)</f>
        <v>12015.635848656309</v>
      </c>
      <c r="AP15" s="90">
        <f>VLOOKUP($A15,平滑数据导入!$A$1:$AN$61,COLUMN(平滑数据导入!U$1),0)</f>
        <v>11860.98078889373</v>
      </c>
      <c r="AQ15" s="90">
        <f>VLOOKUP($A15,平滑数据导入!$A$1:$AN$61,COLUMN(平滑数据导入!V$1),0)</f>
        <v>11695.285151940559</v>
      </c>
      <c r="AR15" s="90">
        <f>VLOOKUP($A15,平滑数据导入!$A$1:$AN$61,COLUMN(平滑数据导入!W$1),0)</f>
        <v>11519.62612438649</v>
      </c>
      <c r="AS15" s="90">
        <f>VLOOKUP($A15,平滑数据导入!$A$1:$AN$61,COLUMN(平滑数据导入!X$1),0)</f>
        <v>11335.07237168838</v>
      </c>
      <c r="AT15" s="90">
        <f>VLOOKUP($A15,平滑数据导入!$A$1:$AN$61,COLUMN(平滑数据导入!Y$1),0)</f>
        <v>11142.67704085988</v>
      </c>
      <c r="AU15" s="89">
        <f>VLOOKUP($A15,平滑数据导入!$A$1:$AN$61,COLUMN(平滑数据导入!Z$1),0)</f>
        <v>10943.47145734138</v>
      </c>
      <c r="AV15" s="90">
        <f>VLOOKUP($A15,平滑数据导入!$A$1:$AN$61,COLUMN(平滑数据导入!AA$1),0)</f>
        <v>10738.459528845789</v>
      </c>
      <c r="AW15" s="90">
        <f>VLOOKUP($A15,平滑数据导入!$A$1:$AN$61,COLUMN(平滑数据导入!AB$1),0)</f>
        <v>10528.61285803837</v>
      </c>
      <c r="AX15" s="90">
        <f>VLOOKUP($A15,平滑数据导入!$A$1:$AN$61,COLUMN(平滑数据导入!AC$1),0)</f>
        <v>10314.866556088091</v>
      </c>
      <c r="AY15" s="133">
        <f>VLOOKUP(A15,情景假设!$B$48:$S$88,17,0)/情景假设!R$47*AY$13</f>
        <v>10098.115740482257</v>
      </c>
      <c r="AZ15" s="89">
        <f>VLOOKUP($A15,平滑数据导入!$A$1:$AN$61,COLUMN(平滑数据导入!AE$1),0)</f>
        <v>9879.2126930459981</v>
      </c>
      <c r="BA15" s="90">
        <f>VLOOKUP($A15,平滑数据导入!$A$1:$AN$61,COLUMN(平滑数据导入!AF$1),0)</f>
        <v>9658.9646478555114</v>
      </c>
      <c r="BB15" s="90">
        <f>VLOOKUP($A15,平滑数据导入!$A$1:$AN$61,COLUMN(平滑数据导入!AG$1),0)</f>
        <v>9438.1321736484842</v>
      </c>
      <c r="BC15" s="90">
        <f>VLOOKUP($A15,平滑数据导入!$A$1:$AN$61,COLUMN(平滑数据导入!AH$1),0)</f>
        <v>9217.4281113702164</v>
      </c>
      <c r="BD15" s="101">
        <f>VLOOKUP($A15,平滑数据导入!$A$1:$AN$61,COLUMN(平滑数据导入!AI$1),0)</f>
        <v>8997.517024587054</v>
      </c>
      <c r="BE15" s="90">
        <f>VLOOKUP($A15,平滑数据导入!$A$1:$AN$61,COLUMN(平滑数据导入!AJ$1),0)</f>
        <v>8779.015118571544</v>
      </c>
      <c r="BF15" s="90">
        <f>VLOOKUP($A15,平滑数据导入!$A$1:$AN$61,COLUMN(平滑数据导入!AK$1),0)</f>
        <v>8562.4905828307274</v>
      </c>
      <c r="BG15" s="90">
        <f>VLOOKUP($A15,平滑数据导入!$A$1:$AN$61,COLUMN(平滑数据导入!AL$1),0)</f>
        <v>8348.4643116183124</v>
      </c>
      <c r="BH15" s="90">
        <f>VLOOKUP($A15,平滑数据导入!$A$1:$AN$61,COLUMN(平滑数据导入!AM$1),0)</f>
        <v>8137.4109574467429</v>
      </c>
      <c r="BI15" s="133">
        <f>VLOOKUP(A15,情景假设!$B$48:$S$88,18,0)/情景假设!S$47*BI$13</f>
        <v>7929.7602737008465</v>
      </c>
    </row>
    <row r="16" spans="1:65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f>'增加值 (2001-2022, 当年价) '!I16*I$77</f>
        <v>2043.0118588044513</v>
      </c>
      <c r="J16" s="20">
        <f>'增加值 (2001-2022, 当年价) '!J16*J$77</f>
        <v>2426.630321654618</v>
      </c>
      <c r="K16" s="21">
        <f>'增加值 (2001-2022, 当年价) '!K16*K$77</f>
        <v>2841.9828585560304</v>
      </c>
      <c r="L16" s="19">
        <f>'增加值 (2001-2022, 当年价) '!L16*L$77</f>
        <v>3276.9674000897576</v>
      </c>
      <c r="M16" s="20">
        <f>'增加值 (2001-2022, 当年价) '!M16*M$77</f>
        <v>3762.3007435323352</v>
      </c>
      <c r="N16" s="20">
        <f>'增加值 (2001-2022, 当年价) '!N16*N$77</f>
        <v>4110.1450364962056</v>
      </c>
      <c r="O16" s="20">
        <f>'增加值 (2001-2022, 当年价) '!O16*O$77</f>
        <v>4358.206514887198</v>
      </c>
      <c r="P16" s="20">
        <f>'增加值 (2001-2022, 当年价) '!P16*P$77</f>
        <v>4238.0296569708398</v>
      </c>
      <c r="Q16" s="19">
        <f>'增加值 (2001-2022, 当年价) '!Q16*Q$77</f>
        <v>4028.2983329052572</v>
      </c>
      <c r="R16" s="20">
        <f>'增加值 (2001-2022, 当年价) '!R16*R$77</f>
        <v>3963.3151687311879</v>
      </c>
      <c r="S16" s="20">
        <f>'增加值 (2001-2022, 当年价) '!S16*S$77</f>
        <v>3760.7926246739084</v>
      </c>
      <c r="T16" s="20">
        <f>'增加值 (2001-2022, 当年价) '!T16*T$77</f>
        <v>3883.4799374977438</v>
      </c>
      <c r="U16" s="21">
        <f>'增加值 (2001-2022, 当年价) '!U16*U$77</f>
        <v>3696.6327461554224</v>
      </c>
      <c r="V16" s="103">
        <f>'增加值 (2001-2022, 当年价) '!V16*V$77</f>
        <v>3979.7568976278721</v>
      </c>
      <c r="W16" s="103">
        <f>'增加值 (2001-2022, 当年价) '!W16*W$77</f>
        <v>4568.3236898109044</v>
      </c>
      <c r="X16" s="90">
        <f>VLOOKUP($A16,平滑数据导入!$A$1:$AN$61,COLUMN(平滑数据导入!C$1),0)</f>
        <v>4518.4826743443564</v>
      </c>
      <c r="Y16" s="90">
        <f>VLOOKUP($A16,平滑数据导入!$A$1:$AN$61,COLUMN(平滑数据导入!D$1),0)</f>
        <v>4489.3320621772591</v>
      </c>
      <c r="Z16" s="141">
        <f>VLOOKUP(A16,情景假设!$B$48:$S$88,14,0)/情景假设!O$47*Z$13</f>
        <v>4476.2720988974561</v>
      </c>
      <c r="AA16" s="89">
        <f>VLOOKUP($A16,平滑数据导入!$A$1:$AN$61,COLUMN(平滑数据导入!F$1),0)</f>
        <v>4474.9599135747467</v>
      </c>
      <c r="AB16" s="90">
        <f>VLOOKUP($A16,平滑数据导入!$A$1:$AN$61,COLUMN(平滑数据导入!G$1),0)</f>
        <v>4481.1762681273776</v>
      </c>
      <c r="AC16" s="90">
        <f>VLOOKUP($A16,平滑数据导入!$A$1:$AN$61,COLUMN(平滑数据导入!H$1),0)</f>
        <v>4490.7346691103648</v>
      </c>
      <c r="AD16" s="90">
        <f>VLOOKUP($A16,平滑数据导入!$A$1:$AN$61,COLUMN(平滑数据导入!I$1),0)</f>
        <v>4499.4304058988891</v>
      </c>
      <c r="AE16" s="133">
        <f>VLOOKUP(A16,情景假设!$B$48:$S$88,15,0)/情景假设!P$47*AE$13</f>
        <v>4503.0289572039737</v>
      </c>
      <c r="AF16" s="90">
        <f>VLOOKUP($A16,平滑数据导入!$A$1:$AN$61,COLUMN(平滑数据导入!K$1),0)</f>
        <v>4498.0349349370535</v>
      </c>
      <c r="AG16" s="90">
        <f>VLOOKUP($A16,平滑数据导入!$A$1:$AN$61,COLUMN(平滑数据导入!L$1),0)</f>
        <v>4483.9605658896726</v>
      </c>
      <c r="AH16" s="90">
        <f>VLOOKUP($A16,平滑数据导入!$A$1:$AN$61,COLUMN(平滑数据导入!M$1),0)</f>
        <v>4461.1122924380252</v>
      </c>
      <c r="AI16" s="90">
        <f>VLOOKUP($A16,平滑数据导入!$A$1:$AN$61,COLUMN(平滑数据导入!N$1),0)</f>
        <v>4429.844385508859</v>
      </c>
      <c r="AJ16" s="141">
        <f>VLOOKUP(A16,情景假设!$B$48:$S$88,16,0)/情景假设!Q$47*AJ$13</f>
        <v>4390.553405751094</v>
      </c>
      <c r="AK16" s="89">
        <f>VLOOKUP($A16,平滑数据导入!$A$1:$AN$61,COLUMN(平滑数据导入!P$1),0)</f>
        <v>4343.6939186686895</v>
      </c>
      <c r="AL16" s="90">
        <f>VLOOKUP($A16,平滑数据导入!$A$1:$AN$61,COLUMN(平滑数据导入!Q$1),0)</f>
        <v>4289.834870331918</v>
      </c>
      <c r="AM16" s="90">
        <f>VLOOKUP($A16,平滑数据导入!$A$1:$AN$61,COLUMN(平滑数据导入!R$1),0)</f>
        <v>4229.5848496366489</v>
      </c>
      <c r="AN16" s="90">
        <f>VLOOKUP($A16,平滑数据导入!$A$1:$AN$61,COLUMN(平滑数据导入!S$1),0)</f>
        <v>4163.5627217679776</v>
      </c>
      <c r="AO16" s="101">
        <f>VLOOKUP($A16,平滑数据导入!$A$1:$AN$61,COLUMN(平滑数据导入!T$1),0)</f>
        <v>4092.3906227179468</v>
      </c>
      <c r="AP16" s="90">
        <f>VLOOKUP($A16,平滑数据导入!$A$1:$AN$61,COLUMN(平滑数据导入!U$1),0)</f>
        <v>4016.6875175894111</v>
      </c>
      <c r="AQ16" s="90">
        <f>VLOOKUP($A16,平滑数据导入!$A$1:$AN$61,COLUMN(平滑数据导入!V$1),0)</f>
        <v>3937.063373401561</v>
      </c>
      <c r="AR16" s="90">
        <f>VLOOKUP($A16,平滑数据导入!$A$1:$AN$61,COLUMN(平滑数据导入!W$1),0)</f>
        <v>3854.1139797749629</v>
      </c>
      <c r="AS16" s="90">
        <f>VLOOKUP($A16,平滑数据导入!$A$1:$AN$61,COLUMN(平滑数据导入!X$1),0)</f>
        <v>3768.4164348216418</v>
      </c>
      <c r="AT16" s="90">
        <f>VLOOKUP($A16,平滑数据导入!$A$1:$AN$61,COLUMN(平滑数据导入!Y$1),0)</f>
        <v>3680.5252990507129</v>
      </c>
      <c r="AU16" s="89">
        <f>VLOOKUP($A16,平滑数据导入!$A$1:$AN$61,COLUMN(平滑数据导入!Z$1),0)</f>
        <v>3590.9694072986531</v>
      </c>
      <c r="AV16" s="90">
        <f>VLOOKUP($A16,平滑数据导入!$A$1:$AN$61,COLUMN(平滑数据导入!AA$1),0)</f>
        <v>3500.2493177038768</v>
      </c>
      <c r="AW16" s="90">
        <f>VLOOKUP($A16,平滑数据导入!$A$1:$AN$61,COLUMN(平滑数据导入!AB$1),0)</f>
        <v>3408.8353676043371</v>
      </c>
      <c r="AX16" s="90">
        <f>VLOOKUP($A16,平滑数据导入!$A$1:$AN$61,COLUMN(平滑数据导入!AC$1),0)</f>
        <v>3317.1662989210272</v>
      </c>
      <c r="AY16" s="133">
        <f>VLOOKUP(A16,情景假设!$B$48:$S$88,17,0)/情景假设!R$47*AY$13</f>
        <v>3225.6484100286748</v>
      </c>
      <c r="AZ16" s="89">
        <f>VLOOKUP($A16,平滑数据导入!$A$1:$AN$61,COLUMN(平滑数据导入!AE$1),0)</f>
        <v>3134.6551872011328</v>
      </c>
      <c r="BA16" s="90">
        <f>VLOOKUP($A16,平滑数据导入!$A$1:$AN$61,COLUMN(平滑数据导入!AF$1),0)</f>
        <v>3044.5273663127532</v>
      </c>
      <c r="BB16" s="90">
        <f>VLOOKUP($A16,平滑数据导入!$A$1:$AN$61,COLUMN(平滑数据导入!AG$1),0)</f>
        <v>2955.573374424102</v>
      </c>
      <c r="BC16" s="90">
        <f>VLOOKUP($A16,平滑数据导入!$A$1:$AN$61,COLUMN(平滑数据导入!AH$1),0)</f>
        <v>2868.0701010090088</v>
      </c>
      <c r="BD16" s="101">
        <f>VLOOKUP($A16,平滑数据导入!$A$1:$AN$61,COLUMN(平滑数据导入!AI$1),0)</f>
        <v>2782.263949717084</v>
      </c>
      <c r="BE16" s="90">
        <f>VLOOKUP($A16,平滑数据导入!$A$1:$AN$61,COLUMN(平滑数据导入!AJ$1),0)</f>
        <v>2698.3721235378612</v>
      </c>
      <c r="BF16" s="90">
        <f>VLOOKUP($A16,平滑数据导入!$A$1:$AN$61,COLUMN(平滑数据导入!AK$1),0)</f>
        <v>2616.5840988724008</v>
      </c>
      <c r="BG16" s="90">
        <f>VLOOKUP($A16,平滑数据导入!$A$1:$AN$61,COLUMN(平滑数据导入!AL$1),0)</f>
        <v>2537.063247168307</v>
      </c>
      <c r="BH16" s="90">
        <f>VLOOKUP($A16,平滑数据导入!$A$1:$AN$61,COLUMN(平滑数据导入!AM$1),0)</f>
        <v>2459.9485662905172</v>
      </c>
      <c r="BI16" s="133">
        <f>VLOOKUP(A16,情景假设!$B$48:$S$88,18,0)/情景假设!S$47*BI$13</f>
        <v>2385.3564875530374</v>
      </c>
    </row>
    <row r="17" spans="1:61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f>'增加值 (2001-2022, 当年价) '!I17*I$77</f>
        <v>1310.7957571469735</v>
      </c>
      <c r="J17" s="20">
        <f>'增加值 (2001-2022, 当年价) '!J17*J$77</f>
        <v>1488.5845476631823</v>
      </c>
      <c r="K17" s="21">
        <f>'增加值 (2001-2022, 当年价) '!K17*K$77</f>
        <v>1607.4919993808442</v>
      </c>
      <c r="L17" s="19">
        <f>'增加值 (2001-2022, 当年价) '!L17*L$77</f>
        <v>1784.0220797573177</v>
      </c>
      <c r="M17" s="20">
        <f>'增加值 (2001-2022, 当年价) '!M17*M$77</f>
        <v>1958.22960476651</v>
      </c>
      <c r="N17" s="20">
        <f>'增加值 (2001-2022, 当年价) '!N17*N$77</f>
        <v>2036.9648259107798</v>
      </c>
      <c r="O17" s="20">
        <f>'增加值 (2001-2022, 当年价) '!O17*O$77</f>
        <v>2097.4100390948875</v>
      </c>
      <c r="P17" s="20">
        <f>'增加值 (2001-2022, 当年价) '!P17*P$77</f>
        <v>2075.3912020817443</v>
      </c>
      <c r="Q17" s="19">
        <f>'增加值 (2001-2022, 当年价) '!Q17*Q$77</f>
        <v>2075.9768918787054</v>
      </c>
      <c r="R17" s="20">
        <f>'增加值 (2001-2022, 当年价) '!R17*R$77</f>
        <v>2025.6773253510662</v>
      </c>
      <c r="S17" s="20">
        <f>'增加值 (2001-2022, 当年价) '!S17*S$77</f>
        <v>2047.2184433162315</v>
      </c>
      <c r="T17" s="20">
        <f>'增加值 (2001-2022, 当年价) '!T17*T$77</f>
        <v>2033.076023735219</v>
      </c>
      <c r="U17" s="21">
        <f>'增加值 (2001-2022, 当年价) '!U17*U$77</f>
        <v>1962.7921031386184</v>
      </c>
      <c r="V17" s="103">
        <f>'增加值 (2001-2022, 当年价) '!V17*V$77</f>
        <v>2008.8963000276083</v>
      </c>
      <c r="W17" s="103">
        <f>'增加值 (2001-2022, 当年价) '!W17*W$77</f>
        <v>2146.8175625414897</v>
      </c>
      <c r="X17" s="90">
        <f>VLOOKUP($A17,平滑数据导入!$A$1:$AN$61,COLUMN(平滑数据导入!C$1),0)</f>
        <v>2111.249386732643</v>
      </c>
      <c r="Y17" s="90">
        <f>VLOOKUP($A17,平滑数据导入!$A$1:$AN$61,COLUMN(平滑数据导入!D$1),0)</f>
        <v>2083.0783852458071</v>
      </c>
      <c r="Z17" s="141">
        <f>VLOOKUP(A17,情景假设!$B$48:$S$88,14,0)/情景假设!O$47*Z$13</f>
        <v>2060.8143771872606</v>
      </c>
      <c r="AA17" s="89">
        <f>VLOOKUP($A17,平滑数据导入!$A$1:$AN$61,COLUMN(平滑数据导入!F$1),0)</f>
        <v>2043.0774624669839</v>
      </c>
      <c r="AB17" s="90">
        <f>VLOOKUP($A17,平滑数据导入!$A$1:$AN$61,COLUMN(平滑数据导入!G$1),0)</f>
        <v>2028.565302247257</v>
      </c>
      <c r="AC17" s="90">
        <f>VLOOKUP($A17,平滑数据导入!$A$1:$AN$61,COLUMN(平滑数据导入!H$1),0)</f>
        <v>2016.029405808144</v>
      </c>
      <c r="AD17" s="90">
        <f>VLOOKUP($A17,平滑数据导入!$A$1:$AN$61,COLUMN(平滑数据导入!I$1),0)</f>
        <v>2004.259494890764</v>
      </c>
      <c r="AE17" s="133">
        <f>VLOOKUP(A17,情景假设!$B$48:$S$88,15,0)/情景假设!P$47*AE$13</f>
        <v>1992.0753530597492</v>
      </c>
      <c r="AF17" s="90">
        <f>VLOOKUP($A17,平滑数据导入!$A$1:$AN$61,COLUMN(平滑数据导入!K$1),0)</f>
        <v>1978.4552565552449</v>
      </c>
      <c r="AG17" s="90">
        <f>VLOOKUP($A17,平滑数据导入!$A$1:$AN$61,COLUMN(平滑数据导入!L$1),0)</f>
        <v>1962.921791246866</v>
      </c>
      <c r="AH17" s="90">
        <f>VLOOKUP($A17,平滑数据导入!$A$1:$AN$61,COLUMN(平滑数据导入!M$1),0)</f>
        <v>1945.1455851599469</v>
      </c>
      <c r="AI17" s="90">
        <f>VLOOKUP($A17,平滑数据导入!$A$1:$AN$61,COLUMN(平滑数据导入!N$1),0)</f>
        <v>1924.8178567552479</v>
      </c>
      <c r="AJ17" s="141">
        <f>VLOOKUP(A17,情景假设!$B$48:$S$88,16,0)/情景假设!Q$47*AJ$13</f>
        <v>1901.6545966421427</v>
      </c>
      <c r="AK17" s="89">
        <f>VLOOKUP($A17,平滑数据导入!$A$1:$AN$61,COLUMN(平滑数据导入!P$1),0)</f>
        <v>1875.4885439510549</v>
      </c>
      <c r="AL17" s="90">
        <f>VLOOKUP($A17,平滑数据导入!$A$1:$AN$61,COLUMN(平滑数据导入!Q$1),0)</f>
        <v>1846.525361311571</v>
      </c>
      <c r="AM17" s="90">
        <f>VLOOKUP($A17,平滑数据导入!$A$1:$AN$61,COLUMN(平滑数据导入!R$1),0)</f>
        <v>1815.063290334039</v>
      </c>
      <c r="AN17" s="90">
        <f>VLOOKUP($A17,平滑数据导入!$A$1:$AN$61,COLUMN(平滑数据导入!S$1),0)</f>
        <v>1781.4000367355941</v>
      </c>
      <c r="AO17" s="101">
        <f>VLOOKUP($A17,平滑数据导入!$A$1:$AN$61,COLUMN(平滑数据导入!T$1),0)</f>
        <v>1745.82971053437</v>
      </c>
      <c r="AP17" s="90">
        <f>VLOOKUP($A17,平滑数据导入!$A$1:$AN$61,COLUMN(平滑数据导入!U$1),0)</f>
        <v>1708.64010054915</v>
      </c>
      <c r="AQ17" s="90">
        <f>VLOOKUP($A17,平滑数据导入!$A$1:$AN$61,COLUMN(平滑数据导入!V$1),0)</f>
        <v>1670.1102948848711</v>
      </c>
      <c r="AR17" s="90">
        <f>VLOOKUP($A17,平滑数据导入!$A$1:$AN$61,COLUMN(平滑数据导入!W$1),0)</f>
        <v>1630.508650813149</v>
      </c>
      <c r="AS17" s="90">
        <f>VLOOKUP($A17,平滑数据导入!$A$1:$AN$61,COLUMN(平滑数据导入!X$1),0)</f>
        <v>1590.0911101405591</v>
      </c>
      <c r="AT17" s="90">
        <f>VLOOKUP($A17,平滑数据导入!$A$1:$AN$61,COLUMN(平滑数据导入!Y$1),0)</f>
        <v>1549.0998498642609</v>
      </c>
      <c r="AU17" s="89">
        <f>VLOOKUP($A17,平滑数据导入!$A$1:$AN$61,COLUMN(平滑数据导入!Z$1),0)</f>
        <v>1507.762252672673</v>
      </c>
      <c r="AV17" s="90">
        <f>VLOOKUP($A17,平滑数据导入!$A$1:$AN$61,COLUMN(平滑数据导入!AA$1),0)</f>
        <v>1466.2901776506869</v>
      </c>
      <c r="AW17" s="90">
        <f>VLOOKUP($A17,平滑数据导入!$A$1:$AN$61,COLUMN(平滑数据导入!AB$1),0)</f>
        <v>1424.879508356923</v>
      </c>
      <c r="AX17" s="90">
        <f>VLOOKUP($A17,平滑数据导入!$A$1:$AN$61,COLUMN(平滑数据导入!AC$1),0)</f>
        <v>1383.709953193498</v>
      </c>
      <c r="AY17" s="133">
        <f>VLOOKUP(A17,情景假设!$B$48:$S$88,17,0)/情景假设!R$47*AY$13</f>
        <v>1342.9450716077915</v>
      </c>
      <c r="AZ17" s="89">
        <f>VLOOKUP($A17,平滑数据导入!$A$1:$AN$61,COLUMN(平滑数据导入!AE$1),0)</f>
        <v>1302.7324990589291</v>
      </c>
      <c r="BA17" s="90">
        <f>VLOOKUP($A17,平滑数据导入!$A$1:$AN$61,COLUMN(平滑数据导入!AF$1),0)</f>
        <v>1263.20434375013</v>
      </c>
      <c r="BB17" s="90">
        <f>VLOOKUP($A17,平滑数据导入!$A$1:$AN$61,COLUMN(平滑数据导入!AG$1),0)</f>
        <v>1224.477728769743</v>
      </c>
      <c r="BC17" s="90">
        <f>VLOOKUP($A17,平滑数据导入!$A$1:$AN$61,COLUMN(平滑数据导入!AH$1),0)</f>
        <v>1186.655454396951</v>
      </c>
      <c r="BD17" s="101">
        <f>VLOOKUP($A17,平滑数据导入!$A$1:$AN$61,COLUMN(平滑数据导入!AI$1),0)</f>
        <v>1149.826756815409</v>
      </c>
      <c r="BE17" s="90">
        <f>VLOOKUP($A17,平滑数据导入!$A$1:$AN$61,COLUMN(平滑数据导入!AJ$1),0)</f>
        <v>1114.068141247772</v>
      </c>
      <c r="BF17" s="90">
        <f>VLOOKUP($A17,平滑数据导入!$A$1:$AN$61,COLUMN(平滑数据导入!AK$1),0)</f>
        <v>1079.444269492642</v>
      </c>
      <c r="BG17" s="90">
        <f>VLOOKUP($A17,平滑数据导入!$A$1:$AN$61,COLUMN(平滑数据导入!AL$1),0)</f>
        <v>1046.0088839384241</v>
      </c>
      <c r="BH17" s="90">
        <f>VLOOKUP($A17,平滑数据导入!$A$1:$AN$61,COLUMN(平滑数据导入!AM$1),0)</f>
        <v>1013.8057522812049</v>
      </c>
      <c r="BI17" s="133">
        <f>VLOOKUP(A17,情景假设!$B$48:$S$88,18,0)/情景假设!S$47*BI$13</f>
        <v>982.86961933139355</v>
      </c>
    </row>
    <row r="18" spans="1:61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f>'增加值 (2001-2022, 当年价) '!I18*I$77</f>
        <v>740.76653991594344</v>
      </c>
      <c r="J18" s="20">
        <f>'增加值 (2001-2022, 当年价) '!J18*J$77</f>
        <v>844.0486631354139</v>
      </c>
      <c r="K18" s="21">
        <f>'增加值 (2001-2022, 当年价) '!K18*K$77</f>
        <v>1022.9457399478509</v>
      </c>
      <c r="L18" s="19">
        <f>'增加值 (2001-2022, 当年价) '!L18*L$77</f>
        <v>1214.8998811626097</v>
      </c>
      <c r="M18" s="20">
        <f>'增加值 (2001-2022, 当年价) '!M18*M$77</f>
        <v>1274.5479058190608</v>
      </c>
      <c r="N18" s="20">
        <f>'增加值 (2001-2022, 当年价) '!N18*N$77</f>
        <v>1356.0633699380928</v>
      </c>
      <c r="O18" s="20">
        <f>'增加值 (2001-2022, 当年价) '!O18*O$77</f>
        <v>1401.5037918321566</v>
      </c>
      <c r="P18" s="20">
        <f>'增加值 (2001-2022, 当年价) '!P18*P$77</f>
        <v>1417.3718474346597</v>
      </c>
      <c r="Q18" s="19">
        <f>'增加值 (2001-2022, 当年价) '!Q18*Q$77</f>
        <v>1442.6692962996772</v>
      </c>
      <c r="R18" s="20">
        <f>'增加值 (2001-2022, 当年价) '!R18*R$77</f>
        <v>1454.4434672707334</v>
      </c>
      <c r="S18" s="20">
        <f>'增加值 (2001-2022, 当年价) '!S18*S$77</f>
        <v>1468.4618787211398</v>
      </c>
      <c r="T18" s="20">
        <f>'增加值 (2001-2022, 当年价) '!T18*T$77</f>
        <v>1418.6739912185421</v>
      </c>
      <c r="U18" s="21">
        <f>'增加值 (2001-2022, 当年价) '!U18*U$77</f>
        <v>1364.1405953083029</v>
      </c>
      <c r="V18" s="20">
        <f>'增加值 (2001-2022, 当年价) '!V18*V$77</f>
        <v>1526.8532453395294</v>
      </c>
      <c r="W18" s="20">
        <f>'增加值 (2001-2022, 当年价) '!W18*W$77</f>
        <v>1532.4140383714741</v>
      </c>
      <c r="X18" s="90">
        <f>VLOOKUP($A18,平滑数据导入!$A$1:$AN$61,COLUMN(平滑数据导入!C$1),0)</f>
        <v>1507.626349568365</v>
      </c>
      <c r="Y18" s="90">
        <f>VLOOKUP($A18,平滑数据导入!$A$1:$AN$61,COLUMN(平滑数据导入!D$1),0)</f>
        <v>1489.286825557765</v>
      </c>
      <c r="Z18" s="141">
        <f>VLOOKUP(A18,情景假设!$B$48:$S$88,14,0)/情景假设!O$47*Z$13</f>
        <v>1476.0197297973323</v>
      </c>
      <c r="AA18" s="89">
        <f>VLOOKUP($A18,平滑数据导入!$A$1:$AN$61,COLUMN(平滑数据导入!F$1),0)</f>
        <v>1466.5515041724259</v>
      </c>
      <c r="AB18" s="90">
        <f>VLOOKUP($A18,平滑数据导入!$A$1:$AN$61,COLUMN(平滑数据导入!G$1),0)</f>
        <v>1459.6743419005561</v>
      </c>
      <c r="AC18" s="90">
        <f>VLOOKUP($A18,平滑数据导入!$A$1:$AN$61,COLUMN(平滑数据导入!H$1),0)</f>
        <v>1454.22056288922</v>
      </c>
      <c r="AD18" s="90">
        <f>VLOOKUP($A18,平滑数据导入!$A$1:$AN$61,COLUMN(平滑数据导入!I$1),0)</f>
        <v>1449.046749108559</v>
      </c>
      <c r="AE18" s="133">
        <f>VLOOKUP(A18,情景假设!$B$48:$S$88,15,0)/情景假设!P$47*AE$13</f>
        <v>1443.0270633835123</v>
      </c>
      <c r="AF18" s="90">
        <f>VLOOKUP($A18,平滑数据导入!$A$1:$AN$61,COLUMN(平滑数据导入!K$1),0)</f>
        <v>1435.222289548047</v>
      </c>
      <c r="AG18" s="90">
        <f>VLOOKUP($A18,平滑数据导入!$A$1:$AN$61,COLUMN(平滑数据导入!L$1),0)</f>
        <v>1425.3814895517439</v>
      </c>
      <c r="AH18" s="90">
        <f>VLOOKUP($A18,平滑数据导入!$A$1:$AN$61,COLUMN(平滑数据导入!M$1),0)</f>
        <v>1413.4336911085711</v>
      </c>
      <c r="AI18" s="90">
        <f>VLOOKUP($A18,平滑数据导入!$A$1:$AN$61,COLUMN(平滑数据导入!N$1),0)</f>
        <v>1399.320751301731</v>
      </c>
      <c r="AJ18" s="141">
        <f>VLOOKUP(A18,情景假设!$B$48:$S$88,16,0)/情景假设!Q$47*AJ$13</f>
        <v>1382.9986355475751</v>
      </c>
      <c r="AK18" s="89">
        <f>VLOOKUP($A18,平滑数据导入!$A$1:$AN$61,COLUMN(平滑数据导入!P$1),0)</f>
        <v>1364.4756304513201</v>
      </c>
      <c r="AL18" s="90">
        <f>VLOOKUP($A18,平滑数据导入!$A$1:$AN$61,COLUMN(平滑数据导入!Q$1),0)</f>
        <v>1343.9199914479141</v>
      </c>
      <c r="AM18" s="90">
        <f>VLOOKUP($A18,平滑数据导入!$A$1:$AN$61,COLUMN(平滑数据导入!R$1),0)</f>
        <v>1321.540480013849</v>
      </c>
      <c r="AN18" s="90">
        <f>VLOOKUP($A18,平滑数据导入!$A$1:$AN$61,COLUMN(平滑数据导入!S$1),0)</f>
        <v>1297.5460465209469</v>
      </c>
      <c r="AO18" s="101">
        <f>VLOOKUP($A18,平滑数据导入!$A$1:$AN$61,COLUMN(平滑数据导入!T$1),0)</f>
        <v>1272.143682968562</v>
      </c>
      <c r="AP18" s="90">
        <f>VLOOKUP($A18,平滑数据导入!$A$1:$AN$61,COLUMN(平滑数据导入!U$1),0)</f>
        <v>1245.5364972963339</v>
      </c>
      <c r="AQ18" s="90">
        <f>VLOOKUP($A18,平滑数据导入!$A$1:$AN$61,COLUMN(平滑数据导入!V$1),0)</f>
        <v>1217.9220187701669</v>
      </c>
      <c r="AR18" s="90">
        <f>VLOOKUP($A18,平滑数据导入!$A$1:$AN$61,COLUMN(平滑数据导入!W$1),0)</f>
        <v>1189.490738342</v>
      </c>
      <c r="AS18" s="90">
        <f>VLOOKUP($A18,平滑数据导入!$A$1:$AN$61,COLUMN(平滑数据导入!X$1),0)</f>
        <v>1160.4248828869711</v>
      </c>
      <c r="AT18" s="90">
        <f>VLOOKUP($A18,平滑数据导入!$A$1:$AN$61,COLUMN(平滑数据导入!Y$1),0)</f>
        <v>1130.8974178729229</v>
      </c>
      <c r="AU18" s="89">
        <f>VLOOKUP($A18,平滑数据导入!$A$1:$AN$61,COLUMN(平滑数据导入!Z$1),0)</f>
        <v>1101.0712693432411</v>
      </c>
      <c r="AV18" s="90">
        <f>VLOOKUP($A18,平滑数据导入!$A$1:$AN$61,COLUMN(平滑数据导入!AA$1),0)</f>
        <v>1071.0987530976561</v>
      </c>
      <c r="AW18" s="90">
        <f>VLOOKUP($A18,平滑数据导入!$A$1:$AN$61,COLUMN(平滑数据导入!AB$1),0)</f>
        <v>1041.1211966197161</v>
      </c>
      <c r="AX18" s="90">
        <f>VLOOKUP($A18,平滑数据导入!$A$1:$AN$61,COLUMN(平滑数据导入!AC$1),0)</f>
        <v>1011.268737590719</v>
      </c>
      <c r="AY18" s="133">
        <f>VLOOKUP(A18,情景假设!$B$48:$S$88,17,0)/情景假设!R$47*AY$13</f>
        <v>981.66028170175821</v>
      </c>
      <c r="AZ18" s="89">
        <f>VLOOKUP($A18,平滑数据导入!$A$1:$AN$61,COLUMN(平滑数据导入!AE$1),0)</f>
        <v>952.40360187257875</v>
      </c>
      <c r="BA18" s="90">
        <f>VLOOKUP($A18,平滑数据导入!$A$1:$AN$61,COLUMN(平滑数据导入!AF$1),0)</f>
        <v>923.5955608470872</v>
      </c>
      <c r="BB18" s="90">
        <f>VLOOKUP($A18,平滑数据导入!$A$1:$AN$61,COLUMN(平滑数据导入!AG$1),0)</f>
        <v>895.32243939568991</v>
      </c>
      <c r="BC18" s="90">
        <f>VLOOKUP($A18,平滑数据导入!$A$1:$AN$61,COLUMN(平滑数据导入!AH$1),0)</f>
        <v>867.66035294935944</v>
      </c>
      <c r="BD18" s="101">
        <f>VLOOKUP($A18,平滑数据导入!$A$1:$AN$61,COLUMN(平滑数据导入!AI$1),0)</f>
        <v>840.67574035566031</v>
      </c>
      <c r="BE18" s="90">
        <f>VLOOKUP($A18,平滑数据导入!$A$1:$AN$61,COLUMN(平滑数据导入!AJ$1),0)</f>
        <v>814.42590952259764</v>
      </c>
      <c r="BF18" s="90">
        <f>VLOOKUP($A18,平滑数据导入!$A$1:$AN$61,COLUMN(平滑数据导入!AK$1),0)</f>
        <v>788.95962594604657</v>
      </c>
      <c r="BG18" s="90">
        <f>VLOOKUP($A18,平滑数据导入!$A$1:$AN$61,COLUMN(平滑数据导入!AL$1),0)</f>
        <v>764.3177314502135</v>
      </c>
      <c r="BH18" s="90">
        <f>VLOOKUP($A18,平滑数据导入!$A$1:$AN$61,COLUMN(平滑数据导入!AM$1),0)</f>
        <v>740.53378186335351</v>
      </c>
      <c r="BI18" s="133">
        <f>VLOOKUP(A18,情景假设!$B$48:$S$88,18,0)/情景假设!S$47*BI$13</f>
        <v>717.6346937644671</v>
      </c>
    </row>
    <row r="19" spans="1:61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f>'增加值 (2001-2022, 当年价) '!I19*I$77</f>
        <v>622.28189547720797</v>
      </c>
      <c r="J19" s="20">
        <f>'增加值 (2001-2022, 当年价) '!J19*J$77</f>
        <v>708.94586294105329</v>
      </c>
      <c r="K19" s="21">
        <f>'增加值 (2001-2022, 当年价) '!K19*K$77</f>
        <v>796.67192689080173</v>
      </c>
      <c r="L19" s="19">
        <f>'增加值 (2001-2022, 当年价) '!L19*L$77</f>
        <v>897.68406282890419</v>
      </c>
      <c r="M19" s="20">
        <f>'增加值 (2001-2022, 当年价) '!M19*M$77</f>
        <v>975.94130351953618</v>
      </c>
      <c r="N19" s="20">
        <f>'增加值 (2001-2022, 当年价) '!N19*N$77</f>
        <v>974.38864222573625</v>
      </c>
      <c r="O19" s="20">
        <f>'增加值 (2001-2022, 当年价) '!O19*O$77</f>
        <v>903.34619259796079</v>
      </c>
      <c r="P19" s="20">
        <f>'增加值 (2001-2022, 当年价) '!P19*P$77</f>
        <v>755.02693912330028</v>
      </c>
      <c r="Q19" s="19">
        <f>'增加值 (2001-2022, 当年价) '!Q19*Q$77</f>
        <v>629.98069374082036</v>
      </c>
      <c r="R19" s="20">
        <f>'增加值 (2001-2022, 当年价) '!R19*R$77</f>
        <v>764.56980297896723</v>
      </c>
      <c r="S19" s="20">
        <f>'增加值 (2001-2022, 当年价) '!S19*S$77</f>
        <v>943.22721747818241</v>
      </c>
      <c r="T19" s="20">
        <f>'增加值 (2001-2022, 当年价) '!T19*T$77</f>
        <v>1106.7744145318222</v>
      </c>
      <c r="U19" s="21">
        <f>'增加值 (2001-2022, 当年价) '!U19*U$77</f>
        <v>935.75183103419295</v>
      </c>
      <c r="V19" s="20">
        <f>'增加值 (2001-2022, 当年价) '!V19*V$77</f>
        <v>1028.8553087520027</v>
      </c>
      <c r="W19" s="20">
        <f>'增加值 (2001-2022, 当年价) '!W19*W$77</f>
        <v>1144.432816780665</v>
      </c>
      <c r="X19" s="90">
        <f>VLOOKUP($A19,平滑数据导入!$A$1:$AN$61,COLUMN(平滑数据导入!C$1),0)</f>
        <v>1214.60084379252</v>
      </c>
      <c r="Y19" s="90">
        <f>VLOOKUP($A19,平滑数据导入!$A$1:$AN$61,COLUMN(平滑数据导入!D$1),0)</f>
        <v>1284.3119282158809</v>
      </c>
      <c r="Z19" s="141">
        <f>VLOOKUP(A19,情景假设!$B$48:$S$88,14,0)/情景假设!O$47*Z$13</f>
        <v>1353.3049606084758</v>
      </c>
      <c r="AA19" s="89">
        <f>VLOOKUP($A19,平滑数据导入!$A$1:$AN$61,COLUMN(平滑数据导入!F$1),0)</f>
        <v>1421.358429145035</v>
      </c>
      <c r="AB19" s="90">
        <f>VLOOKUP($A19,平滑数据导入!$A$1:$AN$61,COLUMN(平滑数据导入!G$1),0)</f>
        <v>1488.294514411404</v>
      </c>
      <c r="AC19" s="90">
        <f>VLOOKUP($A19,平滑数据导入!$A$1:$AN$61,COLUMN(平滑数据导入!H$1),0)</f>
        <v>1553.982224644554</v>
      </c>
      <c r="AD19" s="90">
        <f>VLOOKUP($A19,平滑数据导入!$A$1:$AN$61,COLUMN(平滑数据导入!I$1),0)</f>
        <v>1618.3396127689141</v>
      </c>
      <c r="AE19" s="133">
        <f>VLOOKUP(A19,情景假设!$B$48:$S$88,15,0)/情景假设!P$47*AE$13</f>
        <v>1681.3351511291303</v>
      </c>
      <c r="AF19" s="90">
        <f>VLOOKUP($A19,平滑数据导入!$A$1:$AN$61,COLUMN(平滑数据导入!K$1),0)</f>
        <v>1742.8873445320769</v>
      </c>
      <c r="AG19" s="90">
        <f>VLOOKUP($A19,平滑数据导入!$A$1:$AN$61,COLUMN(平滑数据导入!L$1),0)</f>
        <v>1802.533856969053</v>
      </c>
      <c r="AH19" s="90">
        <f>VLOOKUP($A19,平滑数据导入!$A$1:$AN$61,COLUMN(平滑数据导入!M$1),0)</f>
        <v>1859.6882985956961</v>
      </c>
      <c r="AI19" s="90">
        <f>VLOOKUP($A19,平滑数据导入!$A$1:$AN$61,COLUMN(平滑数据导入!N$1),0)</f>
        <v>1913.7403852579621</v>
      </c>
      <c r="AJ19" s="141">
        <f>VLOOKUP(A19,情景假设!$B$48:$S$88,16,0)/情景假设!Q$47*AJ$13</f>
        <v>1964.0635838650364</v>
      </c>
      <c r="AK19" s="89">
        <f>VLOOKUP($A19,平滑数据导入!$A$1:$AN$61,COLUMN(平滑数据导入!P$1),0)</f>
        <v>2010.102253794681</v>
      </c>
      <c r="AL19" s="90">
        <f>VLOOKUP($A19,平滑数据导入!$A$1:$AN$61,COLUMN(平滑数据导入!Q$1),0)</f>
        <v>2051.6292870375032</v>
      </c>
      <c r="AM19" s="90">
        <f>VLOOKUP($A19,平滑数据导入!$A$1:$AN$61,COLUMN(平滑数据导入!R$1),0)</f>
        <v>2088.5395962892239</v>
      </c>
      <c r="AN19" s="90">
        <f>VLOOKUP($A19,平滑数据导入!$A$1:$AN$61,COLUMN(平滑数据导入!S$1),0)</f>
        <v>2120.7748881278822</v>
      </c>
      <c r="AO19" s="101">
        <f>VLOOKUP($A19,平滑数据导入!$A$1:$AN$61,COLUMN(平滑数据导入!T$1),0)</f>
        <v>2148.3222101131751</v>
      </c>
      <c r="AP19" s="90">
        <f>VLOOKUP($A19,平滑数据导入!$A$1:$AN$61,COLUMN(平滑数据导入!U$1),0)</f>
        <v>2171.2118625273288</v>
      </c>
      <c r="AQ19" s="90">
        <f>VLOOKUP($A19,平滑数据导入!$A$1:$AN$61,COLUMN(平滑数据导入!V$1),0)</f>
        <v>2189.5147648663801</v>
      </c>
      <c r="AR19" s="90">
        <f>VLOOKUP($A19,平滑数据导入!$A$1:$AN$61,COLUMN(平滑数据导入!W$1),0)</f>
        <v>2203.3393726045852</v>
      </c>
      <c r="AS19" s="90">
        <f>VLOOKUP($A19,平滑数据导入!$A$1:$AN$61,COLUMN(平滑数据导入!X$1),0)</f>
        <v>2212.8282419859602</v>
      </c>
      <c r="AT19" s="90">
        <f>VLOOKUP($A19,平滑数据导入!$A$1:$AN$61,COLUMN(平滑数据导入!Y$1),0)</f>
        <v>2218.154339920558</v>
      </c>
      <c r="AU19" s="89">
        <f>VLOOKUP($A19,平滑数据导入!$A$1:$AN$61,COLUMN(平滑数据导入!Z$1),0)</f>
        <v>2219.5171928256291</v>
      </c>
      <c r="AV19" s="90">
        <f>VLOOKUP($A19,平滑数据导入!$A$1:$AN$61,COLUMN(平滑数据导入!AA$1),0)</f>
        <v>2217.1389628498391</v>
      </c>
      <c r="AW19" s="90">
        <f>VLOOKUP($A19,平滑数据导入!$A$1:$AN$61,COLUMN(平滑数据导入!AB$1),0)</f>
        <v>2211.2605327755</v>
      </c>
      <c r="AX19" s="90">
        <f>VLOOKUP($A19,平滑数据导入!$A$1:$AN$61,COLUMN(平滑数据导入!AC$1),0)</f>
        <v>2202.1376724397642</v>
      </c>
      <c r="AY19" s="133">
        <f>VLOOKUP(A19,情景假设!$B$48:$S$88,17,0)/情景假设!R$47*AY$13</f>
        <v>2190.0373501703139</v>
      </c>
      <c r="AZ19" s="89">
        <f>VLOOKUP($A19,平滑数据导入!$A$1:$AN$61,COLUMN(平滑数据导入!AE$1),0)</f>
        <v>2175.2342428890852</v>
      </c>
      <c r="BA19" s="90">
        <f>VLOOKUP($A19,平滑数据导入!$A$1:$AN$61,COLUMN(平滑数据导入!AF$1),0)</f>
        <v>2158.007488556219</v>
      </c>
      <c r="BB19" s="90">
        <f>VLOOKUP($A19,平滑数据导入!$A$1:$AN$61,COLUMN(平滑数据导入!AG$1),0)</f>
        <v>2138.6377148199458</v>
      </c>
      <c r="BC19" s="90">
        <f>VLOOKUP($A19,平滑数据导入!$A$1:$AN$61,COLUMN(平滑数据导入!AH$1),0)</f>
        <v>2117.4043683697819</v>
      </c>
      <c r="BD19" s="101">
        <f>VLOOKUP($A19,平滑数据导入!$A$1:$AN$61,COLUMN(平滑数据导入!AI$1),0)</f>
        <v>2094.5833607734921</v>
      </c>
      <c r="BE19" s="90">
        <f>VLOOKUP($A19,平滑数据导入!$A$1:$AN$61,COLUMN(平滑数据导入!AJ$1),0)</f>
        <v>2070.44503867404</v>
      </c>
      <c r="BF19" s="90">
        <f>VLOOKUP($A19,平滑数据导入!$A$1:$AN$61,COLUMN(平滑数据导入!AK$1),0)</f>
        <v>2045.2524792440529</v>
      </c>
      <c r="BG19" s="90">
        <f>VLOOKUP($A19,平滑数据导入!$A$1:$AN$61,COLUMN(平滑数据导入!AL$1),0)</f>
        <v>2019.260105811011</v>
      </c>
      <c r="BH19" s="90">
        <f>VLOOKUP($A19,平滑数据导入!$A$1:$AN$61,COLUMN(平滑数据导入!AM$1),0)</f>
        <v>1992.7126136042059</v>
      </c>
      <c r="BI19" s="133">
        <f>VLOOKUP(A19,情景假设!$B$48:$S$88,18,0)/情景假设!S$47*BI$13</f>
        <v>1965.8441916303402</v>
      </c>
    </row>
    <row r="20" spans="1:61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f>'增加值 (2001-2022, 当年价) '!I20*I$77</f>
        <v>4.2073585081337939</v>
      </c>
      <c r="J20" s="20">
        <f>'增加值 (2001-2022, 当年价) '!J20*J$77</f>
        <v>5.6913481669919435</v>
      </c>
      <c r="K20" s="21">
        <f>'增加值 (2001-2022, 当年价) '!K20*K$77</f>
        <v>6.6710308764954105</v>
      </c>
      <c r="L20" s="19">
        <f>'增加值 (2001-2022, 当年价) '!L20*L$77</f>
        <v>7.8715586982123913</v>
      </c>
      <c r="M20" s="20">
        <f>'增加值 (2001-2022, 当年价) '!M20*M$77</f>
        <v>7.9058264716914133</v>
      </c>
      <c r="N20" s="20">
        <f>'增加值 (2001-2022, 当年价) '!N20*N$77</f>
        <v>8.4565158393190849</v>
      </c>
      <c r="O20" s="20">
        <f>'增加值 (2001-2022, 当年价) '!O20*O$77</f>
        <v>7.8642757355593114</v>
      </c>
      <c r="P20" s="20">
        <f>'增加值 (2001-2022, 当年价) '!P20*P$77</f>
        <v>7.6399586741987617</v>
      </c>
      <c r="Q20" s="19">
        <f>'增加值 (2001-2022, 当年价) '!Q20*Q$77</f>
        <v>6.6132251314970931</v>
      </c>
      <c r="R20" s="20">
        <f>'增加值 (2001-2022, 当年价) '!R20*R$77</f>
        <v>7.651212356064276</v>
      </c>
      <c r="S20" s="20">
        <f>'增加值 (2001-2022, 当年价) '!S20*S$77</f>
        <v>7.8468501110366367</v>
      </c>
      <c r="T20" s="20">
        <f>'增加值 (2001-2022, 当年价) '!T20*T$77</f>
        <v>7.8531685552162784</v>
      </c>
      <c r="U20" s="21">
        <f>'增加值 (2001-2022, 当年价) '!U20*U$77</f>
        <v>7.680442047975407</v>
      </c>
      <c r="V20" s="20">
        <f>'增加值 (2001-2022, 当年价) '!V20*V$77</f>
        <v>7.133140363143748</v>
      </c>
      <c r="W20" s="103">
        <f>'增加值 (2001-2022, 当年价) '!W20*W$77</f>
        <v>9.2604801376398402</v>
      </c>
      <c r="X20" s="90">
        <f>VLOOKUP($A20,平滑数据导入!$A$1:$AN$61,COLUMN(平滑数据导入!C$1),0)</f>
        <v>9.4703789730627825</v>
      </c>
      <c r="Y20" s="90">
        <f>VLOOKUP($A20,平滑数据导入!$A$1:$AN$61,COLUMN(平滑数据导入!D$1),0)</f>
        <v>9.6816395335293617</v>
      </c>
      <c r="Z20" s="141">
        <f>VLOOKUP(A20,情景假设!$B$48:$S$88,14,0)/情景假设!O$47*Z$13</f>
        <v>9.8924936950662925</v>
      </c>
      <c r="AA20" s="89">
        <f>VLOOKUP($A20,平滑数据导入!$A$1:$AN$61,COLUMN(平滑数据导入!F$1),0)</f>
        <v>10.10102866739121</v>
      </c>
      <c r="AB20" s="90">
        <f>VLOOKUP($A20,平滑数据导入!$A$1:$AN$61,COLUMN(平滑数据导入!G$1),0)</f>
        <v>10.305189902713099</v>
      </c>
      <c r="AC20" s="90">
        <f>VLOOKUP($A20,平滑数据导入!$A$1:$AN$61,COLUMN(平滑数据导入!H$1),0)</f>
        <v>10.502787892718271</v>
      </c>
      <c r="AD20" s="90">
        <f>VLOOKUP($A20,平滑数据导入!$A$1:$AN$61,COLUMN(平滑数据导入!I$1),0)</f>
        <v>10.69150925074053</v>
      </c>
      <c r="AE20" s="133">
        <f>VLOOKUP(A20,情景假设!$B$48:$S$88,15,0)/情景假设!P$47*AE$13</f>
        <v>10.868932426713513</v>
      </c>
      <c r="AF20" s="90">
        <f>VLOOKUP($A20,平滑数据导入!$A$1:$AN$61,COLUMN(平滑数据导入!K$1),0)</f>
        <v>11.03255800857775</v>
      </c>
      <c r="AG20" s="90">
        <f>VLOOKUP($A20,平滑数据导入!$A$1:$AN$61,COLUMN(平滑数据导入!L$1),0)</f>
        <v>11.17986449743208</v>
      </c>
      <c r="AH20" s="90">
        <f>VLOOKUP($A20,平滑数据导入!$A$1:$AN$61,COLUMN(平滑数据导入!M$1),0)</f>
        <v>11.30831145619277</v>
      </c>
      <c r="AI20" s="90">
        <f>VLOOKUP($A20,平滑数据导入!$A$1:$AN$61,COLUMN(平滑数据导入!N$1),0)</f>
        <v>11.415364845099729</v>
      </c>
      <c r="AJ20" s="141">
        <f>VLOOKUP(A20,情景假设!$B$48:$S$88,16,0)/情景假设!Q$47*AJ$13</f>
        <v>11.49853620735473</v>
      </c>
      <c r="AK20" s="89">
        <f>VLOOKUP($A20,平滑数据导入!$A$1:$AN$61,COLUMN(平滑数据导入!P$1),0)</f>
        <v>11.55592047829303</v>
      </c>
      <c r="AL20" s="90">
        <f>VLOOKUP($A20,平滑数据导入!$A$1:$AN$61,COLUMN(平滑数据导入!Q$1),0)</f>
        <v>11.58773667177088</v>
      </c>
      <c r="AM20" s="90">
        <f>VLOOKUP($A20,平滑数据导入!$A$1:$AN$61,COLUMN(平滑数据导入!R$1),0)</f>
        <v>11.594879063180461</v>
      </c>
      <c r="AN20" s="90">
        <f>VLOOKUP($A20,平滑数据导入!$A$1:$AN$61,COLUMN(平滑数据导入!S$1),0)</f>
        <v>11.57840694740244</v>
      </c>
      <c r="AO20" s="101">
        <f>VLOOKUP($A20,平滑数据导入!$A$1:$AN$61,COLUMN(平滑数据导入!T$1),0)</f>
        <v>11.53952213342391</v>
      </c>
      <c r="AP20" s="90">
        <f>VLOOKUP($A20,平滑数据导入!$A$1:$AN$61,COLUMN(平滑数据导入!U$1),0)</f>
        <v>11.479546070061421</v>
      </c>
      <c r="AQ20" s="90">
        <f>VLOOKUP($A20,平滑数据导入!$A$1:$AN$61,COLUMN(平滑数据导入!V$1),0)</f>
        <v>11.39989706271848</v>
      </c>
      <c r="AR20" s="90">
        <f>VLOOKUP($A20,平滑数据导入!$A$1:$AN$61,COLUMN(平滑数据导入!W$1),0)</f>
        <v>11.302067993388469</v>
      </c>
      <c r="AS20" s="90">
        <f>VLOOKUP($A20,平滑数据导入!$A$1:$AN$61,COLUMN(平滑数据导入!X$1),0)</f>
        <v>11.18760490309592</v>
      </c>
      <c r="AT20" s="90">
        <f>VLOOKUP($A20,平滑数据导入!$A$1:$AN$61,COLUMN(平滑数据导入!Y$1),0)</f>
        <v>11.05808673986523</v>
      </c>
      <c r="AU20" s="89">
        <f>VLOOKUP($A20,平滑数据导入!$A$1:$AN$61,COLUMN(平滑数据导入!Z$1),0)</f>
        <v>10.915106518144819</v>
      </c>
      <c r="AV20" s="90">
        <f>VLOOKUP($A20,平滑数据导入!$A$1:$AN$61,COLUMN(平滑数据导入!AA$1),0)</f>
        <v>10.76025407918579</v>
      </c>
      <c r="AW20" s="90">
        <f>VLOOKUP($A20,平滑数据导入!$A$1:$AN$61,COLUMN(平滑数据导入!AB$1),0)</f>
        <v>10.595100587703859</v>
      </c>
      <c r="AX20" s="90">
        <f>VLOOKUP($A20,平滑数据导入!$A$1:$AN$61,COLUMN(平滑数据导入!AC$1),0)</f>
        <v>10.421184849478889</v>
      </c>
      <c r="AY20" s="133">
        <f>VLOOKUP(A20,情景假设!$B$48:$S$88,17,0)/情景假设!R$47*AY$13</f>
        <v>10.240001488323697</v>
      </c>
      <c r="AZ20" s="89">
        <f>VLOOKUP($A20,平滑数据导入!$A$1:$AN$61,COLUMN(平滑数据导入!AE$1),0)</f>
        <v>10.052990979760461</v>
      </c>
      <c r="BA20" s="90">
        <f>VLOOKUP($A20,平滑数据导入!$A$1:$AN$61,COLUMN(平滑数据导入!AF$1),0)</f>
        <v>9.8615315031997781</v>
      </c>
      <c r="BB20" s="90">
        <f>VLOOKUP($A20,平滑数据导入!$A$1:$AN$61,COLUMN(平滑数据导入!AG$1),0)</f>
        <v>9.6669325446139727</v>
      </c>
      <c r="BC20" s="90">
        <f>VLOOKUP($A20,平滑数据导入!$A$1:$AN$61,COLUMN(平滑数据导入!AH$1),0)</f>
        <v>9.470430157621383</v>
      </c>
      <c r="BD20" s="101">
        <f>VLOOKUP($A20,平滑数据导入!$A$1:$AN$61,COLUMN(平滑数据导入!AI$1),0)</f>
        <v>9.273183772373363</v>
      </c>
      <c r="BE20" s="90">
        <f>VLOOKUP($A20,平滑数据导入!$A$1:$AN$61,COLUMN(平滑数据导入!AJ$1),0)</f>
        <v>9.0762744283476646</v>
      </c>
      <c r="BF20" s="90">
        <f>VLOOKUP($A20,平滑数据导入!$A$1:$AN$61,COLUMN(平滑数据导入!AK$1),0)</f>
        <v>8.8807042986876503</v>
      </c>
      <c r="BG20" s="90">
        <f>VLOOKUP($A20,平滑数据导入!$A$1:$AN$61,COLUMN(平滑数据导入!AL$1),0)</f>
        <v>8.6873973696035289</v>
      </c>
      <c r="BH20" s="90">
        <f>VLOOKUP($A20,平滑数据导入!$A$1:$AN$61,COLUMN(平滑数据导入!AM$1),0)</f>
        <v>8.4972011380445043</v>
      </c>
      <c r="BI20" s="133">
        <f>VLOOKUP(A20,情景假设!$B$48:$S$88,18,0)/情景假设!S$47*BI$13</f>
        <v>8.3108891938199232</v>
      </c>
    </row>
    <row r="21" spans="1:61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f>'增加值 (2001-2022, 当年价) '!I21*I$77</f>
        <v>6050.1815346963958</v>
      </c>
      <c r="J21" s="20">
        <f>'增加值 (2001-2022, 当年价) '!J21*J$77</f>
        <v>6647.1197559437896</v>
      </c>
      <c r="K21" s="21">
        <f>'增加值 (2001-2022, 当年价) '!K21*K$77</f>
        <v>7423.3830327374781</v>
      </c>
      <c r="L21" s="19">
        <f>'增加值 (2001-2022, 当年价) '!L21*L$77</f>
        <v>8138.735509032279</v>
      </c>
      <c r="M21" s="20">
        <f>'增加值 (2001-2022, 当年价) '!M21*M$77</f>
        <v>8801.756427856033</v>
      </c>
      <c r="N21" s="20">
        <f>'增加值 (2001-2022, 当年价) '!N21*N$77</f>
        <v>9147.290394606589</v>
      </c>
      <c r="O21" s="20">
        <f>'增加值 (2001-2022, 当年价) '!O21*O$77</f>
        <v>9445.0378195708508</v>
      </c>
      <c r="P21" s="20">
        <f>'增加值 (2001-2022, 当年价) '!P21*P$77</f>
        <v>9453.4097282134589</v>
      </c>
      <c r="Q21" s="19">
        <f>'增加值 (2001-2022, 当年价) '!Q21*Q$77</f>
        <v>9788.1934403291416</v>
      </c>
      <c r="R21" s="20">
        <f>'增加值 (2001-2022, 当年价) '!R21*R$77</f>
        <v>10581.43367652795</v>
      </c>
      <c r="S21" s="20">
        <f>'增加值 (2001-2022, 当年价) '!S21*S$77</f>
        <v>11157.537384528478</v>
      </c>
      <c r="T21" s="20">
        <f>'增加值 (2001-2022, 当年价) '!T21*T$77</f>
        <v>10962.124829845372</v>
      </c>
      <c r="U21" s="21">
        <f>'增加值 (2001-2022, 当年价) '!U21*U$77</f>
        <v>10445.304759048124</v>
      </c>
      <c r="V21" s="20">
        <f>'增加值 (2001-2022, 当年价) '!V21*V$77</f>
        <v>11712.956168186243</v>
      </c>
      <c r="W21" s="20">
        <f>'增加值 (2001-2022, 当年价) '!W21*W$77</f>
        <v>11981.684218336073</v>
      </c>
      <c r="X21" s="90">
        <f>VLOOKUP($A21,平滑数据导入!$A$1:$AN$61,COLUMN(平滑数据导入!C$1),0)</f>
        <v>12042.617525531239</v>
      </c>
      <c r="Y21" s="90">
        <f>VLOOKUP($A21,平滑数据导入!$A$1:$AN$61,COLUMN(平滑数据导入!D$1),0)</f>
        <v>12117.71721551838</v>
      </c>
      <c r="Z21" s="141">
        <f>VLOOKUP(A21,情景假设!$B$48:$S$88,14,0)/情景假设!O$47*Z$13</f>
        <v>12203.447655788554</v>
      </c>
      <c r="AA21" s="89">
        <f>VLOOKUP($A21,平滑数据导入!$A$1:$AN$61,COLUMN(平滑数据导入!F$1),0)</f>
        <v>12296.2021488062</v>
      </c>
      <c r="AB21" s="90">
        <f>VLOOKUP($A21,平滑数据导入!$A$1:$AN$61,COLUMN(平滑数据导入!G$1),0)</f>
        <v>12392.276115242379</v>
      </c>
      <c r="AC21" s="90">
        <f>VLOOKUP($A21,平滑数据导入!$A$1:$AN$61,COLUMN(平滑数据导入!H$1),0)</f>
        <v>12487.851258752829</v>
      </c>
      <c r="AD21" s="90">
        <f>VLOOKUP($A21,平滑数据导入!$A$1:$AN$61,COLUMN(平滑数据导入!I$1),0)</f>
        <v>12578.991243285151</v>
      </c>
      <c r="AE21" s="133">
        <f>VLOOKUP(A21,情景假设!$B$48:$S$88,15,0)/情景假设!P$47*AE$13</f>
        <v>12661.649500364536</v>
      </c>
      <c r="AF21" s="90">
        <f>VLOOKUP($A21,平滑数据导入!$A$1:$AN$61,COLUMN(平滑数据导入!K$1),0)</f>
        <v>12731.614069688139</v>
      </c>
      <c r="AG21" s="90">
        <f>VLOOKUP($A21,平滑数据导入!$A$1:$AN$61,COLUMN(平滑数据导入!L$1),0)</f>
        <v>12784.31173124501</v>
      </c>
      <c r="AH21" s="90">
        <f>VLOOKUP($A21,平滑数据导入!$A$1:$AN$61,COLUMN(平滑数据导入!M$1),0)</f>
        <v>12815.081323900849</v>
      </c>
      <c r="AI21" s="90">
        <f>VLOOKUP($A21,平滑数据导入!$A$1:$AN$61,COLUMN(平滑数据导入!N$1),0)</f>
        <v>12819.31825533407</v>
      </c>
      <c r="AJ21" s="141">
        <f>VLOOKUP(A21,情景假设!$B$48:$S$88,16,0)/情景假设!Q$47*AJ$13</f>
        <v>12792.559955502353</v>
      </c>
      <c r="AK21" s="89">
        <f>VLOOKUP($A21,平滑数据导入!$A$1:$AN$61,COLUMN(平滑数据导入!P$1),0)</f>
        <v>12731.666675928929</v>
      </c>
      <c r="AL21" s="90">
        <f>VLOOKUP($A21,平滑数据导入!$A$1:$AN$61,COLUMN(平滑数据导入!Q$1),0)</f>
        <v>12638.110263996739</v>
      </c>
      <c r="AM21" s="90">
        <f>VLOOKUP($A21,平滑数据导入!$A$1:$AN$61,COLUMN(平滑数据导入!R$1),0)</f>
        <v>12514.652484420179</v>
      </c>
      <c r="AN21" s="90">
        <f>VLOOKUP($A21,平滑数据导入!$A$1:$AN$61,COLUMN(平滑数据导入!S$1),0)</f>
        <v>12364.19697382957</v>
      </c>
      <c r="AO21" s="101">
        <f>VLOOKUP($A21,平滑数据导入!$A$1:$AN$61,COLUMN(平滑数据导入!T$1),0)</f>
        <v>12189.733066103559</v>
      </c>
      <c r="AP21" s="90">
        <f>VLOOKUP($A21,平滑数据导入!$A$1:$AN$61,COLUMN(平滑数据导入!U$1),0)</f>
        <v>11994.283997965489</v>
      </c>
      <c r="AQ21" s="90">
        <f>VLOOKUP($A21,平滑数据导入!$A$1:$AN$61,COLUMN(平滑数据导入!V$1),0)</f>
        <v>11780.860266806711</v>
      </c>
      <c r="AR21" s="90">
        <f>VLOOKUP($A21,平滑数据导入!$A$1:$AN$61,COLUMN(平滑数据导入!W$1),0)</f>
        <v>11552.418660848291</v>
      </c>
      <c r="AS21" s="90">
        <f>VLOOKUP($A21,平滑数据导入!$A$1:$AN$61,COLUMN(平滑数据导入!X$1),0)</f>
        <v>11311.827249245851</v>
      </c>
      <c r="AT21" s="90">
        <f>VLOOKUP($A21,平滑数据导入!$A$1:$AN$61,COLUMN(平滑数据导入!Y$1),0)</f>
        <v>11061.836412705539</v>
      </c>
      <c r="AU21" s="89">
        <f>VLOOKUP($A21,平滑数据导入!$A$1:$AN$61,COLUMN(平滑数据导入!Z$1),0)</f>
        <v>10805.05581757276</v>
      </c>
      <c r="AV21" s="90">
        <f>VLOOKUP($A21,平滑数据导入!$A$1:$AN$61,COLUMN(平滑数据导入!AA$1),0)</f>
        <v>10543.93709019685</v>
      </c>
      <c r="AW21" s="90">
        <f>VLOOKUP($A21,平滑数据导入!$A$1:$AN$61,COLUMN(平滑数据导入!AB$1),0)</f>
        <v>10280.76183398703</v>
      </c>
      <c r="AX21" s="90">
        <f>VLOOKUP($A21,平滑数据导入!$A$1:$AN$61,COLUMN(平滑数据导入!AC$1),0)</f>
        <v>10017.634547894981</v>
      </c>
      <c r="AY21" s="133">
        <f>VLOOKUP(A21,情景假设!$B$48:$S$88,17,0)/情景假设!R$47*AY$13</f>
        <v>9756.4799499740566</v>
      </c>
      <c r="AZ21" s="89">
        <f>VLOOKUP($A21,平滑数据导入!$A$1:$AN$61,COLUMN(平滑数据导入!AE$1),0)</f>
        <v>9499.0441802863515</v>
      </c>
      <c r="BA21" s="90">
        <f>VLOOKUP($A21,平滑数据导入!$A$1:$AN$61,COLUMN(平滑数据导入!AF$1),0)</f>
        <v>9246.8993504232712</v>
      </c>
      <c r="BB21" s="90">
        <f>VLOOKUP($A21,平滑数据导入!$A$1:$AN$61,COLUMN(平滑数据导入!AG$1),0)</f>
        <v>9001.4509187082549</v>
      </c>
      <c r="BC21" s="90">
        <f>VLOOKUP($A21,平滑数据导入!$A$1:$AN$61,COLUMN(平滑数据导入!AH$1),0)</f>
        <v>8763.9473972046308</v>
      </c>
      <c r="BD21" s="101">
        <f>VLOOKUP($A21,平滑数据导入!$A$1:$AN$61,COLUMN(平滑数据导入!AI$1),0)</f>
        <v>8535.49193556305</v>
      </c>
      <c r="BE21" s="90">
        <f>VLOOKUP($A21,平滑数据导入!$A$1:$AN$61,COLUMN(平滑数据导入!AJ$1),0)</f>
        <v>8317.055374412741</v>
      </c>
      <c r="BF21" s="90">
        <f>VLOOKUP($A21,平滑数据导入!$A$1:$AN$61,COLUMN(平滑数据导入!AK$1),0)</f>
        <v>8109.4904147141506</v>
      </c>
      <c r="BG21" s="90">
        <f>VLOOKUP($A21,平滑数据导入!$A$1:$AN$61,COLUMN(平滑数据导入!AL$1),0)</f>
        <v>7913.5466069706363</v>
      </c>
      <c r="BH21" s="90">
        <f>VLOOKUP($A21,平滑数据导入!$A$1:$AN$61,COLUMN(平滑数据导入!AM$1),0)</f>
        <v>7729.8859236389526</v>
      </c>
      <c r="BI21" s="133">
        <f>VLOOKUP(A21,情景假设!$B$48:$S$88,18,0)/情景假设!S$47*BI$13</f>
        <v>7559.0987381478926</v>
      </c>
    </row>
    <row r="22" spans="1:61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f>'增加值 (2001-2022, 当年价) '!I22*I$77</f>
        <v>2840.6455992012998</v>
      </c>
      <c r="J22" s="20">
        <f>'增加值 (2001-2022, 当年价) '!J22*J$77</f>
        <v>3072.4467177068132</v>
      </c>
      <c r="K22" s="21">
        <f>'增加值 (2001-2022, 当年价) '!K22*K$77</f>
        <v>3437.2202803711198</v>
      </c>
      <c r="L22" s="19">
        <f>'增加值 (2001-2022, 当年价) '!L22*L$77</f>
        <v>3867.5299130704925</v>
      </c>
      <c r="M22" s="20">
        <f>'增加值 (2001-2022, 当年价) '!M22*M$77</f>
        <v>4116.3241269140553</v>
      </c>
      <c r="N22" s="20">
        <f>'增加值 (2001-2022, 当年价) '!N22*N$77</f>
        <v>4301.3823456235787</v>
      </c>
      <c r="O22" s="20">
        <f>'增加值 (2001-2022, 当年价) '!O22*O$77</f>
        <v>4478.5085208395594</v>
      </c>
      <c r="P22" s="20">
        <f>'增加值 (2001-2022, 当年价) '!P22*P$77</f>
        <v>4567.4540786538546</v>
      </c>
      <c r="Q22" s="19">
        <f>'增加值 (2001-2022, 当年价) '!Q22*Q$77</f>
        <v>4849.5535940714435</v>
      </c>
      <c r="R22" s="20">
        <f>'增加值 (2001-2022, 当年价) '!R22*R$77</f>
        <v>5355.4655716280495</v>
      </c>
      <c r="S22" s="20">
        <f>'增加值 (2001-2022, 当年价) '!S22*S$77</f>
        <v>5689.7020900355756</v>
      </c>
      <c r="T22" s="20">
        <f>'增加值 (2001-2022, 当年价) '!T22*T$77</f>
        <v>5776.570889117249</v>
      </c>
      <c r="U22" s="21">
        <f>'增加值 (2001-2022, 当年价) '!U22*U$77</f>
        <v>5671.8703052305846</v>
      </c>
      <c r="V22" s="20">
        <f>'增加值 (2001-2022, 当年价) '!V22*V$77</f>
        <v>6377.9299660669476</v>
      </c>
      <c r="W22" s="103">
        <f>'增加值 (2001-2022, 当年价) '!W22*W$77</f>
        <v>6627.9200426937196</v>
      </c>
      <c r="X22" s="90">
        <f>VLOOKUP($A22,平滑数据导入!$A$1:$AN$61,COLUMN(平滑数据导入!C$1),0)</f>
        <v>6756.8909367718261</v>
      </c>
      <c r="Y22" s="90">
        <f>VLOOKUP($A22,平滑数据导入!$A$1:$AN$61,COLUMN(平滑数据导入!D$1),0)</f>
        <v>6887.9359134349188</v>
      </c>
      <c r="Z22" s="141">
        <f>VLOOKUP(A22,情景假设!$B$48:$S$88,14,0)/情景假设!O$47*Z$13</f>
        <v>7019.6758911298375</v>
      </c>
      <c r="AA22" s="89">
        <f>VLOOKUP($A22,平滑数据导入!$A$1:$AN$61,COLUMN(平滑数据导入!F$1),0)</f>
        <v>7150.6254702400092</v>
      </c>
      <c r="AB22" s="90">
        <f>VLOOKUP($A22,平滑数据导入!$A$1:$AN$61,COLUMN(平滑数据导入!G$1),0)</f>
        <v>7279.1931683779549</v>
      </c>
      <c r="AC22" s="90">
        <f>VLOOKUP($A22,平滑数据导入!$A$1:$AN$61,COLUMN(平滑数据导入!H$1),0)</f>
        <v>7403.6850075329876</v>
      </c>
      <c r="AD22" s="90">
        <f>VLOOKUP($A22,平滑数据导入!$A$1:$AN$61,COLUMN(平滑数据导入!I$1),0)</f>
        <v>7522.311815967073</v>
      </c>
      <c r="AE22" s="133">
        <f>VLOOKUP(A22,情景假设!$B$48:$S$88,15,0)/情景假设!P$47*AE$13</f>
        <v>7633.2005736864658</v>
      </c>
      <c r="AF22" s="90">
        <f>VLOOKUP($A22,平滑数据导入!$A$1:$AN$61,COLUMN(平滑数据导入!K$1),0)</f>
        <v>7734.4562159509314</v>
      </c>
      <c r="AG22" s="90">
        <f>VLOOKUP($A22,平滑数据导入!$A$1:$AN$61,COLUMN(平滑数据导入!L$1),0)</f>
        <v>7824.3245057005997</v>
      </c>
      <c r="AH22" s="90">
        <f>VLOOKUP($A22,平滑数据导入!$A$1:$AN$61,COLUMN(平滑数据导入!M$1),0)</f>
        <v>7901.0836661010717</v>
      </c>
      <c r="AI22" s="90">
        <f>VLOOKUP($A22,平滑数据导入!$A$1:$AN$61,COLUMN(平滑数据导入!N$1),0)</f>
        <v>7963.0232754492008</v>
      </c>
      <c r="AJ22" s="141">
        <f>VLOOKUP(A22,情景假设!$B$48:$S$88,16,0)/情景假设!Q$47*AJ$13</f>
        <v>8008.4710070058745</v>
      </c>
      <c r="AK22" s="89">
        <f>VLOOKUP($A22,平滑数据导入!$A$1:$AN$61,COLUMN(平滑数据导入!P$1),0)</f>
        <v>8036.1685177401314</v>
      </c>
      <c r="AL22" s="90">
        <f>VLOOKUP($A22,平滑数据导入!$A$1:$AN$61,COLUMN(平滑数据导入!Q$1),0)</f>
        <v>8046.3456247665454</v>
      </c>
      <c r="AM22" s="90">
        <f>VLOOKUP($A22,平滑数据导入!$A$1:$AN$61,COLUMN(平滑数据导入!R$1),0)</f>
        <v>8039.6972426020893</v>
      </c>
      <c r="AN22" s="90">
        <f>VLOOKUP($A22,平滑数据导入!$A$1:$AN$61,COLUMN(平滑数据导入!S$1),0)</f>
        <v>8017.0245005424904</v>
      </c>
      <c r="AO22" s="101">
        <f>VLOOKUP($A22,平滑数据导入!$A$1:$AN$61,COLUMN(平滑数据导入!T$1),0)</f>
        <v>7979.2188142122004</v>
      </c>
      <c r="AP22" s="90">
        <f>VLOOKUP($A22,平滑数据导入!$A$1:$AN$61,COLUMN(平滑数据导入!U$1),0)</f>
        <v>7927.2458825111526</v>
      </c>
      <c r="AQ22" s="90">
        <f>VLOOKUP($A22,平滑数据导入!$A$1:$AN$61,COLUMN(平滑数据导入!V$1),0)</f>
        <v>7862.1299132937984</v>
      </c>
      <c r="AR22" s="90">
        <f>VLOOKUP($A22,平滑数据导入!$A$1:$AN$61,COLUMN(平滑数据导入!W$1),0)</f>
        <v>7784.938345595895</v>
      </c>
      <c r="AS22" s="90">
        <f>VLOOKUP($A22,平滑数据导入!$A$1:$AN$61,COLUMN(平滑数据导入!X$1),0)</f>
        <v>7696.7672978523506</v>
      </c>
      <c r="AT22" s="90">
        <f>VLOOKUP($A22,平滑数据导入!$A$1:$AN$61,COLUMN(平滑数据导入!Y$1),0)</f>
        <v>7598.7279318028177</v>
      </c>
      <c r="AU22" s="89">
        <f>VLOOKUP($A22,平滑数据导入!$A$1:$AN$61,COLUMN(平滑数据导入!Z$1),0)</f>
        <v>7491.9338819892064</v>
      </c>
      <c r="AV22" s="90">
        <f>VLOOKUP($A22,平滑数据导入!$A$1:$AN$61,COLUMN(平滑数据导入!AA$1),0)</f>
        <v>7377.4898620623708</v>
      </c>
      <c r="AW22" s="90">
        <f>VLOOKUP($A22,平滑数据导入!$A$1:$AN$61,COLUMN(平滑数据导入!AB$1),0)</f>
        <v>7256.4815224916738</v>
      </c>
      <c r="AX22" s="90">
        <f>VLOOKUP($A22,平滑数据导入!$A$1:$AN$61,COLUMN(平滑数据导入!AC$1),0)</f>
        <v>7129.9666004683322</v>
      </c>
      <c r="AY22" s="133">
        <f>VLOOKUP(A22,情景假设!$B$48:$S$88,17,0)/情景假设!R$47*AY$13</f>
        <v>6998.967372374871</v>
      </c>
      <c r="AZ22" s="89">
        <f>VLOOKUP($A22,平滑数据导入!$A$1:$AN$61,COLUMN(平滑数据导入!AE$1),0)</f>
        <v>6864.4643925318014</v>
      </c>
      <c r="BA22" s="90">
        <f>VLOOKUP($A22,平滑数据导入!$A$1:$AN$61,COLUMN(平滑数据导入!AF$1),0)</f>
        <v>6727.3914792360783</v>
      </c>
      <c r="BB22" s="90">
        <f>VLOOKUP($A22,平滑数据导入!$A$1:$AN$61,COLUMN(平滑数据导入!AG$1),0)</f>
        <v>6588.631890428218</v>
      </c>
      <c r="BC22" s="90">
        <f>VLOOKUP($A22,平滑数据导入!$A$1:$AN$61,COLUMN(平滑数据导入!AH$1),0)</f>
        <v>6449.0156165917197</v>
      </c>
      <c r="BD22" s="101">
        <f>VLOOKUP($A22,平滑数据导入!$A$1:$AN$61,COLUMN(平滑数据导入!AI$1),0)</f>
        <v>6309.3177075236699</v>
      </c>
      <c r="BE22" s="90">
        <f>VLOOKUP($A22,平滑数据导入!$A$1:$AN$61,COLUMN(平滑数据导入!AJ$1),0)</f>
        <v>6170.2575421584652</v>
      </c>
      <c r="BF22" s="90">
        <f>VLOOKUP($A22,平滑数据导入!$A$1:$AN$61,COLUMN(平滑数据导入!AK$1),0)</f>
        <v>6032.4989463601514</v>
      </c>
      <c r="BG22" s="90">
        <f>VLOOKUP($A22,平滑数据导入!$A$1:$AN$61,COLUMN(平滑数据导入!AL$1),0)</f>
        <v>5896.6510621671232</v>
      </c>
      <c r="BH22" s="90">
        <f>VLOOKUP($A22,平滑数据导入!$A$1:$AN$61,COLUMN(平滑数据导入!AM$1),0)</f>
        <v>5763.2698729996619</v>
      </c>
      <c r="BI22" s="133">
        <f>VLOOKUP(A22,情景假设!$B$48:$S$88,18,0)/情景假设!S$47*BI$13</f>
        <v>5632.8602924468369</v>
      </c>
    </row>
    <row r="23" spans="1:61" x14ac:dyDescent="0.2">
      <c r="A23" s="30" t="s">
        <v>81</v>
      </c>
      <c r="B23" s="19"/>
      <c r="C23" s="20"/>
      <c r="D23" s="20"/>
      <c r="E23" s="20"/>
      <c r="F23" s="21"/>
      <c r="G23" s="19"/>
      <c r="H23" s="20"/>
      <c r="I23" s="20">
        <f>'增加值 (2001-2022, 当年价) '!I23*I$77</f>
        <v>3020.3405238712726</v>
      </c>
      <c r="J23" s="20">
        <f>'增加值 (2001-2022, 当年价) '!J23*J$77</f>
        <v>3281.1205636919672</v>
      </c>
      <c r="K23" s="21">
        <f>'增加值 (2001-2022, 当年价) '!K23*K$77</f>
        <v>3651.550680724517</v>
      </c>
      <c r="L23" s="19">
        <f>'增加值 (2001-2022, 当年价) '!L23*L$77</f>
        <v>4171.8492624004839</v>
      </c>
      <c r="M23" s="20">
        <f>'增加值 (2001-2022, 当年价) '!M23*M$77</f>
        <v>4468.0210462305595</v>
      </c>
      <c r="N23" s="20">
        <f>'增加值 (2001-2022, 当年价) '!N23*N$77</f>
        <v>4677.3794495133261</v>
      </c>
      <c r="O23" s="20">
        <f>'增加值 (2001-2022, 当年价) '!O23*O$77</f>
        <v>4775.8177167059885</v>
      </c>
      <c r="P23" s="20">
        <f>'增加值 (2001-2022, 当年价) '!P23*P$77</f>
        <v>4879.7297009487811</v>
      </c>
      <c r="Q23" s="19">
        <f>'增加值 (2001-2022, 当年价) '!Q23*Q$77</f>
        <v>5143.0198420387633</v>
      </c>
      <c r="R23" s="20">
        <f>'增加值 (2001-2022, 当年价) '!R23*R$77</f>
        <v>5679.5466147461566</v>
      </c>
      <c r="S23" s="20">
        <f>'增加值 (2001-2022, 当年价) '!S23*S$77</f>
        <v>6067.9398448699503</v>
      </c>
      <c r="T23" s="20">
        <f>'增加值 (2001-2022, 当年价) '!T23*T$77</f>
        <v>6213.2380330633578</v>
      </c>
      <c r="U23" s="21">
        <f>'增加值 (2001-2022, 当年价) '!U23*U$77</f>
        <v>5848.183273548666</v>
      </c>
      <c r="V23" s="20">
        <f>'增加值 (2001-2022, 当年价) '!V23*V$77</f>
        <v>6734.5068704919468</v>
      </c>
      <c r="W23" s="20">
        <f>'增加值 (2001-2022, 当年价) '!W23*W$77</f>
        <v>7272.1184742926107</v>
      </c>
      <c r="X23" s="90">
        <f>VLOOKUP($A23,平滑数据导入!$A$1:$AN$61,COLUMN(平滑数据导入!C$1),0)</f>
        <v>7446.4365840707296</v>
      </c>
      <c r="Y23" s="90">
        <f>VLOOKUP($A23,平滑数据导入!$A$1:$AN$61,COLUMN(平滑数据导入!D$1),0)</f>
        <v>7621.3717792656898</v>
      </c>
      <c r="Z23" s="141">
        <f>VLOOKUP(A23,情景假设!$B$48:$S$88,14,0)/情景假设!O$47*Z$13</f>
        <v>7795.5786575871789</v>
      </c>
      <c r="AA23" s="89">
        <f>VLOOKUP($A23,平滑数据导入!$A$1:$AN$61,COLUMN(平滑数据导入!F$1),0)</f>
        <v>7967.6010860733104</v>
      </c>
      <c r="AB23" s="90">
        <f>VLOOKUP($A23,平滑数据导入!$A$1:$AN$61,COLUMN(平滑数据导入!G$1),0)</f>
        <v>8135.87515481833</v>
      </c>
      <c r="AC23" s="90">
        <f>VLOOKUP($A23,平滑数据导入!$A$1:$AN$61,COLUMN(平滑数据导入!H$1),0)</f>
        <v>8298.7349540292071</v>
      </c>
      <c r="AD23" s="90">
        <f>VLOOKUP($A23,平滑数据导入!$A$1:$AN$61,COLUMN(平滑数据导入!I$1),0)</f>
        <v>8454.4214487293593</v>
      </c>
      <c r="AE23" s="133">
        <f>VLOOKUP(A23,情景假设!$B$48:$S$88,15,0)/情景假设!P$47*AE$13</f>
        <v>8601.0946870918779</v>
      </c>
      <c r="AF23" s="90">
        <f>VLOOKUP($A23,平滑数据导入!$A$1:$AN$61,COLUMN(平滑数据导入!K$1),0)</f>
        <v>8736.8391860834327</v>
      </c>
      <c r="AG23" s="90">
        <f>VLOOKUP($A23,平滑数据导入!$A$1:$AN$61,COLUMN(平滑数据导入!L$1),0)</f>
        <v>8859.6511028044461</v>
      </c>
      <c r="AH23" s="90">
        <f>VLOOKUP($A23,平滑数据导入!$A$1:$AN$61,COLUMN(平滑数据导入!M$1),0)</f>
        <v>8967.4906757135686</v>
      </c>
      <c r="AI23" s="90">
        <f>VLOOKUP($A23,平滑数据导入!$A$1:$AN$61,COLUMN(平滑数据导入!N$1),0)</f>
        <v>9058.3199683905677</v>
      </c>
      <c r="AJ23" s="141">
        <f>VLOOKUP(A23,情景假设!$B$48:$S$88,16,0)/情景假设!Q$47*AJ$13</f>
        <v>9130.1342287435655</v>
      </c>
      <c r="AK23" s="89">
        <f>VLOOKUP($A23,平滑数据导入!$A$1:$AN$61,COLUMN(平滑数据导入!P$1),0)</f>
        <v>9181.3882990701495</v>
      </c>
      <c r="AL23" s="90">
        <f>VLOOKUP($A23,平滑数据导入!$A$1:$AN$61,COLUMN(平滑数据导入!Q$1),0)</f>
        <v>9212.219403530351</v>
      </c>
      <c r="AM23" s="90">
        <f>VLOOKUP($A23,平滑数据导入!$A$1:$AN$61,COLUMN(平滑数据导入!R$1),0)</f>
        <v>9223.3032366317839</v>
      </c>
      <c r="AN23" s="90">
        <f>VLOOKUP($A23,平滑数据导入!$A$1:$AN$61,COLUMN(平滑数据导入!S$1),0)</f>
        <v>9215.4504746849689</v>
      </c>
      <c r="AO23" s="101">
        <f>VLOOKUP($A23,平滑数据导入!$A$1:$AN$61,COLUMN(平滑数据导入!T$1),0)</f>
        <v>9189.5890526144176</v>
      </c>
      <c r="AP23" s="90">
        <f>VLOOKUP($A23,平滑数据导入!$A$1:$AN$61,COLUMN(平滑数据导入!U$1),0)</f>
        <v>9146.7460616428252</v>
      </c>
      <c r="AQ23" s="90">
        <f>VLOOKUP($A23,平滑数据导入!$A$1:$AN$61,COLUMN(平滑数据导入!V$1),0)</f>
        <v>9088.0296404147011</v>
      </c>
      <c r="AR23" s="90">
        <f>VLOOKUP($A23,平滑数据导入!$A$1:$AN$61,COLUMN(平滑数据导入!W$1),0)</f>
        <v>9014.6111954259868</v>
      </c>
      <c r="AS23" s="90">
        <f>VLOOKUP($A23,平滑数据导入!$A$1:$AN$61,COLUMN(平滑数据导入!X$1),0)</f>
        <v>8927.7082453227849</v>
      </c>
      <c r="AT23" s="90">
        <f>VLOOKUP($A23,平滑数据导入!$A$1:$AN$61,COLUMN(平滑数据导入!Y$1),0)</f>
        <v>8828.5681395119082</v>
      </c>
      <c r="AU23" s="89">
        <f>VLOOKUP($A23,平滑数据导入!$A$1:$AN$61,COLUMN(平滑数据导入!Z$1),0)</f>
        <v>8718.4528562330197</v>
      </c>
      <c r="AV23" s="90">
        <f>VLOOKUP($A23,平滑数据导入!$A$1:$AN$61,COLUMN(平滑数据导入!AA$1),0)</f>
        <v>8598.6250402417099</v>
      </c>
      <c r="AW23" s="90">
        <f>VLOOKUP($A23,平滑数据导入!$A$1:$AN$61,COLUMN(平滑数据导入!AB$1),0)</f>
        <v>8470.3353968021529</v>
      </c>
      <c r="AX23" s="90">
        <f>VLOOKUP($A23,平滑数据导入!$A$1:$AN$61,COLUMN(平滑数据导入!AC$1),0)</f>
        <v>8334.8115178206499</v>
      </c>
      <c r="AY23" s="133">
        <f>VLOOKUP(A23,情景假设!$B$48:$S$88,17,0)/情景假设!R$47*AY$13</f>
        <v>8193.2481784709835</v>
      </c>
      <c r="AZ23" s="89">
        <f>VLOOKUP($A23,平滑数据导入!$A$1:$AN$61,COLUMN(平滑数据导入!AE$1),0)</f>
        <v>8046.7991091558388</v>
      </c>
      <c r="BA23" s="90">
        <f>VLOOKUP($A23,平滑数据导入!$A$1:$AN$61,COLUMN(平滑数据导入!AF$1),0)</f>
        <v>7896.5702184897991</v>
      </c>
      <c r="BB23" s="90">
        <f>VLOOKUP($A23,平滑数据导入!$A$1:$AN$61,COLUMN(平滑数据导入!AG$1),0)</f>
        <v>7743.6142183675274</v>
      </c>
      <c r="BC23" s="90">
        <f>VLOOKUP($A23,平滑数据导入!$A$1:$AN$61,COLUMN(平滑数据导入!AH$1),0)</f>
        <v>7588.9265821177059</v>
      </c>
      <c r="BD23" s="101">
        <f>VLOOKUP($A23,平滑数据导入!$A$1:$AN$61,COLUMN(平滑数据导入!AI$1),0)</f>
        <v>7433.4427511262247</v>
      </c>
      <c r="BE23" s="90">
        <f>VLOOKUP($A23,平滑数据导入!$A$1:$AN$61,COLUMN(平滑数据导入!AJ$1),0)</f>
        <v>7278.0364939088176</v>
      </c>
      <c r="BF23" s="90">
        <f>VLOOKUP($A23,平滑数据导入!$A$1:$AN$61,COLUMN(平滑数据导入!AK$1),0)</f>
        <v>7123.5193141177424</v>
      </c>
      <c r="BG23" s="90">
        <f>VLOOKUP($A23,平滑数据导入!$A$1:$AN$61,COLUMN(平滑数据导入!AL$1),0)</f>
        <v>6970.6407999995818</v>
      </c>
      <c r="BH23" s="90">
        <f>VLOOKUP($A23,平滑数据导入!$A$1:$AN$61,COLUMN(平滑数据导入!AM$1),0)</f>
        <v>6820.089806976639</v>
      </c>
      <c r="BI23" s="133">
        <f>VLOOKUP(A23,情景假设!$B$48:$S$88,18,0)/情景假设!S$47*BI$13</f>
        <v>6672.4963668735109</v>
      </c>
    </row>
    <row r="24" spans="1:61" x14ac:dyDescent="0.2">
      <c r="A24" s="30" t="s">
        <v>82</v>
      </c>
      <c r="B24" s="19"/>
      <c r="C24" s="20"/>
      <c r="D24" s="20"/>
      <c r="E24" s="20"/>
      <c r="F24" s="21"/>
      <c r="G24" s="19"/>
      <c r="H24" s="20"/>
      <c r="I24" s="20">
        <f>'增加值 (2001-2022, 当年价) '!I24*I$77</f>
        <v>5910.2529339903967</v>
      </c>
      <c r="J24" s="20">
        <f>'增加值 (2001-2022, 当年价) '!J24*J$77</f>
        <v>6061.9868434906066</v>
      </c>
      <c r="K24" s="21">
        <f>'增加值 (2001-2022, 当年价) '!K24*K$77</f>
        <v>6587.4237670059674</v>
      </c>
      <c r="L24" s="19">
        <f>'增加值 (2001-2022, 当年价) '!L24*L$77</f>
        <v>7127.2733201323808</v>
      </c>
      <c r="M24" s="20">
        <f>'增加值 (2001-2022, 当年价) '!M24*M$77</f>
        <v>7416.135483677398</v>
      </c>
      <c r="N24" s="20">
        <f>'增加值 (2001-2022, 当年价) '!N24*N$77</f>
        <v>7552.2827148565511</v>
      </c>
      <c r="O24" s="20">
        <f>'增加值 (2001-2022, 当年价) '!O24*O$77</f>
        <v>7834.3150298743867</v>
      </c>
      <c r="P24" s="20">
        <f>'增加值 (2001-2022, 当年价) '!P24*P$77</f>
        <v>7685.1772861720265</v>
      </c>
      <c r="Q24" s="19">
        <f>'增加值 (2001-2022, 当年价) '!Q24*Q$77</f>
        <v>6877.3623126955108</v>
      </c>
      <c r="R24" s="20">
        <f>'增加值 (2001-2022, 当年价) '!R24*R$77</f>
        <v>7204.9831937381059</v>
      </c>
      <c r="S24" s="20">
        <f>'增加值 (2001-2022, 当年价) '!S24*S$77</f>
        <v>7604.4308278526087</v>
      </c>
      <c r="T24" s="20">
        <f>'增加值 (2001-2022, 当年价) '!T24*T$77</f>
        <v>7713.2012358029078</v>
      </c>
      <c r="U24" s="21">
        <f>'增加值 (2001-2022, 当年价) '!U24*U$77</f>
        <v>7700.2442564631801</v>
      </c>
      <c r="V24" s="20">
        <f>'增加值 (2001-2022, 当年价) '!V24*V$77</f>
        <v>8298.0213959945031</v>
      </c>
      <c r="W24" s="20">
        <f>'增加值 (2001-2022, 当年价) '!W24*W$77</f>
        <v>9019.4531857153415</v>
      </c>
      <c r="X24" s="90">
        <f>VLOOKUP($A24,平滑数据导入!$A$1:$AN$61,COLUMN(平滑数据导入!C$1),0)</f>
        <v>9145.8834128196177</v>
      </c>
      <c r="Y24" s="90">
        <f>VLOOKUP($A24,平滑数据导入!$A$1:$AN$61,COLUMN(平滑数据导入!D$1),0)</f>
        <v>9278.0555285187238</v>
      </c>
      <c r="Z24" s="141">
        <f>VLOOKUP(A24,情景假设!$B$48:$S$88,14,0)/情景假设!O$47*Z$13</f>
        <v>9413.7519402266189</v>
      </c>
      <c r="AA24" s="89">
        <f>VLOOKUP($A24,平滑数据导入!$A$1:$AN$61,COLUMN(平滑数据导入!F$1),0)</f>
        <v>9550.6214333583721</v>
      </c>
      <c r="AB24" s="90">
        <f>VLOOKUP($A24,平滑数据导入!$A$1:$AN$61,COLUMN(平滑数据导入!G$1),0)</f>
        <v>9686.1732241262343</v>
      </c>
      <c r="AC24" s="90">
        <f>VLOOKUP($A24,平滑数据导入!$A$1:$AN$61,COLUMN(平滑数据导入!H$1),0)</f>
        <v>9817.7772401090133</v>
      </c>
      <c r="AD24" s="90">
        <f>VLOOKUP($A24,平滑数据导入!$A$1:$AN$61,COLUMN(平滑数据导入!I$1),0)</f>
        <v>9942.6712525688654</v>
      </c>
      <c r="AE24" s="133">
        <f>VLOOKUP(A24,情景假设!$B$48:$S$88,15,0)/情景假设!P$47*AE$13</f>
        <v>10057.975456165155</v>
      </c>
      <c r="AF24" s="90">
        <f>VLOOKUP($A24,平滑数据导入!$A$1:$AN$61,COLUMN(平滑数据导入!K$1),0)</f>
        <v>10160.86410994017</v>
      </c>
      <c r="AG24" s="90">
        <f>VLOOKUP($A24,平滑数据导入!$A$1:$AN$61,COLUMN(平滑数据导入!L$1),0)</f>
        <v>10249.054002346091</v>
      </c>
      <c r="AH24" s="90">
        <f>VLOOKUP($A24,平滑数据导入!$A$1:$AN$61,COLUMN(平滑数据导入!M$1),0)</f>
        <v>10320.40749359827</v>
      </c>
      <c r="AI24" s="90">
        <f>VLOOKUP($A24,平滑数据导入!$A$1:$AN$61,COLUMN(平滑数据导入!N$1),0)</f>
        <v>10372.816483090741</v>
      </c>
      <c r="AJ24" s="141">
        <f>VLOOKUP(A24,情景假设!$B$48:$S$88,16,0)/情景假设!Q$47*AJ$13</f>
        <v>10404.235826720771</v>
      </c>
      <c r="AK24" s="89">
        <f>VLOOKUP($A24,平滑数据导入!$A$1:$AN$61,COLUMN(平滑数据导入!P$1),0)</f>
        <v>10413.174450021001</v>
      </c>
      <c r="AL24" s="90">
        <f>VLOOKUP($A24,平滑数据导入!$A$1:$AN$61,COLUMN(平滑数据导入!Q$1),0)</f>
        <v>10400.0930117361</v>
      </c>
      <c r="AM24" s="90">
        <f>VLOOKUP($A24,平滑数据导入!$A$1:$AN$61,COLUMN(平滑数据导入!R$1),0)</f>
        <v>10366.043920047019</v>
      </c>
      <c r="AN24" s="90">
        <f>VLOOKUP($A24,平滑数据导入!$A$1:$AN$61,COLUMN(平滑数据导入!S$1),0)</f>
        <v>10312.197617313641</v>
      </c>
      <c r="AO24" s="101">
        <f>VLOOKUP($A24,平滑数据导入!$A$1:$AN$61,COLUMN(平滑数据导入!T$1),0)</f>
        <v>10239.82159004315</v>
      </c>
      <c r="AP24" s="90">
        <f>VLOOKUP($A24,平滑数据导入!$A$1:$AN$61,COLUMN(平滑数据导入!U$1),0)</f>
        <v>10150.259666132881</v>
      </c>
      <c r="AQ24" s="90">
        <f>VLOOKUP($A24,平滑数据导入!$A$1:$AN$61,COLUMN(平滑数据导入!V$1),0)</f>
        <v>10044.91195179354</v>
      </c>
      <c r="AR24" s="90">
        <f>VLOOKUP($A24,平滑数据导入!$A$1:$AN$61,COLUMN(平滑数据导入!W$1),0)</f>
        <v>9925.2157105631813</v>
      </c>
      <c r="AS24" s="90">
        <f>VLOOKUP($A24,平滑数据导入!$A$1:$AN$61,COLUMN(平滑数据导入!X$1),0)</f>
        <v>9792.6274349043942</v>
      </c>
      <c r="AT24" s="90">
        <f>VLOOKUP($A24,平滑数据导入!$A$1:$AN$61,COLUMN(平滑数据导入!Y$1),0)</f>
        <v>9648.6063087874463</v>
      </c>
      <c r="AU24" s="89">
        <f>VLOOKUP($A24,平滑数据导入!$A$1:$AN$61,COLUMN(平滑数据导入!Z$1),0)</f>
        <v>9494.5992089154151</v>
      </c>
      <c r="AV24" s="90">
        <f>VLOOKUP($A24,平滑数据导入!$A$1:$AN$61,COLUMN(平滑数据导入!AA$1),0)</f>
        <v>9332.0273441162153</v>
      </c>
      <c r="AW24" s="90">
        <f>VLOOKUP($A24,平滑数据导入!$A$1:$AN$61,COLUMN(平滑数据导入!AB$1),0)</f>
        <v>9162.2745879177546</v>
      </c>
      <c r="AX24" s="90">
        <f>VLOOKUP($A24,平滑数据导入!$A$1:$AN$61,COLUMN(平滑数据导入!AC$1),0)</f>
        <v>8986.6775191884517</v>
      </c>
      <c r="AY24" s="133">
        <f>VLOOKUP(A24,情景假设!$B$48:$S$88,17,0)/情景假设!R$47*AY$13</f>
        <v>8806.5171504755817</v>
      </c>
      <c r="AZ24" s="89">
        <f>VLOOKUP($A24,平滑数据导入!$A$1:$AN$61,COLUMN(平滑数据导入!AE$1),0)</f>
        <v>8623.0122935924319</v>
      </c>
      <c r="BA24" s="90">
        <f>VLOOKUP($A24,平滑数据导入!$A$1:$AN$61,COLUMN(平滑数据导入!AF$1),0)</f>
        <v>8437.3144871761451</v>
      </c>
      <c r="BB24" s="90">
        <f>VLOOKUP($A24,平滑数据导入!$A$1:$AN$61,COLUMN(平滑数据导入!AG$1),0)</f>
        <v>8250.50439127973</v>
      </c>
      <c r="BC24" s="90">
        <f>VLOOKUP($A24,平滑数据导入!$A$1:$AN$61,COLUMN(平滑数据导入!AH$1),0)</f>
        <v>8063.5895393476221</v>
      </c>
      <c r="BD24" s="101">
        <f>VLOOKUP($A24,平滑数据导入!$A$1:$AN$61,COLUMN(平滑数据导入!AI$1),0)</f>
        <v>7877.5033278239243</v>
      </c>
      <c r="BE24" s="90">
        <f>VLOOKUP($A24,平滑数据导入!$A$1:$AN$61,COLUMN(平滑数据导入!AJ$1),0)</f>
        <v>7693.1051177426134</v>
      </c>
      <c r="BF24" s="90">
        <f>VLOOKUP($A24,平滑数据导入!$A$1:$AN$61,COLUMN(平滑数据导入!AK$1),0)</f>
        <v>7511.1813204849777</v>
      </c>
      <c r="BG24" s="90">
        <f>VLOOKUP($A24,平滑数据导入!$A$1:$AN$61,COLUMN(平滑数据导入!AL$1),0)</f>
        <v>7332.4473409698094</v>
      </c>
      <c r="BH24" s="90">
        <f>VLOOKUP($A24,平滑数据导入!$A$1:$AN$61,COLUMN(平滑数据导入!AM$1),0)</f>
        <v>7157.5502553649112</v>
      </c>
      <c r="BI24" s="133">
        <f>VLOOKUP(A24,情景假设!$B$48:$S$88,18,0)/情景假设!S$47*BI$13</f>
        <v>6987.0721064886457</v>
      </c>
    </row>
    <row r="25" spans="1:61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f>'增加值 (2001-2022, 当年价) '!I25*I$77</f>
        <v>5647.7680515797283</v>
      </c>
      <c r="J25" s="20">
        <f>'增加值 (2001-2022, 当年价) '!J25*J$77</f>
        <v>5808.8244530877719</v>
      </c>
      <c r="K25" s="21">
        <f>'增加值 (2001-2022, 当年价) '!K25*K$77</f>
        <v>6295.3948284344315</v>
      </c>
      <c r="L25" s="19">
        <f>'增加值 (2001-2022, 当年价) '!L25*L$77</f>
        <v>6551.1998829030117</v>
      </c>
      <c r="M25" s="20">
        <f>'增加值 (2001-2022, 当年价) '!M25*M$77</f>
        <v>6997.5786247679334</v>
      </c>
      <c r="N25" s="20">
        <f>'增加值 (2001-2022, 当年价) '!N25*N$77</f>
        <v>7225.7532936361977</v>
      </c>
      <c r="O25" s="20">
        <f>'增加值 (2001-2022, 当年价) '!O25*O$77</f>
        <v>7391.6786908238228</v>
      </c>
      <c r="P25" s="20">
        <f>'增加值 (2001-2022, 当年价) '!P25*P$77</f>
        <v>7503.4186514554003</v>
      </c>
      <c r="Q25" s="19">
        <f>'增加值 (2001-2022, 当年价) '!Q25*Q$77</f>
        <v>7725.2103975749078</v>
      </c>
      <c r="R25" s="20">
        <f>'增加值 (2001-2022, 当年价) '!R25*R$77</f>
        <v>8132.3183921548325</v>
      </c>
      <c r="S25" s="20">
        <f>'增加值 (2001-2022, 当年价) '!S25*S$77</f>
        <v>8178.3110397253649</v>
      </c>
      <c r="T25" s="20">
        <f>'增加值 (2001-2022, 当年价) '!T25*T$77</f>
        <v>7987.7649672471616</v>
      </c>
      <c r="U25" s="21">
        <f>'增加值 (2001-2022, 当年价) '!U25*U$77</f>
        <v>7781.1697585795664</v>
      </c>
      <c r="V25" s="20">
        <f>'增加值 (2001-2022, 当年价) '!V25*V$77</f>
        <v>8215.0941346473574</v>
      </c>
      <c r="W25" s="20">
        <f>'增加值 (2001-2022, 当年价) '!W25*W$77</f>
        <v>8119.836142530613</v>
      </c>
      <c r="X25" s="90">
        <f>VLOOKUP($A25,平滑数据导入!$A$1:$AN$61,COLUMN(平滑数据导入!C$1),0)</f>
        <v>7998.2610304436976</v>
      </c>
      <c r="Y25" s="90">
        <f>VLOOKUP($A25,平滑数据导入!$A$1:$AN$61,COLUMN(平滑数据导入!D$1),0)</f>
        <v>7899.2928732576574</v>
      </c>
      <c r="Z25" s="141">
        <f>VLOOKUP(A25,情景假设!$B$48:$S$88,14,0)/情景假设!O$47*Z$13</f>
        <v>7818.426273969977</v>
      </c>
      <c r="AA25" s="89">
        <f>VLOOKUP($A25,平滑数据导入!$A$1:$AN$61,COLUMN(平滑数据导入!F$1),0)</f>
        <v>7751.4529305346186</v>
      </c>
      <c r="AB25" s="90">
        <f>VLOOKUP($A25,平滑数据导入!$A$1:$AN$61,COLUMN(平滑数据导入!G$1),0)</f>
        <v>7694.3807949262164</v>
      </c>
      <c r="AC25" s="90">
        <f>VLOOKUP($A25,平滑数据导入!$A$1:$AN$61,COLUMN(平滑数据导入!H$1),0)</f>
        <v>7643.3752673262843</v>
      </c>
      <c r="AD25" s="90">
        <f>VLOOKUP($A25,平滑数据导入!$A$1:$AN$61,COLUMN(平滑数据导入!I$1),0)</f>
        <v>7594.7203647612096</v>
      </c>
      <c r="AE25" s="133">
        <f>VLOOKUP(A25,情景假设!$B$48:$S$88,15,0)/情景假设!P$47*AE$13</f>
        <v>7544.798477576539</v>
      </c>
      <c r="AF25" s="90">
        <f>VLOOKUP($A25,平滑数据导入!$A$1:$AN$61,COLUMN(平滑数据导入!K$1),0)</f>
        <v>7490.4053576213082</v>
      </c>
      <c r="AG25" s="90">
        <f>VLOOKUP($A25,平滑数据导入!$A$1:$AN$61,COLUMN(平滑数据导入!L$1),0)</f>
        <v>7429.6961675340744</v>
      </c>
      <c r="AH25" s="90">
        <f>VLOOKUP($A25,平滑数据导入!$A$1:$AN$61,COLUMN(平滑数据导入!M$1),0)</f>
        <v>7361.2148774993757</v>
      </c>
      <c r="AI25" s="90">
        <f>VLOOKUP($A25,平滑数据导入!$A$1:$AN$61,COLUMN(平滑数据导入!N$1),0)</f>
        <v>7283.5867458851226</v>
      </c>
      <c r="AJ25" s="141">
        <f>VLOOKUP(A25,情景假设!$B$48:$S$88,16,0)/情景假设!Q$47*AJ$13</f>
        <v>7195.5353546844472</v>
      </c>
      <c r="AK25" s="89">
        <f>VLOOKUP($A25,平滑数据导入!$A$1:$AN$61,COLUMN(平滑数据导入!P$1),0)</f>
        <v>7096.2604841127568</v>
      </c>
      <c r="AL25" s="90">
        <f>VLOOKUP($A25,平滑数据导入!$A$1:$AN$61,COLUMN(平滑数据导入!Q$1),0)</f>
        <v>6986.4901670474574</v>
      </c>
      <c r="AM25" s="90">
        <f>VLOOKUP($A25,平滑数据导入!$A$1:$AN$61,COLUMN(平滑数据导入!R$1),0)</f>
        <v>6867.3316583565438</v>
      </c>
      <c r="AN25" s="90">
        <f>VLOOKUP($A25,平滑数据导入!$A$1:$AN$61,COLUMN(平滑数据导入!S$1),0)</f>
        <v>6739.8907963498168</v>
      </c>
      <c r="AO25" s="101">
        <f>VLOOKUP($A25,平滑数据导入!$A$1:$AN$61,COLUMN(平滑数据导入!T$1),0)</f>
        <v>6605.2607449447996</v>
      </c>
      <c r="AP25" s="90">
        <f>VLOOKUP($A25,平滑数据导入!$A$1:$AN$61,COLUMN(平滑数据导入!U$1),0)</f>
        <v>6464.5119418325075</v>
      </c>
      <c r="AQ25" s="90">
        <f>VLOOKUP($A25,平滑数据导入!$A$1:$AN$61,COLUMN(平滑数据导入!V$1),0)</f>
        <v>6318.6832973471101</v>
      </c>
      <c r="AR25" s="90">
        <f>VLOOKUP($A25,平滑数据导入!$A$1:$AN$61,COLUMN(平滑数据导入!W$1),0)</f>
        <v>6168.7746589878689</v>
      </c>
      <c r="AS25" s="90">
        <f>VLOOKUP($A25,平滑数据导入!$A$1:$AN$61,COLUMN(平滑数据导入!X$1),0)</f>
        <v>6015.7405301170384</v>
      </c>
      <c r="AT25" s="90">
        <f>VLOOKUP($A25,平滑数据导入!$A$1:$AN$61,COLUMN(平滑数据导入!Y$1),0)</f>
        <v>5860.4850085210728</v>
      </c>
      <c r="AU25" s="89">
        <f>VLOOKUP($A25,平滑数据导入!$A$1:$AN$61,COLUMN(平滑数据导入!Z$1),0)</f>
        <v>5703.8578913904821</v>
      </c>
      <c r="AV25" s="90">
        <f>VLOOKUP($A25,平滑数据导入!$A$1:$AN$61,COLUMN(平滑数据导入!AA$1),0)</f>
        <v>5546.651877833594</v>
      </c>
      <c r="AW25" s="90">
        <f>VLOOKUP($A25,平滑数据导入!$A$1:$AN$61,COLUMN(平滑数据导入!AB$1),0)</f>
        <v>5389.6007881749483</v>
      </c>
      <c r="AX25" s="90">
        <f>VLOOKUP($A25,平滑数据导入!$A$1:$AN$61,COLUMN(平滑数据导入!AC$1),0)</f>
        <v>5233.3787107965682</v>
      </c>
      <c r="AY25" s="133">
        <f>VLOOKUP(A25,情景假设!$B$48:$S$88,17,0)/情景假设!R$47*AY$13</f>
        <v>5078.5999818924529</v>
      </c>
      <c r="AZ25" s="89">
        <f>VLOOKUP($A25,平滑数据导入!$A$1:$AN$61,COLUMN(平滑数据导入!AE$1),0)</f>
        <v>4925.8199009081027</v>
      </c>
      <c r="BA25" s="90">
        <f>VLOOKUP($A25,平滑数据导入!$A$1:$AN$61,COLUMN(平滑数据导入!AF$1),0)</f>
        <v>4775.536084284623</v>
      </c>
      <c r="BB25" s="90">
        <f>VLOOKUP($A25,平滑数据导入!$A$1:$AN$61,COLUMN(平滑数据导入!AG$1),0)</f>
        <v>4628.1903620638268</v>
      </c>
      <c r="BC25" s="90">
        <f>VLOOKUP($A25,平滑数据导入!$A$1:$AN$61,COLUMN(平滑数据导入!AH$1),0)</f>
        <v>4484.171125581157</v>
      </c>
      <c r="BD25" s="101">
        <f>VLOOKUP($A25,平滑数据导入!$A$1:$AN$61,COLUMN(平滑数据导入!AI$1),0)</f>
        <v>4343.816039529318</v>
      </c>
      <c r="BE25" s="90">
        <f>VLOOKUP($A25,平滑数据导入!$A$1:$AN$61,COLUMN(平滑数据导入!AJ$1),0)</f>
        <v>4207.4150377945243</v>
      </c>
      <c r="BF25" s="90">
        <f>VLOOKUP($A25,平滑数据导入!$A$1:$AN$61,COLUMN(平滑数据导入!AK$1),0)</f>
        <v>4075.2135293465399</v>
      </c>
      <c r="BG25" s="90">
        <f>VLOOKUP($A25,平滑数据导入!$A$1:$AN$61,COLUMN(平滑数据导入!AL$1),0)</f>
        <v>3947.4157478363632</v>
      </c>
      <c r="BH25" s="90">
        <f>VLOOKUP($A25,平滑数据导入!$A$1:$AN$61,COLUMN(平滑数据导入!AM$1),0)</f>
        <v>3824.1881861857319</v>
      </c>
      <c r="BI25" s="133">
        <f>VLOOKUP(A25,情景假设!$B$48:$S$88,18,0)/情景假设!S$47*BI$13</f>
        <v>3705.6630651396245</v>
      </c>
    </row>
    <row r="26" spans="1:61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f>'增加值 (2001-2022, 当年价) '!I26*I$77</f>
        <v>3460.8916760455404</v>
      </c>
      <c r="J26" s="20">
        <f>'增加值 (2001-2022, 当年价) '!J26*J$77</f>
        <v>3605.515444217865</v>
      </c>
      <c r="K26" s="21">
        <f>'增加值 (2001-2022, 当年价) '!K26*K$77</f>
        <v>4026.5743894484108</v>
      </c>
      <c r="L26" s="19">
        <f>'增加值 (2001-2022, 当年价) '!L26*L$77</f>
        <v>4472.6300956934492</v>
      </c>
      <c r="M26" s="20">
        <f>'增加值 (2001-2022, 当年价) '!M26*M$77</f>
        <v>4564.4856573758252</v>
      </c>
      <c r="N26" s="20">
        <f>'增加值 (2001-2022, 当年价) '!N26*N$77</f>
        <v>4648.2816027676581</v>
      </c>
      <c r="O26" s="20">
        <f>'增加值 (2001-2022, 当年价) '!O26*O$77</f>
        <v>4777.3025609458309</v>
      </c>
      <c r="P26" s="20">
        <f>'增加值 (2001-2022, 当年价) '!P26*P$77</f>
        <v>4731.6821855644102</v>
      </c>
      <c r="Q26" s="19">
        <f>'增加值 (2001-2022, 当年价) '!Q26*Q$77</f>
        <v>4793.0460137299378</v>
      </c>
      <c r="R26" s="20">
        <f>'增加值 (2001-2022, 当年价) '!R26*R$77</f>
        <v>5132.9612289534653</v>
      </c>
      <c r="S26" s="20">
        <f>'增加值 (2001-2022, 当年价) '!S26*S$77</f>
        <v>5335.7608842140544</v>
      </c>
      <c r="T26" s="20">
        <f>'增加值 (2001-2022, 当年价) '!T26*T$77</f>
        <v>5190.8649943427326</v>
      </c>
      <c r="U26" s="21">
        <f>'增加值 (2001-2022, 当年价) '!U26*U$77</f>
        <v>4569.5272137342927</v>
      </c>
      <c r="V26" s="20">
        <f>'增加值 (2001-2022, 当年价) '!V26*V$77</f>
        <v>5162.1510144134963</v>
      </c>
      <c r="W26" s="20">
        <f>'增加值 (2001-2022, 当年价) '!W26*W$77</f>
        <v>5144.2443998897388</v>
      </c>
      <c r="X26" s="90">
        <f>VLOOKUP($A26,平滑数据导入!$A$1:$AN$61,COLUMN(平滑数据导入!C$1),0)</f>
        <v>5080.3696367662769</v>
      </c>
      <c r="Y26" s="90">
        <f>VLOOKUP($A26,平滑数据导入!$A$1:$AN$61,COLUMN(平滑数据导入!D$1),0)</f>
        <v>5028.2458611526235</v>
      </c>
      <c r="Z26" s="141">
        <f>VLOOKUP(A26,情景假设!$B$48:$S$88,14,0)/情景假设!O$47*Z$13</f>
        <v>4985.5065053375238</v>
      </c>
      <c r="AA26" s="89">
        <f>VLOOKUP($A26,平滑数据导入!$A$1:$AN$61,COLUMN(平滑数据导入!F$1),0)</f>
        <v>4949.9153719238248</v>
      </c>
      <c r="AB26" s="90">
        <f>VLOOKUP($A26,平滑数据导入!$A$1:$AN$61,COLUMN(平滑数据导入!G$1),0)</f>
        <v>4919.3313865700811</v>
      </c>
      <c r="AC26" s="90">
        <f>VLOOKUP($A26,平滑数据导入!$A$1:$AN$61,COLUMN(平滑数据导入!H$1),0)</f>
        <v>4891.68314855064</v>
      </c>
      <c r="AD26" s="90">
        <f>VLOOKUP($A26,平滑数据导入!$A$1:$AN$61,COLUMN(平滑数据导入!I$1),0)</f>
        <v>4864.9525175163699</v>
      </c>
      <c r="AE26" s="133">
        <f>VLOOKUP(A26,情景假设!$B$48:$S$88,15,0)/情景假设!P$47*AE$13</f>
        <v>4837.1667197474317</v>
      </c>
      <c r="AF26" s="90">
        <f>VLOOKUP($A26,平滑数据导入!$A$1:$AN$61,COLUMN(平滑数据导入!K$1),0)</f>
        <v>4806.5392828522718</v>
      </c>
      <c r="AG26" s="90">
        <f>VLOOKUP($A26,平滑数据导入!$A$1:$AN$61,COLUMN(平滑数据导入!L$1),0)</f>
        <v>4771.8919245642719</v>
      </c>
      <c r="AH26" s="90">
        <f>VLOOKUP($A26,平滑数据导入!$A$1:$AN$61,COLUMN(平滑数据导入!M$1),0)</f>
        <v>4732.2289782692287</v>
      </c>
      <c r="AI26" s="90">
        <f>VLOOKUP($A26,平滑数据导入!$A$1:$AN$61,COLUMN(平滑数据导入!N$1),0)</f>
        <v>4686.6048359216702</v>
      </c>
      <c r="AJ26" s="141">
        <f>VLOOKUP(A26,情景假设!$B$48:$S$88,16,0)/情景假设!Q$47*AJ$13</f>
        <v>4634.135641642154</v>
      </c>
      <c r="AK26" s="89">
        <f>VLOOKUP($A26,平滑数据导入!$A$1:$AN$61,COLUMN(平滑数据导入!P$1),0)</f>
        <v>4574.2507684238262</v>
      </c>
      <c r="AL26" s="90">
        <f>VLOOKUP($A26,平滑数据导入!$A$1:$AN$61,COLUMN(平滑数据导入!Q$1),0)</f>
        <v>4507.3937371464308</v>
      </c>
      <c r="AM26" s="90">
        <f>VLOOKUP($A26,平滑数据导入!$A$1:$AN$61,COLUMN(平滑数据导入!R$1),0)</f>
        <v>4434.2626859721968</v>
      </c>
      <c r="AN26" s="90">
        <f>VLOOKUP($A26,平滑数据导入!$A$1:$AN$61,COLUMN(平滑数据导入!S$1),0)</f>
        <v>4355.5582323774852</v>
      </c>
      <c r="AO26" s="101">
        <f>VLOOKUP($A26,平滑数据导入!$A$1:$AN$61,COLUMN(平滑数据导入!T$1),0)</f>
        <v>4271.976086130423</v>
      </c>
      <c r="AP26" s="90">
        <f>VLOOKUP($A26,平滑数据导入!$A$1:$AN$61,COLUMN(平滑数据导入!U$1),0)</f>
        <v>4184.2003983339691</v>
      </c>
      <c r="AQ26" s="90">
        <f>VLOOKUP($A26,平滑数据导入!$A$1:$AN$61,COLUMN(平滑数据导入!V$1),0)</f>
        <v>4092.8978831347822</v>
      </c>
      <c r="AR26" s="90">
        <f>VLOOKUP($A26,平滑数据导入!$A$1:$AN$61,COLUMN(平滑数据导入!W$1),0)</f>
        <v>3998.7127293730982</v>
      </c>
      <c r="AS26" s="90">
        <f>VLOOKUP($A26,平滑数据导入!$A$1:$AN$61,COLUMN(平滑数据导入!X$1),0)</f>
        <v>3902.262302087101</v>
      </c>
      <c r="AT26" s="90">
        <f>VLOOKUP($A26,平滑数据导入!$A$1:$AN$61,COLUMN(平滑数据导入!Y$1),0)</f>
        <v>3804.1336185879859</v>
      </c>
      <c r="AU26" s="89">
        <f>VLOOKUP($A26,平滑数据导入!$A$1:$AN$61,COLUMN(平滑数据导入!Z$1),0)</f>
        <v>3704.8805708978061</v>
      </c>
      <c r="AV26" s="90">
        <f>VLOOKUP($A26,平滑数据导入!$A$1:$AN$61,COLUMN(平滑数据导入!AA$1),0)</f>
        <v>3605.0218557177291</v>
      </c>
      <c r="AW26" s="90">
        <f>VLOOKUP($A26,平滑数据导入!$A$1:$AN$61,COLUMN(平滑数据导入!AB$1),0)</f>
        <v>3505.0395647238552</v>
      </c>
      <c r="AX26" s="90">
        <f>VLOOKUP($A26,平滑数据导入!$A$1:$AN$61,COLUMN(平滑数据导入!AC$1),0)</f>
        <v>3405.3783817696899</v>
      </c>
      <c r="AY26" s="133">
        <f>VLOOKUP(A26,情景假设!$B$48:$S$88,17,0)/情景假设!R$47*AY$13</f>
        <v>3306.4453293591023</v>
      </c>
      <c r="AZ26" s="89">
        <f>VLOOKUP($A26,平滑数据导入!$A$1:$AN$61,COLUMN(平滑数据导入!AE$1),0)</f>
        <v>3208.6100043585411</v>
      </c>
      <c r="BA26" s="90">
        <f>VLOOKUP($A26,平滑数据导入!$A$1:$AN$61,COLUMN(平滑数据导入!AF$1),0)</f>
        <v>3112.205242138396</v>
      </c>
      <c r="BB26" s="90">
        <f>VLOOKUP($A26,平滑数据导入!$A$1:$AN$61,COLUMN(平滑数据导入!AG$1),0)</f>
        <v>3017.5281489519289</v>
      </c>
      <c r="BC26" s="90">
        <f>VLOOKUP($A26,平滑数据导入!$A$1:$AN$61,COLUMN(平滑数据导入!AH$1),0)</f>
        <v>2924.841444156144</v>
      </c>
      <c r="BD26" s="101">
        <f>VLOOKUP($A26,平滑数据导入!$A$1:$AN$61,COLUMN(平滑数据导入!AI$1),0)</f>
        <v>2834.375056634457</v>
      </c>
      <c r="BE26" s="90">
        <f>VLOOKUP($A26,平滑数据导入!$A$1:$AN$61,COLUMN(平滑数据导入!AJ$1),0)</f>
        <v>2746.3279232889272</v>
      </c>
      <c r="BF26" s="90">
        <f>VLOOKUP($A26,平滑数据导入!$A$1:$AN$61,COLUMN(平滑数据导入!AK$1),0)</f>
        <v>2660.869941537072</v>
      </c>
      <c r="BG26" s="90">
        <f>VLOOKUP($A26,平滑数据导入!$A$1:$AN$61,COLUMN(平滑数据导入!AL$1),0)</f>
        <v>2578.144032199426</v>
      </c>
      <c r="BH26" s="90">
        <f>VLOOKUP($A26,平滑数据导入!$A$1:$AN$61,COLUMN(平滑数据导入!AM$1),0)</f>
        <v>2498.2682738442081</v>
      </c>
      <c r="BI26" s="133">
        <f>VLOOKUP(A26,情景假设!$B$48:$S$88,18,0)/情景假设!S$47*BI$13</f>
        <v>2421.3380744300439</v>
      </c>
    </row>
    <row r="27" spans="1:61" ht="13.9" customHeight="1" x14ac:dyDescent="0.2">
      <c r="A27" s="30" t="s">
        <v>85</v>
      </c>
      <c r="B27" s="19"/>
      <c r="C27" s="20"/>
      <c r="D27" s="20"/>
      <c r="E27" s="20"/>
      <c r="F27" s="21"/>
      <c r="G27" s="19"/>
      <c r="H27" s="20"/>
      <c r="I27" s="20">
        <f>'增加值 (2001-2022, 当年价) '!I27*I$77</f>
        <v>2304.2752500353404</v>
      </c>
      <c r="J27" s="20">
        <f>'增加值 (2001-2022, 当年价) '!J27*J$77</f>
        <v>2387.4604094503197</v>
      </c>
      <c r="K27" s="21">
        <f>'增加值 (2001-2022, 当年价) '!K27*K$77</f>
        <v>2701.0500413627724</v>
      </c>
      <c r="L27" s="19">
        <f>'增加值 (2001-2022, 当年价) '!L27*L$77</f>
        <v>2935.3821972842488</v>
      </c>
      <c r="M27" s="20">
        <f>'增加值 (2001-2022, 当年价) '!M27*M$77</f>
        <v>3009.6392280388595</v>
      </c>
      <c r="N27" s="20">
        <f>'增加值 (2001-2022, 当年价) '!N27*N$77</f>
        <v>3090.6222823019139</v>
      </c>
      <c r="O27" s="20">
        <f>'增加值 (2001-2022, 当年价) '!O27*O$77</f>
        <v>3146.7770885639497</v>
      </c>
      <c r="P27" s="20">
        <f>'增加值 (2001-2022, 当年价) '!P27*P$77</f>
        <v>3131.6541085798658</v>
      </c>
      <c r="Q27" s="19">
        <f>'增加值 (2001-2022, 当年价) '!Q27*Q$77</f>
        <v>3160.0430937785932</v>
      </c>
      <c r="R27" s="20">
        <f>'增加值 (2001-2022, 当年价) '!R27*R$77</f>
        <v>3345.7647990286678</v>
      </c>
      <c r="S27" s="20">
        <f>'增加值 (2001-2022, 当年价) '!S27*S$77</f>
        <v>3487.9477112441045</v>
      </c>
      <c r="T27" s="20">
        <f>'增加值 (2001-2022, 当年价) '!T27*T$77</f>
        <v>3433.5858958672138</v>
      </c>
      <c r="U27" s="21">
        <f>'增加值 (2001-2022, 当年价) '!U27*U$77</f>
        <v>2932.9101730437146</v>
      </c>
      <c r="V27" s="20">
        <f>'增加值 (2001-2022, 当年价) '!V27*V$77</f>
        <v>3316.3341738898448</v>
      </c>
      <c r="W27" s="20">
        <f>'增加值 (2001-2022, 当年价) '!W27*W$77</f>
        <v>3355.3629553285882</v>
      </c>
      <c r="X27" s="90">
        <f>VLOOKUP($A27,平滑数据导入!$A$1:$AN$61,COLUMN(平滑数据导入!C$1),0)</f>
        <v>3311.1935264412541</v>
      </c>
      <c r="Y27" s="90">
        <f>VLOOKUP($A27,平滑数据导入!$A$1:$AN$61,COLUMN(平滑数据导入!D$1),0)</f>
        <v>3277.2576475308801</v>
      </c>
      <c r="Z27" s="141">
        <f>VLOOKUP(A27,情景假设!$B$48:$S$88,14,0)/情景假设!O$47*Z$13</f>
        <v>3251.4674996645931</v>
      </c>
      <c r="AA27" s="89">
        <f>VLOOKUP($A27,平滑数据导入!$A$1:$AN$61,COLUMN(平滑数据导入!F$1),0)</f>
        <v>3231.8627412765841</v>
      </c>
      <c r="AB27" s="90">
        <f>VLOOKUP($A27,平滑数据导入!$A$1:$AN$61,COLUMN(平滑数据导入!G$1),0)</f>
        <v>3216.5692450174338</v>
      </c>
      <c r="AC27" s="90">
        <f>VLOOKUP($A27,平滑数据导入!$A$1:$AN$61,COLUMN(平滑数据导入!H$1),0)</f>
        <v>3203.769463120731</v>
      </c>
      <c r="AD27" s="90">
        <f>VLOOKUP($A27,平滑数据导入!$A$1:$AN$61,COLUMN(平滑数据导入!I$1),0)</f>
        <v>3191.6834616210631</v>
      </c>
      <c r="AE27" s="133">
        <f>VLOOKUP(A27,情景假设!$B$48:$S$88,15,0)/情景假设!P$47*AE$13</f>
        <v>3178.5600477123962</v>
      </c>
      <c r="AF27" s="90">
        <f>VLOOKUP($A27,平滑数据导入!$A$1:$AN$61,COLUMN(平滑数据导入!K$1),0)</f>
        <v>3162.866265428564</v>
      </c>
      <c r="AG27" s="90">
        <f>VLOOKUP($A27,平滑数据导入!$A$1:$AN$61,COLUMN(平滑数据导入!L$1),0)</f>
        <v>3143.854213071867</v>
      </c>
      <c r="AH27" s="90">
        <f>VLOOKUP($A27,平滑数据导入!$A$1:$AN$61,COLUMN(平滑数据导入!M$1),0)</f>
        <v>3120.990093137279</v>
      </c>
      <c r="AI27" s="90">
        <f>VLOOKUP($A27,平滑数据导入!$A$1:$AN$61,COLUMN(平滑数据导入!N$1),0)</f>
        <v>3093.7702891772401</v>
      </c>
      <c r="AJ27" s="141">
        <f>VLOOKUP(A27,情景假设!$B$48:$S$88,16,0)/情景假设!Q$47*AJ$13</f>
        <v>3061.7285420178641</v>
      </c>
      <c r="AK27" s="89">
        <f>VLOOKUP($A27,平滑数据导入!$A$1:$AN$61,COLUMN(平滑数据导入!P$1),0)</f>
        <v>3024.5837431203531</v>
      </c>
      <c r="AL27" s="90">
        <f>VLOOKUP($A27,平滑数据导入!$A$1:$AN$61,COLUMN(平滑数据导入!Q$1),0)</f>
        <v>2982.6524715970809</v>
      </c>
      <c r="AM27" s="90">
        <f>VLOOKUP($A27,平滑数据导入!$A$1:$AN$61,COLUMN(平滑数据导入!R$1),0)</f>
        <v>2936.4033307035888</v>
      </c>
      <c r="AN27" s="90">
        <f>VLOOKUP($A27,平滑数据导入!$A$1:$AN$61,COLUMN(平滑数据导入!S$1),0)</f>
        <v>2886.308049231337</v>
      </c>
      <c r="AO27" s="101">
        <f>VLOOKUP($A27,平滑数据导入!$A$1:$AN$61,COLUMN(平滑数据导入!T$1),0)</f>
        <v>2832.8362795252292</v>
      </c>
      <c r="AP27" s="90">
        <f>VLOOKUP($A27,平滑数据导入!$A$1:$AN$61,COLUMN(平滑数据导入!U$1),0)</f>
        <v>2776.4509021551962</v>
      </c>
      <c r="AQ27" s="90">
        <f>VLOOKUP($A27,平滑数据导入!$A$1:$AN$61,COLUMN(平滑数据导入!V$1),0)</f>
        <v>2717.6038658630268</v>
      </c>
      <c r="AR27" s="90">
        <f>VLOOKUP($A27,平滑数据导入!$A$1:$AN$61,COLUMN(平滑数据导入!W$1),0)</f>
        <v>2656.7325773480852</v>
      </c>
      <c r="AS27" s="90">
        <f>VLOOKUP($A27,平滑数据导入!$A$1:$AN$61,COLUMN(平滑数据导入!X$1),0)</f>
        <v>2594.256842794372</v>
      </c>
      <c r="AT27" s="90">
        <f>VLOOKUP($A27,平滑数据导入!$A$1:$AN$61,COLUMN(平滑数据导入!Y$1),0)</f>
        <v>2530.5763519355392</v>
      </c>
      <c r="AU27" s="89">
        <f>VLOOKUP($A27,平滑数据导入!$A$1:$AN$61,COLUMN(平滑数据导入!Z$1),0)</f>
        <v>2466.0686859908769</v>
      </c>
      <c r="AV27" s="90">
        <f>VLOOKUP($A27,平滑数据导入!$A$1:$AN$61,COLUMN(平滑数据导入!AA$1),0)</f>
        <v>2401.087823010253</v>
      </c>
      <c r="AW27" s="90">
        <f>VLOOKUP($A27,平滑数据导入!$A$1:$AN$61,COLUMN(平滑数据导入!AB$1),0)</f>
        <v>2335.9631080108288</v>
      </c>
      <c r="AX27" s="90">
        <f>VLOOKUP($A27,平滑数据导入!$A$1:$AN$61,COLUMN(平滑数据导入!AC$1),0)</f>
        <v>2270.9986507014851</v>
      </c>
      <c r="AY27" s="133">
        <f>VLOOKUP(A27,情景假设!$B$48:$S$88,17,0)/情景假设!R$47*AY$13</f>
        <v>2206.4731104646994</v>
      </c>
      <c r="AZ27" s="89">
        <f>VLOOKUP($A27,平滑数据导入!$A$1:$AN$61,COLUMN(平滑数据导入!AE$1),0)</f>
        <v>2142.6398264682489</v>
      </c>
      <c r="BA27" s="90">
        <f>VLOOKUP($A27,平滑数据导入!$A$1:$AN$61,COLUMN(平滑数据导入!AF$1),0)</f>
        <v>2079.7272501602838</v>
      </c>
      <c r="BB27" s="90">
        <f>VLOOKUP($A27,平滑数据导入!$A$1:$AN$61,COLUMN(平滑数据导入!AG$1),0)</f>
        <v>2017.9396378023571</v>
      </c>
      <c r="BC27" s="90">
        <f>VLOOKUP($A27,平滑数据导入!$A$1:$AN$61,COLUMN(平滑数据导入!AH$1),0)</f>
        <v>1957.4579619538099</v>
      </c>
      <c r="BD27" s="101">
        <f>VLOOKUP($A27,平滑数据导入!$A$1:$AN$61,COLUMN(平滑数据导入!AI$1),0)</f>
        <v>1898.441002778492</v>
      </c>
      <c r="BE27" s="90">
        <f>VLOOKUP($A27,平滑数据导入!$A$1:$AN$61,COLUMN(平滑数据导入!AJ$1),0)</f>
        <v>1841.0265825493029</v>
      </c>
      <c r="BF27" s="90">
        <f>VLOOKUP($A27,平滑数据导入!$A$1:$AN$61,COLUMN(平滑数据导入!AK$1),0)</f>
        <v>1785.3329096368441</v>
      </c>
      <c r="BG27" s="90">
        <f>VLOOKUP($A27,平滑数据导入!$A$1:$AN$61,COLUMN(平滑数据导入!AL$1),0)</f>
        <v>1731.460001457416</v>
      </c>
      <c r="BH27" s="90">
        <f>VLOOKUP($A27,平滑数据导入!$A$1:$AN$61,COLUMN(平滑数据导入!AM$1),0)</f>
        <v>1679.491159210552</v>
      </c>
      <c r="BI27" s="133">
        <f>VLOOKUP(A27,情景假设!$B$48:$S$88,18,0)/情景假设!S$47*BI$13</f>
        <v>1629.4944706597255</v>
      </c>
    </row>
    <row r="28" spans="1:61" ht="13.9" customHeight="1" x14ac:dyDescent="0.2">
      <c r="A28" s="30" t="s">
        <v>86</v>
      </c>
      <c r="B28" s="19"/>
      <c r="C28" s="20"/>
      <c r="D28" s="20"/>
      <c r="E28" s="20"/>
      <c r="F28" s="21"/>
      <c r="G28" s="19"/>
      <c r="H28" s="20"/>
      <c r="I28" s="20">
        <f>'增加值 (2001-2022, 当年价) '!I28*I$77</f>
        <v>1328.9824036014877</v>
      </c>
      <c r="J28" s="20">
        <f>'增加值 (2001-2022, 当年价) '!J28*J$77</f>
        <v>1482.7821695107011</v>
      </c>
      <c r="K28" s="21">
        <f>'增加值 (2001-2022, 当年价) '!K28*K$77</f>
        <v>1762.5007041562442</v>
      </c>
      <c r="L28" s="19">
        <f>'增加值 (2001-2022, 当年价) '!L28*L$77</f>
        <v>2049.1987875789623</v>
      </c>
      <c r="M28" s="20">
        <f>'增加值 (2001-2022, 当年价) '!M28*M$77</f>
        <v>2192.7265800548553</v>
      </c>
      <c r="N28" s="20">
        <f>'增加值 (2001-2022, 当年价) '!N28*N$77</f>
        <v>2326.7164094671548</v>
      </c>
      <c r="O28" s="20">
        <f>'增加值 (2001-2022, 当年价) '!O28*O$77</f>
        <v>2442.6042210226533</v>
      </c>
      <c r="P28" s="20">
        <f>'增加值 (2001-2022, 当年价) '!P28*P$77</f>
        <v>2463.3078356766532</v>
      </c>
      <c r="Q28" s="19">
        <f>'增加值 (2001-2022, 当年价) '!Q28*Q$77</f>
        <v>2567.3709288969417</v>
      </c>
      <c r="R28" s="20">
        <f>'增加值 (2001-2022, 当年价) '!R28*R$77</f>
        <v>2759.8396763201949</v>
      </c>
      <c r="S28" s="20">
        <f>'增加值 (2001-2022, 当年价) '!S28*S$77</f>
        <v>2824.9114892595062</v>
      </c>
      <c r="T28" s="20">
        <f>'增加值 (2001-2022, 当年价) '!T28*T$77</f>
        <v>2783.6071882539604</v>
      </c>
      <c r="U28" s="21">
        <f>'增加值 (2001-2022, 当年价) '!U28*U$77</f>
        <v>2641.6002604003402</v>
      </c>
      <c r="V28" s="20">
        <f>'增加值 (2001-2022, 当年价) '!V28*V$77</f>
        <v>3036.4481610921225</v>
      </c>
      <c r="W28" s="20">
        <f>'增加值 (2001-2022, 当年价) '!W28*W$77</f>
        <v>3069.0985404160137</v>
      </c>
      <c r="X28" s="90">
        <f>VLOOKUP($A28,平滑数据导入!$A$1:$AN$61,COLUMN(平滑数据导入!C$1),0)</f>
        <v>3074.9669372721828</v>
      </c>
      <c r="Y28" s="90">
        <f>VLOOKUP($A28,平滑数据导入!$A$1:$AN$61,COLUMN(平滑数据导入!D$1),0)</f>
        <v>3085.584710717701</v>
      </c>
      <c r="Z28" s="141">
        <f>VLOOKUP(A28,情景假设!$B$48:$S$88,14,0)/情景假设!O$47*Z$13</f>
        <v>3099.8085012299553</v>
      </c>
      <c r="AA28" s="89">
        <f>VLOOKUP($A28,平滑数据导入!$A$1:$AN$61,COLUMN(平滑数据导入!F$1),0)</f>
        <v>3116.4889105207881</v>
      </c>
      <c r="AB28" s="90">
        <f>VLOOKUP($A28,平滑数据导入!$A$1:$AN$61,COLUMN(平滑数据导入!G$1),0)</f>
        <v>3134.4590376026199</v>
      </c>
      <c r="AC28" s="90">
        <f>VLOOKUP($A28,平滑数据导入!$A$1:$AN$61,COLUMN(平滑数据导入!H$1),0)</f>
        <v>3152.5273681318808</v>
      </c>
      <c r="AD28" s="90">
        <f>VLOOKUP($A28,平滑数据导入!$A$1:$AN$61,COLUMN(平滑数据导入!I$1),0)</f>
        <v>3169.475131329772</v>
      </c>
      <c r="AE28" s="133">
        <f>VLOOKUP(A28,情景假设!$B$48:$S$88,15,0)/情景假设!P$47*AE$13</f>
        <v>3184.0582907073158</v>
      </c>
      <c r="AF28" s="90">
        <f>VLOOKUP($A28,平滑数据导入!$A$1:$AN$61,COLUMN(平滑数据导入!K$1),0)</f>
        <v>3195.124228835291</v>
      </c>
      <c r="AG28" s="90">
        <f>VLOOKUP($A28,平滑数据导入!$A$1:$AN$61,COLUMN(平滑数据导入!L$1),0)</f>
        <v>3201.9549119049911</v>
      </c>
      <c r="AH28" s="90">
        <f>VLOOKUP($A28,平滑数据导入!$A$1:$AN$61,COLUMN(平滑数据导入!M$1),0)</f>
        <v>3203.9518824715328</v>
      </c>
      <c r="AI28" s="90">
        <f>VLOOKUP($A28,平滑数据导入!$A$1:$AN$61,COLUMN(平滑数据导入!N$1),0)</f>
        <v>3200.5355245599671</v>
      </c>
      <c r="AJ28" s="141">
        <f>VLOOKUP(A28,情景假设!$B$48:$S$88,16,0)/情景假设!Q$47*AJ$13</f>
        <v>3191.154251685829</v>
      </c>
      <c r="AK28" s="89">
        <f>VLOOKUP($A28,平滑数据导入!$A$1:$AN$61,COLUMN(平滑数据导入!P$1),0)</f>
        <v>3175.4368470743138</v>
      </c>
      <c r="AL28" s="90">
        <f>VLOOKUP($A28,平滑数据导入!$A$1:$AN$61,COLUMN(平滑数据导入!Q$1),0)</f>
        <v>3153.6221463798688</v>
      </c>
      <c r="AM28" s="90">
        <f>VLOOKUP($A28,平滑数据导入!$A$1:$AN$61,COLUMN(平滑数据导入!R$1),0)</f>
        <v>3126.1208226764102</v>
      </c>
      <c r="AN28" s="90">
        <f>VLOOKUP($A28,平滑数据导入!$A$1:$AN$61,COLUMN(平滑数据导入!S$1),0)</f>
        <v>3093.365364843834</v>
      </c>
      <c r="AO28" s="101">
        <f>VLOOKUP($A28,平滑数据导入!$A$1:$AN$61,COLUMN(平滑数据导入!T$1),0)</f>
        <v>3055.8037975165848</v>
      </c>
      <c r="AP28" s="90">
        <f>VLOOKUP($A28,平滑数据导入!$A$1:$AN$61,COLUMN(平滑数据导入!U$1),0)</f>
        <v>3013.893720070153</v>
      </c>
      <c r="AQ28" s="90">
        <f>VLOOKUP($A28,平滑数据导入!$A$1:$AN$61,COLUMN(平滑数据导入!V$1),0)</f>
        <v>2968.0967397968629</v>
      </c>
      <c r="AR28" s="90">
        <f>VLOOKUP($A28,平滑数据导入!$A$1:$AN$61,COLUMN(平滑数据导入!W$1),0)</f>
        <v>2918.8733580889939</v>
      </c>
      <c r="AS28" s="90">
        <f>VLOOKUP($A28,平滑数据导入!$A$1:$AN$61,COLUMN(平滑数据导入!X$1),0)</f>
        <v>2866.6783526058589</v>
      </c>
      <c r="AT28" s="90">
        <f>VLOOKUP($A28,平滑数据导入!$A$1:$AN$61,COLUMN(平滑数据导入!Y$1),0)</f>
        <v>2811.9566834371171</v>
      </c>
      <c r="AU28" s="89">
        <f>VLOOKUP($A28,平滑数据导入!$A$1:$AN$61,COLUMN(平滑数据导入!Z$1),0)</f>
        <v>2755.1399374898779</v>
      </c>
      <c r="AV28" s="90">
        <f>VLOOKUP($A28,平滑数据导入!$A$1:$AN$61,COLUMN(平滑数据导入!AA$1),0)</f>
        <v>2696.6433129459201</v>
      </c>
      <c r="AW28" s="90">
        <f>VLOOKUP($A28,平滑数据导入!$A$1:$AN$61,COLUMN(平滑数据导入!AB$1),0)</f>
        <v>2636.8631348061099</v>
      </c>
      <c r="AX28" s="90">
        <f>VLOOKUP($A28,平滑数据导入!$A$1:$AN$61,COLUMN(平滑数据导入!AC$1),0)</f>
        <v>2576.174883340957</v>
      </c>
      <c r="AY28" s="133">
        <f>VLOOKUP(A28,情景假设!$B$48:$S$88,17,0)/情景假设!R$47*AY$13</f>
        <v>2514.9317097179123</v>
      </c>
      <c r="AZ28" s="89">
        <f>VLOOKUP($A28,平滑数据导入!$A$1:$AN$61,COLUMN(平滑数据导入!AE$1),0)</f>
        <v>2453.463407143548</v>
      </c>
      <c r="BA28" s="90">
        <f>VLOOKUP($A28,平滑数据导入!$A$1:$AN$61,COLUMN(平滑数据导入!AF$1),0)</f>
        <v>2392.0758014661728</v>
      </c>
      <c r="BB28" s="90">
        <f>VLOOKUP($A28,平滑数据导入!$A$1:$AN$61,COLUMN(平滑数据导入!AG$1),0)</f>
        <v>2331.0505222225161</v>
      </c>
      <c r="BC28" s="90">
        <f>VLOOKUP($A28,平滑数据导入!$A$1:$AN$61,COLUMN(平滑数据导入!AH$1),0)</f>
        <v>2270.6451134475678</v>
      </c>
      <c r="BD28" s="101">
        <f>VLOOKUP($A28,平滑数据导入!$A$1:$AN$61,COLUMN(平滑数据导入!AI$1),0)</f>
        <v>2211.0934430509101</v>
      </c>
      <c r="BE28" s="90">
        <f>VLOOKUP($A28,平滑数据导入!$A$1:$AN$61,COLUMN(平滑数据导入!AJ$1),0)</f>
        <v>2152.6063700383729</v>
      </c>
      <c r="BF28" s="90">
        <f>VLOOKUP($A28,平滑数据导入!$A$1:$AN$61,COLUMN(平滑数据导入!AK$1),0)</f>
        <v>2095.3726301669349</v>
      </c>
      <c r="BG28" s="90">
        <f>VLOOKUP($A28,平滑数据导入!$A$1:$AN$61,COLUMN(平滑数据导入!AL$1),0)</f>
        <v>2039.5599026074001</v>
      </c>
      <c r="BH28" s="90">
        <f>VLOOKUP($A28,平滑数据导入!$A$1:$AN$61,COLUMN(平滑数据导入!AM$1),0)</f>
        <v>1985.3160227080409</v>
      </c>
      <c r="BI28" s="133">
        <f>VLOOKUP(A28,情景假设!$B$48:$S$88,18,0)/情景假设!S$47*BI$13</f>
        <v>1932.7703088664555</v>
      </c>
    </row>
    <row r="29" spans="1:61" ht="13.9" customHeight="1" x14ac:dyDescent="0.2">
      <c r="A29" s="30" t="s">
        <v>87</v>
      </c>
      <c r="B29" s="19"/>
      <c r="C29" s="20"/>
      <c r="D29" s="20"/>
      <c r="E29" s="20"/>
      <c r="F29" s="21"/>
      <c r="G29" s="19"/>
      <c r="H29" s="20"/>
      <c r="I29" s="20">
        <f>'增加值 (2001-2022, 当年价) '!I29*I$77</f>
        <v>942.44830582196994</v>
      </c>
      <c r="J29" s="20">
        <f>'增加值 (2001-2022, 当年价) '!J29*J$77</f>
        <v>972.00409563695905</v>
      </c>
      <c r="K29" s="21">
        <f>'增加值 (2001-2022, 当年价) '!K29*K$77</f>
        <v>1129.8811717538965</v>
      </c>
      <c r="L29" s="19">
        <f>'增加值 (2001-2022, 当年价) '!L29*L$77</f>
        <v>1250.7043821461339</v>
      </c>
      <c r="M29" s="20">
        <f>'增加值 (2001-2022, 当年价) '!M29*M$77</f>
        <v>1324.0169299660911</v>
      </c>
      <c r="N29" s="20">
        <f>'增加值 (2001-2022, 当年价) '!N29*N$77</f>
        <v>1386.0564923380959</v>
      </c>
      <c r="O29" s="20">
        <f>'增加值 (2001-2022, 当年价) '!O29*O$77</f>
        <v>1444.4616196836896</v>
      </c>
      <c r="P29" s="20">
        <f>'增加值 (2001-2022, 当年价) '!P29*P$77</f>
        <v>1464.9271654424824</v>
      </c>
      <c r="Q29" s="19">
        <f>'增加值 (2001-2022, 当年价) '!Q29*Q$77</f>
        <v>1523.9542011748163</v>
      </c>
      <c r="R29" s="20">
        <f>'增加值 (2001-2022, 当年价) '!R29*R$77</f>
        <v>1693.7330948132931</v>
      </c>
      <c r="S29" s="20">
        <f>'增加值 (2001-2022, 当年价) '!S29*S$77</f>
        <v>1780.8886584549791</v>
      </c>
      <c r="T29" s="20">
        <f>'增加值 (2001-2022, 当年价) '!T29*T$77</f>
        <v>1760.0007062456536</v>
      </c>
      <c r="U29" s="21">
        <f>'增加值 (2001-2022, 当年价) '!U29*U$77</f>
        <v>1627.6494522571516</v>
      </c>
      <c r="V29" s="20">
        <f>'增加值 (2001-2022, 当年价) '!V29*V$77</f>
        <v>1901.4435312506728</v>
      </c>
      <c r="W29" s="20">
        <f>'增加值 (2001-2022, 当年价) '!W29*W$77</f>
        <v>1802.1334874675638</v>
      </c>
      <c r="X29" s="90">
        <f>VLOOKUP($A29,平滑数据导入!$A$1:$AN$61,COLUMN(平滑数据导入!C$1),0)</f>
        <v>1803.328477728581</v>
      </c>
      <c r="Y29" s="90">
        <f>VLOOKUP($A29,平滑数据导入!$A$1:$AN$61,COLUMN(平滑数据导入!D$1),0)</f>
        <v>1807.508599572305</v>
      </c>
      <c r="Z29" s="141">
        <f>VLOOKUP(A29,情景假设!$B$48:$S$88,14,0)/情景假设!O$47*Z$13</f>
        <v>1813.9724948720848</v>
      </c>
      <c r="AA29" s="89">
        <f>VLOOKUP($A29,平滑数据导入!$A$1:$AN$61,COLUMN(平滑数据导入!F$1),0)</f>
        <v>1822.019263709489</v>
      </c>
      <c r="AB29" s="90">
        <f>VLOOKUP($A29,平滑数据导入!$A$1:$AN$61,COLUMN(平滑数据导入!G$1),0)</f>
        <v>1830.9408722741459</v>
      </c>
      <c r="AC29" s="90">
        <f>VLOOKUP($A29,平滑数据导入!$A$1:$AN$61,COLUMN(平滑数据导入!H$1),0)</f>
        <v>1840.017317756912</v>
      </c>
      <c r="AD29" s="90">
        <f>VLOOKUP($A29,平滑数据导入!$A$1:$AN$61,COLUMN(平滑数据导入!I$1),0)</f>
        <v>1848.5145963603641</v>
      </c>
      <c r="AE29" s="133">
        <f>VLOOKUP(A29,情景假设!$B$48:$S$88,15,0)/情景假设!P$47*AE$13</f>
        <v>1855.6855584528637</v>
      </c>
      <c r="AF29" s="90">
        <f>VLOOKUP($A29,平滑数据导入!$A$1:$AN$61,COLUMN(平滑数据导入!K$1),0)</f>
        <v>1860.8415792036319</v>
      </c>
      <c r="AG29" s="90">
        <f>VLOOKUP($A29,平滑数据导入!$A$1:$AN$61,COLUMN(平滑数据导入!L$1),0)</f>
        <v>1863.563671190404</v>
      </c>
      <c r="AH29" s="90">
        <f>VLOOKUP($A29,平滑数据导入!$A$1:$AN$61,COLUMN(平滑数据导入!M$1),0)</f>
        <v>1863.507022356687</v>
      </c>
      <c r="AI29" s="90">
        <f>VLOOKUP($A29,平滑数据导入!$A$1:$AN$61,COLUMN(平滑数据导入!N$1),0)</f>
        <v>1860.3383506985699</v>
      </c>
      <c r="AJ29" s="141">
        <f>VLOOKUP(A29,情景假设!$B$48:$S$88,16,0)/情景假设!Q$47*AJ$13</f>
        <v>1853.7411698078593</v>
      </c>
      <c r="AK29" s="89">
        <f>VLOOKUP($A29,平滑数据导入!$A$1:$AN$61,COLUMN(平滑数据导入!P$1),0)</f>
        <v>1843.5043763964611</v>
      </c>
      <c r="AL29" s="90">
        <f>VLOOKUP($A29,平滑数据导入!$A$1:$AN$61,COLUMN(平滑数据导入!Q$1),0)</f>
        <v>1829.771890850976</v>
      </c>
      <c r="AM29" s="90">
        <f>VLOOKUP($A29,平滑数据导入!$A$1:$AN$61,COLUMN(平滑数据导入!R$1),0)</f>
        <v>1812.7868337587231</v>
      </c>
      <c r="AN29" s="90">
        <f>VLOOKUP($A29,平滑数据导入!$A$1:$AN$61,COLUMN(平滑数据导入!S$1),0)</f>
        <v>1792.80411222265</v>
      </c>
      <c r="AO29" s="101">
        <f>VLOOKUP($A29,平滑数据导入!$A$1:$AN$61,COLUMN(平滑数据导入!T$1),0)</f>
        <v>1770.0867973381889</v>
      </c>
      <c r="AP29" s="90">
        <f>VLOOKUP($A29,平滑数据导入!$A$1:$AN$61,COLUMN(平滑数据导入!U$1),0)</f>
        <v>1744.9026991516971</v>
      </c>
      <c r="AQ29" s="90">
        <f>VLOOKUP($A29,平滑数据导入!$A$1:$AN$61,COLUMN(平滑数据导入!V$1),0)</f>
        <v>1717.52118063482</v>
      </c>
      <c r="AR29" s="90">
        <f>VLOOKUP($A29,平滑数据导入!$A$1:$AN$61,COLUMN(平滑数据导入!W$1),0)</f>
        <v>1688.2102427333041</v>
      </c>
      <c r="AS29" s="90">
        <f>VLOOKUP($A29,平滑数据导入!$A$1:$AN$61,COLUMN(平滑数据导入!X$1),0)</f>
        <v>1657.2339034159349</v>
      </c>
      <c r="AT29" s="90">
        <f>VLOOKUP($A29,平滑数据导入!$A$1:$AN$61,COLUMN(平滑数据导入!Y$1),0)</f>
        <v>1624.8498850722119</v>
      </c>
      <c r="AU29" s="89">
        <f>VLOOKUP($A29,平滑数据导入!$A$1:$AN$61,COLUMN(平滑数据导入!Z$1),0)</f>
        <v>1591.307616752076</v>
      </c>
      <c r="AV29" s="90">
        <f>VLOOKUP($A29,平滑数据导入!$A$1:$AN$61,COLUMN(平滑数据导入!AA$1),0)</f>
        <v>1556.8465507273379</v>
      </c>
      <c r="AW29" s="90">
        <f>VLOOKUP($A29,平滑数据导入!$A$1:$AN$61,COLUMN(平滑数据导入!AB$1),0)</f>
        <v>1521.6947867593531</v>
      </c>
      <c r="AX29" s="90">
        <f>VLOOKUP($A29,平滑数据导入!$A$1:$AN$61,COLUMN(平滑数据导入!AC$1),0)</f>
        <v>1486.0679923185251</v>
      </c>
      <c r="AY29" s="133">
        <f>VLOOKUP(A29,情景假设!$B$48:$S$88,17,0)/情景假设!R$47*AY$13</f>
        <v>1450.1686028218028</v>
      </c>
      <c r="AZ29" s="89">
        <f>VLOOKUP($A29,平滑数据导入!$A$1:$AN$61,COLUMN(平滑数据导入!AE$1),0)</f>
        <v>1414.1852827084249</v>
      </c>
      <c r="BA29" s="90">
        <f>VLOOKUP($A29,平滑数据导入!$A$1:$AN$61,COLUMN(平滑数据导入!AF$1),0)</f>
        <v>1378.292625812858</v>
      </c>
      <c r="BB29" s="90">
        <f>VLOOKUP($A29,平滑数据导入!$A$1:$AN$61,COLUMN(平滑数据导入!AG$1),0)</f>
        <v>1342.651071949394</v>
      </c>
      <c r="BC29" s="90">
        <f>VLOOKUP($A29,平滑数据导入!$A$1:$AN$61,COLUMN(平滑数据导入!AH$1),0)</f>
        <v>1307.407015815462</v>
      </c>
      <c r="BD29" s="101">
        <f>VLOOKUP($A29,平滑数据导入!$A$1:$AN$61,COLUMN(平滑数据导入!AI$1),0)</f>
        <v>1272.6930841617609</v>
      </c>
      <c r="BE29" s="90">
        <f>VLOOKUP($A29,平滑数据导入!$A$1:$AN$61,COLUMN(平滑数据导入!AJ$1),0)</f>
        <v>1238.628557575013</v>
      </c>
      <c r="BF29" s="90">
        <f>VLOOKUP($A29,平滑数据导入!$A$1:$AN$61,COLUMN(平滑数据导入!AK$1),0)</f>
        <v>1205.3199140809891</v>
      </c>
      <c r="BG29" s="90">
        <f>VLOOKUP($A29,平滑数据导入!$A$1:$AN$61,COLUMN(平滑数据导入!AL$1),0)</f>
        <v>1172.861473012096</v>
      </c>
      <c r="BH29" s="90">
        <f>VLOOKUP($A29,平滑数据导入!$A$1:$AN$61,COLUMN(平滑数据导入!AM$1),0)</f>
        <v>1141.3361191108861</v>
      </c>
      <c r="BI29" s="133">
        <f>VLOOKUP(A29,情景假设!$B$48:$S$88,18,0)/情景假设!S$47*BI$13</f>
        <v>1110.8160885809693</v>
      </c>
    </row>
    <row r="30" spans="1:61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f>'增加值 (2001-2022, 当年价) '!I30*I$77</f>
        <v>2399.4158408160433</v>
      </c>
      <c r="J30" s="20">
        <f>'增加值 (2001-2022, 当年价) '!J30*J$77</f>
        <v>2517.8787005987151</v>
      </c>
      <c r="K30" s="21">
        <f>'增加值 (2001-2022, 当年价) '!K30*K$77</f>
        <v>2841.2631481498397</v>
      </c>
      <c r="L30" s="19">
        <f>'增加值 (2001-2022, 当年价) '!L30*L$77</f>
        <v>3123.251114962859</v>
      </c>
      <c r="M30" s="20">
        <f>'增加值 (2001-2022, 当年价) '!M30*M$77</f>
        <v>3234.9671780680355</v>
      </c>
      <c r="N30" s="20">
        <f>'增加值 (2001-2022, 当年价) '!N30*N$77</f>
        <v>3331.2326114407938</v>
      </c>
      <c r="O30" s="20">
        <f>'增加值 (2001-2022, 当年价) '!O30*O$77</f>
        <v>3401.3404077881783</v>
      </c>
      <c r="P30" s="20">
        <f>'增加值 (2001-2022, 当年价) '!P30*P$77</f>
        <v>3397.9015395567599</v>
      </c>
      <c r="Q30" s="19">
        <f>'增加值 (2001-2022, 当年价) '!Q30*Q$77</f>
        <v>3511.6031390759331</v>
      </c>
      <c r="R30" s="20">
        <f>'增加值 (2001-2022, 当年价) '!R30*R$77</f>
        <v>3703.7687703101592</v>
      </c>
      <c r="S30" s="20">
        <f>'增加值 (2001-2022, 当年价) '!S30*S$77</f>
        <v>3724.7155807424642</v>
      </c>
      <c r="T30" s="20">
        <f>'增加值 (2001-2022, 当年价) '!T30*T$77</f>
        <v>3742.079787486814</v>
      </c>
      <c r="U30" s="21">
        <f>'增加值 (2001-2022, 当年价) '!U30*U$77</f>
        <v>3663.3945727849982</v>
      </c>
      <c r="V30" s="20">
        <f>'增加值 (2001-2022, 当年价) '!V30*V$77</f>
        <v>4054.5873514850814</v>
      </c>
      <c r="W30" s="20">
        <f>'增加值 (2001-2022, 当年价) '!W30*W$77</f>
        <v>4094.0668183633061</v>
      </c>
      <c r="X30" s="90">
        <f>VLOOKUP($A30,平滑数据导入!$A$1:$AN$61,COLUMN(平滑数据导入!C$1),0)</f>
        <v>4083.5417121216051</v>
      </c>
      <c r="Y30" s="90">
        <f>VLOOKUP($A30,平滑数据导入!$A$1:$AN$61,COLUMN(平滑数据导入!D$1),0)</f>
        <v>4074.87885817504</v>
      </c>
      <c r="Z30" s="141">
        <f>VLOOKUP(A30,情景假设!$B$48:$S$88,14,0)/情景假设!O$47*Z$13</f>
        <v>4067.4905352736218</v>
      </c>
      <c r="AA30" s="89">
        <f>VLOOKUP($A30,平滑数据导入!$A$1:$AN$61,COLUMN(平滑数据导入!F$1),0)</f>
        <v>4060.7948474631648</v>
      </c>
      <c r="AB30" s="90">
        <f>VLOOKUP($A30,平滑数据导入!$A$1:$AN$61,COLUMN(平滑数据导入!G$1),0)</f>
        <v>4054.214323575904</v>
      </c>
      <c r="AC30" s="90">
        <f>VLOOKUP($A30,平滑数据导入!$A$1:$AN$61,COLUMN(平滑数据导入!H$1),0)</f>
        <v>4047.1753434132352</v>
      </c>
      <c r="AD30" s="90">
        <f>VLOOKUP($A30,平滑数据导入!$A$1:$AN$61,COLUMN(平滑数据导入!I$1),0)</f>
        <v>4039.108379709995</v>
      </c>
      <c r="AE30" s="133">
        <f>VLOOKUP(A30,情景假设!$B$48:$S$88,15,0)/情景假设!P$47*AE$13</f>
        <v>4029.4490456340445</v>
      </c>
      <c r="AF30" s="90">
        <f>VLOOKUP($A30,平滑数据导入!$A$1:$AN$61,COLUMN(平滑数据导入!K$1),0)</f>
        <v>4017.556102300447</v>
      </c>
      <c r="AG30" s="90">
        <f>VLOOKUP($A30,平滑数据导入!$A$1:$AN$61,COLUMN(平滑数据导入!L$1),0)</f>
        <v>4002.4650454923458</v>
      </c>
      <c r="AH30" s="90">
        <f>VLOOKUP($A30,平滑数据导入!$A$1:$AN$61,COLUMN(平滑数据导入!M$1),0)</f>
        <v>3983.1493893157322</v>
      </c>
      <c r="AI30" s="90">
        <f>VLOOKUP($A30,平滑数据导入!$A$1:$AN$61,COLUMN(平滑数据导入!N$1),0)</f>
        <v>3958.6146314030921</v>
      </c>
      <c r="AJ30" s="141">
        <f>VLOOKUP(A30,情景假设!$B$48:$S$88,16,0)/情景假设!Q$47*AJ$13</f>
        <v>3927.9104028047695</v>
      </c>
      <c r="AK30" s="89">
        <f>VLOOKUP($A30,平滑数据导入!$A$1:$AN$61,COLUMN(平滑数据导入!P$1),0)</f>
        <v>3890.3699251793319</v>
      </c>
      <c r="AL30" s="90">
        <f>VLOOKUP($A30,平滑数据导入!$A$1:$AN$61,COLUMN(平滑数据导入!Q$1),0)</f>
        <v>3846.2807543595341</v>
      </c>
      <c r="AM30" s="90">
        <f>VLOOKUP($A30,平滑数据导入!$A$1:$AN$61,COLUMN(平滑数据导入!R$1),0)</f>
        <v>3796.179384133015</v>
      </c>
      <c r="AN30" s="90">
        <f>VLOOKUP($A30,平滑数据导入!$A$1:$AN$61,COLUMN(平滑数据导入!S$1),0)</f>
        <v>3740.6152357513552</v>
      </c>
      <c r="AO30" s="101">
        <f>VLOOKUP($A30,平滑数据导入!$A$1:$AN$61,COLUMN(平滑数据导入!T$1),0)</f>
        <v>3680.1440964453768</v>
      </c>
      <c r="AP30" s="90">
        <f>VLOOKUP($A30,平滑数据导入!$A$1:$AN$61,COLUMN(平滑数据导入!U$1),0)</f>
        <v>3615.3220361944759</v>
      </c>
      <c r="AQ30" s="90">
        <f>VLOOKUP($A30,平滑数据导入!$A$1:$AN$61,COLUMN(平滑数据导入!V$1),0)</f>
        <v>3546.699857496295</v>
      </c>
      <c r="AR30" s="90">
        <f>VLOOKUP($A30,平滑数据导入!$A$1:$AN$61,COLUMN(平滑数据导入!W$1),0)</f>
        <v>3474.8181165974811</v>
      </c>
      <c r="AS30" s="90">
        <f>VLOOKUP($A30,平滑数据导入!$A$1:$AN$61,COLUMN(平滑数据导入!X$1),0)</f>
        <v>3400.202739386023</v>
      </c>
      <c r="AT30" s="90">
        <f>VLOOKUP($A30,平滑数据导入!$A$1:$AN$61,COLUMN(平滑数据导入!Y$1),0)</f>
        <v>3323.36124118107</v>
      </c>
      <c r="AU30" s="89">
        <f>VLOOKUP($A30,平滑数据导入!$A$1:$AN$61,COLUMN(平滑数据导入!Z$1),0)</f>
        <v>3244.7795471847389</v>
      </c>
      <c r="AV30" s="90">
        <f>VLOOKUP($A30,平滑数据导入!$A$1:$AN$61,COLUMN(平滑数据导入!AA$1),0)</f>
        <v>3164.91939950705</v>
      </c>
      <c r="AW30" s="90">
        <f>VLOOKUP($A30,平滑数据导入!$A$1:$AN$61,COLUMN(平滑数据导入!AB$1),0)</f>
        <v>3084.216327501495</v>
      </c>
      <c r="AX30" s="90">
        <f>VLOOKUP($A30,平滑数据导入!$A$1:$AN$61,COLUMN(平滑数据导入!AC$1),0)</f>
        <v>3003.0781506595731</v>
      </c>
      <c r="AY30" s="133">
        <f>VLOOKUP(A30,情景假设!$B$48:$S$88,17,0)/情景假设!R$47*AY$13</f>
        <v>2921.8839774634876</v>
      </c>
      <c r="AZ30" s="89">
        <f>VLOOKUP($A30,平滑数据导入!$A$1:$AN$61,COLUMN(平滑数据导入!AE$1),0)</f>
        <v>2840.983659304145</v>
      </c>
      <c r="BA30" s="90">
        <f>VLOOKUP($A30,平滑数据导入!$A$1:$AN$61,COLUMN(平滑数据导入!AF$1),0)</f>
        <v>2760.697655722764</v>
      </c>
      <c r="BB30" s="90">
        <f>VLOOKUP($A30,平滑数据导入!$A$1:$AN$61,COLUMN(平滑数据导入!AG$1),0)</f>
        <v>2681.3172656924262</v>
      </c>
      <c r="BC30" s="90">
        <f>VLOOKUP($A30,平滑数据导入!$A$1:$AN$61,COLUMN(平滑数据导入!AH$1),0)</f>
        <v>2603.1051792697249</v>
      </c>
      <c r="BD30" s="101">
        <f>VLOOKUP($A30,平滑数据导入!$A$1:$AN$61,COLUMN(平滑数据导入!AI$1),0)</f>
        <v>2526.2963045584829</v>
      </c>
      <c r="BE30" s="90">
        <f>VLOOKUP($A30,平滑数据导入!$A$1:$AN$61,COLUMN(平滑数据导入!AJ$1),0)</f>
        <v>2451.0988263772761</v>
      </c>
      <c r="BF30" s="90">
        <f>VLOOKUP($A30,平滑数据导入!$A$1:$AN$61,COLUMN(平滑数据导入!AK$1),0)</f>
        <v>2377.6954551537092</v>
      </c>
      <c r="BG30" s="90">
        <f>VLOOKUP($A30,平滑数据导入!$A$1:$AN$61,COLUMN(平滑数据导入!AL$1),0)</f>
        <v>2306.2448272328761</v>
      </c>
      <c r="BH30" s="90">
        <f>VLOOKUP($A30,平滑数据导入!$A$1:$AN$61,COLUMN(平滑数据导入!AM$1),0)</f>
        <v>2236.8830208468698</v>
      </c>
      <c r="BI30" s="133">
        <f>VLOOKUP(A30,情景假设!$B$48:$S$88,18,0)/情景假设!S$47*BI$13</f>
        <v>2169.7251553218339</v>
      </c>
    </row>
    <row r="31" spans="1:61" ht="13.9" customHeight="1" x14ac:dyDescent="0.2">
      <c r="A31" s="30" t="s">
        <v>89</v>
      </c>
      <c r="B31" s="19"/>
      <c r="C31" s="20"/>
      <c r="D31" s="20"/>
      <c r="E31" s="20"/>
      <c r="F31" s="21"/>
      <c r="G31" s="19"/>
      <c r="H31" s="20"/>
      <c r="I31" s="20">
        <f>'增加值 (2001-2022, 当年价) '!I31*I$77</f>
        <v>960.49923103428591</v>
      </c>
      <c r="J31" s="20">
        <f>'增加值 (2001-2022, 当年价) '!J31*J$77</f>
        <v>990.62110956548941</v>
      </c>
      <c r="K31" s="21">
        <f>'增加值 (2001-2022, 当年价) '!K31*K$77</f>
        <v>1105.3457185260063</v>
      </c>
      <c r="L31" s="19">
        <f>'增加值 (2001-2022, 当年价) '!L31*L$77</f>
        <v>1209.7378757621632</v>
      </c>
      <c r="M31" s="20">
        <f>'增加值 (2001-2022, 当年价) '!M31*M$77</f>
        <v>1267.9807982271564</v>
      </c>
      <c r="N31" s="20">
        <f>'增加值 (2001-2022, 当年价) '!N31*N$77</f>
        <v>1347.8717215792374</v>
      </c>
      <c r="O31" s="20">
        <f>'增加值 (2001-2022, 当年价) '!O31*O$77</f>
        <v>1421.466988732664</v>
      </c>
      <c r="P31" s="20">
        <f>'增加值 (2001-2022, 当年价) '!P31*P$77</f>
        <v>1438.9096272736515</v>
      </c>
      <c r="Q31" s="19">
        <f>'增加值 (2001-2022, 当年价) '!Q31*Q$77</f>
        <v>1489.8672732730606</v>
      </c>
      <c r="R31" s="20">
        <f>'增加值 (2001-2022, 当年价) '!R31*R$77</f>
        <v>1658.8647683805762</v>
      </c>
      <c r="S31" s="20">
        <f>'增加值 (2001-2022, 当年价) '!S31*S$77</f>
        <v>1760.7433815949707</v>
      </c>
      <c r="T31" s="20">
        <f>'增加值 (2001-2022, 当年价) '!T31*T$77</f>
        <v>1740.091712310071</v>
      </c>
      <c r="U31" s="21">
        <f>'增加值 (2001-2022, 当年价) '!U31*U$77</f>
        <v>1649.6368760600501</v>
      </c>
      <c r="V31" s="20">
        <f>'增加值 (2001-2022, 当年价) '!V31*V$77</f>
        <v>1909.953713647637</v>
      </c>
      <c r="W31" s="20">
        <f>'增加值 (2001-2022, 当年价) '!W31*W$77</f>
        <v>1947.9528299445335</v>
      </c>
      <c r="X31" s="90">
        <f>VLOOKUP($A31,平滑数据导入!$A$1:$AN$61,COLUMN(平滑数据导入!C$1),0)</f>
        <v>1974.4765775956921</v>
      </c>
      <c r="Y31" s="90">
        <f>VLOOKUP($A31,平滑数据导入!$A$1:$AN$61,COLUMN(平滑数据导入!D$1),0)</f>
        <v>2002.2910162683841</v>
      </c>
      <c r="Z31" s="141">
        <f>VLOOKUP(A31,情景假设!$B$48:$S$88,14,0)/情景假设!O$47*Z$13</f>
        <v>2030.9109008875303</v>
      </c>
      <c r="AA31" s="89">
        <f>VLOOKUP($A31,平滑数据导入!$A$1:$AN$61,COLUMN(平滑数据导入!F$1),0)</f>
        <v>2059.8225044781202</v>
      </c>
      <c r="AB31" s="90">
        <f>VLOOKUP($A31,平滑数据导入!$A$1:$AN$61,COLUMN(平滑数据导入!G$1),0)</f>
        <v>2088.4822075793468</v>
      </c>
      <c r="AC31" s="90">
        <f>VLOOKUP($A31,平滑数据导入!$A$1:$AN$61,COLUMN(平滑数据导入!H$1),0)</f>
        <v>2116.316464241318</v>
      </c>
      <c r="AD31" s="90">
        <f>VLOOKUP($A31,平滑数据导入!$A$1:$AN$61,COLUMN(平滑数据导入!I$1),0)</f>
        <v>2142.723280565348</v>
      </c>
      <c r="AE31" s="133">
        <f>VLOOKUP(A31,情景假设!$B$48:$S$88,15,0)/情景假设!P$47*AE$13</f>
        <v>2167.0753361405891</v>
      </c>
      <c r="AF31" s="90">
        <f>VLOOKUP($A31,平滑数据导入!$A$1:$AN$61,COLUMN(平滑数据导入!K$1),0)</f>
        <v>2188.7583928128129</v>
      </c>
      <c r="AG31" s="90">
        <f>VLOOKUP($A31,平滑数据导入!$A$1:$AN$61,COLUMN(平滑数据导入!L$1),0)</f>
        <v>2207.2808598001029</v>
      </c>
      <c r="AH31" s="90">
        <f>VLOOKUP($A31,平滑数据导入!$A$1:$AN$61,COLUMN(平滑数据导入!M$1),0)</f>
        <v>2222.1841510658842</v>
      </c>
      <c r="AI31" s="90">
        <f>VLOOKUP($A31,平滑数据导入!$A$1:$AN$61,COLUMN(平滑数据导入!N$1),0)</f>
        <v>2233.0162694620758</v>
      </c>
      <c r="AJ31" s="141">
        <f>VLOOKUP(A31,情景假设!$B$48:$S$88,16,0)/情景假设!Q$47*AJ$13</f>
        <v>2239.3389771082379</v>
      </c>
      <c r="AK31" s="89">
        <f>VLOOKUP($A31,平滑数据导入!$A$1:$AN$61,COLUMN(平滑数据导入!P$1),0)</f>
        <v>2240.8335420146959</v>
      </c>
      <c r="AL31" s="90">
        <f>VLOOKUP($A31,平滑数据导入!$A$1:$AN$61,COLUMN(平滑数据导入!Q$1),0)</f>
        <v>2237.6015923987102</v>
      </c>
      <c r="AM31" s="90">
        <f>VLOOKUP($A31,平滑数据导入!$A$1:$AN$61,COLUMN(平滑数据导入!R$1),0)</f>
        <v>2229.8719125715938</v>
      </c>
      <c r="AN31" s="90">
        <f>VLOOKUP($A31,平滑数据导入!$A$1:$AN$61,COLUMN(平滑数据导入!S$1),0)</f>
        <v>2217.8983678733798</v>
      </c>
      <c r="AO31" s="101">
        <f>VLOOKUP($A31,平滑数据导入!$A$1:$AN$61,COLUMN(平滑数据导入!T$1),0)</f>
        <v>2201.9553850261918</v>
      </c>
      <c r="AP31" s="90">
        <f>VLOOKUP($A31,平滑数据导入!$A$1:$AN$61,COLUMN(平滑数据导入!U$1),0)</f>
        <v>2182.3335002041499</v>
      </c>
      <c r="AQ31" s="90">
        <f>VLOOKUP($A31,平滑数据导入!$A$1:$AN$61,COLUMN(平滑数据导入!V$1),0)</f>
        <v>2159.3350499671478</v>
      </c>
      <c r="AR31" s="90">
        <f>VLOOKUP($A31,平滑数据导入!$A$1:$AN$61,COLUMN(平滑数据导入!W$1),0)</f>
        <v>2133.270069396418</v>
      </c>
      <c r="AS31" s="90">
        <f>VLOOKUP($A31,平滑数据导入!$A$1:$AN$61,COLUMN(平滑数据导入!X$1),0)</f>
        <v>2104.4524505747472</v>
      </c>
      <c r="AT31" s="90">
        <f>VLOOKUP($A31,平滑数据导入!$A$1:$AN$61,COLUMN(平滑数据导入!Y$1),0)</f>
        <v>2073.196403346029</v>
      </c>
      <c r="AU31" s="89">
        <f>VLOOKUP($A31,平滑数据导入!$A$1:$AN$61,COLUMN(平滑数据导入!Z$1),0)</f>
        <v>2039.8132493910141</v>
      </c>
      <c r="AV31" s="90">
        <f>VLOOKUP($A31,平滑数据导入!$A$1:$AN$61,COLUMN(平滑数据导入!AA$1),0)</f>
        <v>2004.6085703383851</v>
      </c>
      <c r="AW31" s="90">
        <f>VLOOKUP($A31,平滑数据导入!$A$1:$AN$61,COLUMN(平滑数据导入!AB$1),0)</f>
        <v>1967.879721105435</v>
      </c>
      <c r="AX31" s="90">
        <f>VLOOKUP($A31,平滑数据导入!$A$1:$AN$61,COLUMN(平滑数据导入!AC$1),0)</f>
        <v>1929.913711089376</v>
      </c>
      <c r="AY31" s="133">
        <f>VLOOKUP(A31,情景假设!$B$48:$S$88,17,0)/情景假设!R$47*AY$13</f>
        <v>1890.9854483145673</v>
      </c>
      <c r="AZ31" s="89">
        <f>VLOOKUP($A31,平滑数据导入!$A$1:$AN$61,COLUMN(平滑数据导入!AE$1),0)</f>
        <v>1851.356335240509</v>
      </c>
      <c r="BA31" s="90">
        <f>VLOOKUP($A31,平滑数据导入!$A$1:$AN$61,COLUMN(平滑数据导入!AF$1),0)</f>
        <v>1811.273199666553</v>
      </c>
      <c r="BB31" s="90">
        <f>VLOOKUP($A31,平滑数据导入!$A$1:$AN$61,COLUMN(平滑数据导入!AG$1),0)</f>
        <v>1770.9675400107969</v>
      </c>
      <c r="BC31" s="90">
        <f>VLOOKUP($A31,平滑数据导入!$A$1:$AN$61,COLUMN(平滑数据导入!AH$1),0)</f>
        <v>1730.6550611432581</v>
      </c>
      <c r="BD31" s="101">
        <f>VLOOKUP($A31,平滑数据导入!$A$1:$AN$61,COLUMN(平滑数据导入!AI$1),0)</f>
        <v>1690.5354748434979</v>
      </c>
      <c r="BE31" s="90">
        <f>VLOOKUP($A31,平滑数据导入!$A$1:$AN$61,COLUMN(平滑数据导入!AJ$1),0)</f>
        <v>1650.792537741203</v>
      </c>
      <c r="BF31" s="90">
        <f>VLOOKUP($A31,平滑数据导入!$A$1:$AN$61,COLUMN(平滑数据导入!AK$1),0)</f>
        <v>1611.594299183628</v>
      </c>
      <c r="BG31" s="90">
        <f>VLOOKUP($A31,平滑数据导入!$A$1:$AN$61,COLUMN(平滑数据导入!AL$1),0)</f>
        <v>1573.0935317503261</v>
      </c>
      <c r="BH31" s="90">
        <f>VLOOKUP($A31,平滑数据导入!$A$1:$AN$61,COLUMN(平滑数据导入!AM$1),0)</f>
        <v>1535.4283179954191</v>
      </c>
      <c r="BI31" s="133">
        <f>VLOOKUP(A31,情景假设!$B$48:$S$88,18,0)/情景假设!S$47*BI$13</f>
        <v>1498.7227683358776</v>
      </c>
    </row>
    <row r="32" spans="1:61" ht="13.9" customHeight="1" x14ac:dyDescent="0.2">
      <c r="A32" s="30" t="s">
        <v>90</v>
      </c>
      <c r="B32" s="19"/>
      <c r="C32" s="20"/>
      <c r="D32" s="20"/>
      <c r="E32" s="20"/>
      <c r="F32" s="21"/>
      <c r="G32" s="19"/>
      <c r="H32" s="20"/>
      <c r="I32" s="20">
        <f>'增加值 (2001-2022, 当年价) '!I32*I$77</f>
        <v>1237.2348438757313</v>
      </c>
      <c r="J32" s="20">
        <f>'增加值 (2001-2022, 当年价) '!J32*J$77</f>
        <v>1260.7885849418121</v>
      </c>
      <c r="K32" s="21">
        <f>'增加值 (2001-2022, 当年价) '!K32*K$77</f>
        <v>1389.6603169510863</v>
      </c>
      <c r="L32" s="19">
        <f>'增加值 (2001-2022, 当年价) '!L32*L$77</f>
        <v>1498.203935994324</v>
      </c>
      <c r="M32" s="20">
        <f>'增加值 (2001-2022, 当年价) '!M32*M$77</f>
        <v>1581.7453247763906</v>
      </c>
      <c r="N32" s="20">
        <f>'增加值 (2001-2022, 当年价) '!N32*N$77</f>
        <v>1705.4469690205001</v>
      </c>
      <c r="O32" s="20">
        <f>'增加值 (2001-2022, 当年价) '!O32*O$77</f>
        <v>1857.428402654961</v>
      </c>
      <c r="P32" s="20">
        <f>'增加值 (2001-2022, 当年价) '!P32*P$77</f>
        <v>1864.3612617991985</v>
      </c>
      <c r="Q32" s="19">
        <f>'增加值 (2001-2022, 当年价) '!Q32*Q$77</f>
        <v>1877.6232138558726</v>
      </c>
      <c r="R32" s="20">
        <f>'增加值 (2001-2022, 当年价) '!R32*R$77</f>
        <v>2073.499402210462</v>
      </c>
      <c r="S32" s="20">
        <f>'增加值 (2001-2022, 当年价) '!S32*S$77</f>
        <v>2225.6176241314952</v>
      </c>
      <c r="T32" s="20">
        <f>'增加值 (2001-2022, 当年价) '!T32*T$77</f>
        <v>2169.4713333944724</v>
      </c>
      <c r="U32" s="21">
        <f>'增加值 (2001-2022, 当年价) '!U32*U$77</f>
        <v>1972.7493616245627</v>
      </c>
      <c r="V32" s="20">
        <f>'增加值 (2001-2022, 当年价) '!V32*V$77</f>
        <v>2360.0523650119308</v>
      </c>
      <c r="W32" s="20">
        <f>'增加值 (2001-2022, 当年价) '!W32*W$77</f>
        <v>2335.0838323778685</v>
      </c>
      <c r="X32" s="90">
        <f>VLOOKUP($A32,平滑数据导入!$A$1:$AN$61,COLUMN(平滑数据导入!C$1),0)</f>
        <v>2351.6626596700789</v>
      </c>
      <c r="Y32" s="90">
        <f>VLOOKUP($A32,平滑数据导入!$A$1:$AN$61,COLUMN(平滑数据导入!D$1),0)</f>
        <v>2370.8682163354961</v>
      </c>
      <c r="Z32" s="141">
        <f>VLOOKUP(A32,情景假设!$B$48:$S$88,14,0)/情景假设!O$47*Z$13</f>
        <v>2391.9749109557524</v>
      </c>
      <c r="AA32" s="89">
        <f>VLOOKUP($A32,平滑数据导入!$A$1:$AN$61,COLUMN(平滑数据导入!F$1),0)</f>
        <v>2414.2353766732122</v>
      </c>
      <c r="AB32" s="90">
        <f>VLOOKUP($A32,平滑数据导入!$A$1:$AN$61,COLUMN(平滑数据导入!G$1),0)</f>
        <v>2436.875560476351</v>
      </c>
      <c r="AC32" s="90">
        <f>VLOOKUP($A32,平滑数据导入!$A$1:$AN$61,COLUMN(平滑数据导入!H$1),0)</f>
        <v>2459.092234815761</v>
      </c>
      <c r="AD32" s="90">
        <f>VLOOKUP($A32,平滑数据导入!$A$1:$AN$61,COLUMN(平滑数据导入!I$1),0)</f>
        <v>2480.0530861044681</v>
      </c>
      <c r="AE32" s="133">
        <f>VLOOKUP(A32,情景假设!$B$48:$S$88,15,0)/情景假设!P$47*AE$13</f>
        <v>2498.8995454830201</v>
      </c>
      <c r="AF32" s="90">
        <f>VLOOKUP($A32,平滑数据导入!$A$1:$AN$61,COLUMN(平滑数据导入!K$1),0)</f>
        <v>2514.817605418888</v>
      </c>
      <c r="AG32" s="90">
        <f>VLOOKUP($A32,平滑数据导入!$A$1:$AN$61,COLUMN(平滑数据导入!L$1),0)</f>
        <v>2527.2443509744148</v>
      </c>
      <c r="AH32" s="90">
        <f>VLOOKUP($A32,平滑数据导入!$A$1:$AN$61,COLUMN(平滑数据导入!M$1),0)</f>
        <v>2535.685819248738</v>
      </c>
      <c r="AI32" s="90">
        <f>VLOOKUP($A32,平滑数据导入!$A$1:$AN$61,COLUMN(平滑数据导入!N$1),0)</f>
        <v>2539.659719328909</v>
      </c>
      <c r="AJ32" s="141">
        <f>VLOOKUP(A32,情景假设!$B$48:$S$88,16,0)/情景假设!Q$47*AJ$13</f>
        <v>2538.7031266756785</v>
      </c>
      <c r="AK32" s="89">
        <f>VLOOKUP($A32,平滑数据导入!$A$1:$AN$61,COLUMN(平滑数据导入!P$1),0)</f>
        <v>2532.4931206247061</v>
      </c>
      <c r="AL32" s="90">
        <f>VLOOKUP($A32,平滑数据导入!$A$1:$AN$61,COLUMN(平滑数据导入!Q$1),0)</f>
        <v>2521.1883398788959</v>
      </c>
      <c r="AM32" s="90">
        <f>VLOOKUP($A32,平滑数据导入!$A$1:$AN$61,COLUMN(平滑数据导入!R$1),0)</f>
        <v>2505.0875540401962</v>
      </c>
      <c r="AN32" s="90">
        <f>VLOOKUP($A32,平滑数据导入!$A$1:$AN$61,COLUMN(平滑数据导入!S$1),0)</f>
        <v>2484.5118754618829</v>
      </c>
      <c r="AO32" s="101">
        <f>VLOOKUP($A32,平滑数据导入!$A$1:$AN$61,COLUMN(平滑数据导入!T$1),0)</f>
        <v>2459.7996614821182</v>
      </c>
      <c r="AP32" s="90">
        <f>VLOOKUP($A32,平滑数据导入!$A$1:$AN$61,COLUMN(平滑数据导入!U$1),0)</f>
        <v>2431.3015964559768</v>
      </c>
      <c r="AQ32" s="90">
        <f>VLOOKUP($A32,平滑数据导入!$A$1:$AN$61,COLUMN(平滑数据导入!V$1),0)</f>
        <v>2399.3760250952751</v>
      </c>
      <c r="AR32" s="90">
        <f>VLOOKUP($A32,平滑数据导入!$A$1:$AN$61,COLUMN(平滑数据导入!W$1),0)</f>
        <v>2364.3845957561412</v>
      </c>
      <c r="AS32" s="90">
        <f>VLOOKUP($A32,平滑数据导入!$A$1:$AN$61,COLUMN(平滑数据导入!X$1),0)</f>
        <v>2326.6882594899739</v>
      </c>
      <c r="AT32" s="90">
        <f>VLOOKUP($A32,平滑数据导入!$A$1:$AN$61,COLUMN(平滑数据导入!Y$1),0)</f>
        <v>2286.6436582547599</v>
      </c>
      <c r="AU32" s="89">
        <f>VLOOKUP($A32,平滑数据导入!$A$1:$AN$61,COLUMN(平滑数据导入!Z$1),0)</f>
        <v>2244.5999239700868</v>
      </c>
      <c r="AV32" s="90">
        <f>VLOOKUP($A32,平滑数据导入!$A$1:$AN$61,COLUMN(平滑数据导入!AA$1),0)</f>
        <v>2200.895899324702</v>
      </c>
      <c r="AW32" s="90">
        <f>VLOOKUP($A32,平滑数据导入!$A$1:$AN$61,COLUMN(平滑数据导入!AB$1),0)</f>
        <v>2155.857781583341</v>
      </c>
      <c r="AX32" s="90">
        <f>VLOOKUP($A32,平滑数据导入!$A$1:$AN$61,COLUMN(平滑数据导入!AC$1),0)</f>
        <v>2109.7971822022209</v>
      </c>
      <c r="AY32" s="133">
        <f>VLOOKUP(A32,情景假设!$B$48:$S$88,17,0)/情景假设!R$47*AY$13</f>
        <v>2063.0095879099567</v>
      </c>
      <c r="AZ32" s="89">
        <f>VLOOKUP($A32,平滑数据导入!$A$1:$AN$61,COLUMN(平滑数据导入!AE$1),0)</f>
        <v>2015.7732030538079</v>
      </c>
      <c r="BA32" s="90">
        <f>VLOOKUP($A32,平滑数据导入!$A$1:$AN$61,COLUMN(平滑数据导入!AF$1),0)</f>
        <v>1968.3481484217691</v>
      </c>
      <c r="BB32" s="90">
        <f>VLOOKUP($A32,平滑数据导入!$A$1:$AN$61,COLUMN(平滑数据导入!AG$1),0)</f>
        <v>1920.975988367245</v>
      </c>
      <c r="BC32" s="90">
        <f>VLOOKUP($A32,平滑数据导入!$A$1:$AN$61,COLUMN(平滑数据导入!AH$1),0)</f>
        <v>1873.8795557977139</v>
      </c>
      <c r="BD32" s="101">
        <f>VLOOKUP($A32,平滑数据导入!$A$1:$AN$61,COLUMN(平滑数据导入!AI$1),0)</f>
        <v>1827.2630433366439</v>
      </c>
      <c r="BE32" s="90">
        <f>VLOOKUP($A32,平滑数据导入!$A$1:$AN$61,COLUMN(平滑数据导入!AJ$1),0)</f>
        <v>1781.312328611662</v>
      </c>
      <c r="BF32" s="90">
        <f>VLOOKUP($A32,平滑数据导入!$A$1:$AN$61,COLUMN(平滑数据导入!AK$1),0)</f>
        <v>1736.1955020382561</v>
      </c>
      <c r="BG32" s="90">
        <f>VLOOKUP($A32,平滑数据导入!$A$1:$AN$61,COLUMN(平滑数据导入!AL$1),0)</f>
        <v>1692.0635665335101</v>
      </c>
      <c r="BH32" s="90">
        <f>VLOOKUP($A32,平滑数据导入!$A$1:$AN$61,COLUMN(平滑数据导入!AM$1),0)</f>
        <v>1649.051280187382</v>
      </c>
      <c r="BI32" s="133">
        <f>VLOOKUP(A32,情景假设!$B$48:$S$88,18,0)/情景假设!S$47*BI$13</f>
        <v>1607.2781149259954</v>
      </c>
    </row>
    <row r="33" spans="1:61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f>'增加值 (2001-2022, 当年价) '!I33*I$77</f>
        <v>4625.6513765876116</v>
      </c>
      <c r="J33" s="20">
        <f>'增加值 (2001-2022, 当年价) '!J33*J$77</f>
        <v>4612.8602684459884</v>
      </c>
      <c r="K33" s="21">
        <f>'增加值 (2001-2022, 当年价) '!K33*K$77</f>
        <v>4909.6595710962438</v>
      </c>
      <c r="L33" s="19">
        <f>'增加值 (2001-2022, 当年价) '!L33*L$77</f>
        <v>5076.1339274281618</v>
      </c>
      <c r="M33" s="20">
        <f>'增加值 (2001-2022, 当年价) '!M33*M$77</f>
        <v>5136.8917752740663</v>
      </c>
      <c r="N33" s="20">
        <f>'增加值 (2001-2022, 当年价) '!N33*N$77</f>
        <v>5177.5177742301576</v>
      </c>
      <c r="O33" s="20">
        <f>'增加值 (2001-2022, 当年价) '!O33*O$77</f>
        <v>5231.8795946876407</v>
      </c>
      <c r="P33" s="20">
        <f>'增加值 (2001-2022, 当年价) '!P33*P$77</f>
        <v>5330.8239788952933</v>
      </c>
      <c r="Q33" s="19">
        <f>'增加值 (2001-2022, 当年价) '!Q33*Q$77</f>
        <v>5550.8237809702714</v>
      </c>
      <c r="R33" s="20">
        <f>'增加值 (2001-2022, 当年价) '!R33*R$77</f>
        <v>5888.2933870137658</v>
      </c>
      <c r="S33" s="20">
        <f>'增加值 (2001-2022, 当年价) '!S33*S$77</f>
        <v>6238.1949839855151</v>
      </c>
      <c r="T33" s="20">
        <f>'增加值 (2001-2022, 当年价) '!T33*T$77</f>
        <v>6315.3940380225322</v>
      </c>
      <c r="U33" s="21">
        <f>'增加值 (2001-2022, 当年价) '!U33*U$77</f>
        <v>6152.0529589530752</v>
      </c>
      <c r="V33" s="20">
        <f>'增加值 (2001-2022, 当年价) '!V33*V$77</f>
        <v>6456.6953675432605</v>
      </c>
      <c r="W33" s="20">
        <f>'增加值 (2001-2022, 当年价) '!W33*W$77</f>
        <v>6224.4128368227912</v>
      </c>
      <c r="X33" s="90">
        <f>VLOOKUP($A33,平滑数据导入!$A$1:$AN$61,COLUMN(平滑数据导入!C$1),0)</f>
        <v>6180.4949419314253</v>
      </c>
      <c r="Y33" s="90">
        <f>VLOOKUP($A33,平滑数据导入!$A$1:$AN$61,COLUMN(平滑数据导入!D$1),0)</f>
        <v>6144.477409340876</v>
      </c>
      <c r="Z33" s="141">
        <f>VLOOKUP(A33,情景假设!$B$48:$S$88,14,0)/情景假设!O$47*Z$13</f>
        <v>6114.62856159899</v>
      </c>
      <c r="AA33" s="89">
        <f>VLOOKUP($A33,平滑数据导入!$A$1:$AN$61,COLUMN(平滑数据导入!F$1),0)</f>
        <v>6089.2701636368793</v>
      </c>
      <c r="AB33" s="90">
        <f>VLOOKUP($A33,平滑数据导入!$A$1:$AN$61,COLUMN(平滑数据导入!G$1),0)</f>
        <v>6066.7631498058818</v>
      </c>
      <c r="AC33" s="90">
        <f>VLOOKUP($A33,平滑数据导入!$A$1:$AN$61,COLUMN(平滑数据导入!H$1),0)</f>
        <v>6045.4978867750388</v>
      </c>
      <c r="AD33" s="90">
        <f>VLOOKUP($A33,平滑数据导入!$A$1:$AN$61,COLUMN(平滑数据导入!I$1),0)</f>
        <v>6023.8887809727894</v>
      </c>
      <c r="AE33" s="133">
        <f>VLOOKUP(A33,情景假设!$B$48:$S$88,15,0)/情景假设!P$47*AE$13</f>
        <v>6000.373095373684</v>
      </c>
      <c r="AF33" s="90">
        <f>VLOOKUP($A33,平滑数据导入!$A$1:$AN$61,COLUMN(平滑数据导入!K$1),0)</f>
        <v>5973.4250950956011</v>
      </c>
      <c r="AG33" s="90">
        <f>VLOOKUP($A33,平滑数据导入!$A$1:$AN$61,COLUMN(平滑数据导入!L$1),0)</f>
        <v>5941.5961557606424</v>
      </c>
      <c r="AH33" s="90">
        <f>VLOOKUP($A33,平滑数据导入!$A$1:$AN$61,COLUMN(平滑数据导入!M$1),0)</f>
        <v>5903.490636755685</v>
      </c>
      <c r="AI33" s="90">
        <f>VLOOKUP($A33,平滑数据导入!$A$1:$AN$61,COLUMN(平滑数据导入!N$1),0)</f>
        <v>5857.7680244720696</v>
      </c>
      <c r="AJ33" s="141">
        <f>VLOOKUP(A33,情景假设!$B$48:$S$88,16,0)/情景假设!Q$47*AJ$13</f>
        <v>5803.1594168278943</v>
      </c>
      <c r="AK33" s="89">
        <f>VLOOKUP($A33,平滑数据导入!$A$1:$AN$61,COLUMN(平滑数据导入!P$1),0)</f>
        <v>5738.8036600105834</v>
      </c>
      <c r="AL33" s="90">
        <f>VLOOKUP($A33,平滑数据导入!$A$1:$AN$61,COLUMN(平滑数据导入!Q$1),0)</f>
        <v>5665.1866421618352</v>
      </c>
      <c r="AM33" s="90">
        <f>VLOOKUP($A33,平滑数据导入!$A$1:$AN$61,COLUMN(平滑数据导入!R$1),0)</f>
        <v>5583.1399835123166</v>
      </c>
      <c r="AN33" s="90">
        <f>VLOOKUP($A33,平滑数据导入!$A$1:$AN$61,COLUMN(平滑数据导入!S$1),0)</f>
        <v>5493.5071989729377</v>
      </c>
      <c r="AO33" s="101">
        <f>VLOOKUP($A33,平滑数据导入!$A$1:$AN$61,COLUMN(平滑数据导入!T$1),0)</f>
        <v>5397.1341635810813</v>
      </c>
      <c r="AP33" s="90">
        <f>VLOOKUP($A33,平滑数据导入!$A$1:$AN$61,COLUMN(平滑数据导入!U$1),0)</f>
        <v>5294.8603860518188</v>
      </c>
      <c r="AQ33" s="90">
        <f>VLOOKUP($A33,平滑数据导入!$A$1:$AN$61,COLUMN(平滑数据导入!V$1),0)</f>
        <v>5187.5111559116795</v>
      </c>
      <c r="AR33" s="90">
        <f>VLOOKUP($A33,平滑数据导入!$A$1:$AN$61,COLUMN(平滑数据导入!W$1),0)</f>
        <v>5075.8906053893379</v>
      </c>
      <c r="AS33" s="90">
        <f>VLOOKUP($A33,平滑数据导入!$A$1:$AN$61,COLUMN(平滑数据导入!X$1),0)</f>
        <v>4960.7757048899584</v>
      </c>
      <c r="AT33" s="90">
        <f>VLOOKUP($A33,平滑数据导入!$A$1:$AN$61,COLUMN(平滑数据导入!Y$1),0)</f>
        <v>4842.9111908248478</v>
      </c>
      <c r="AU33" s="89">
        <f>VLOOKUP($A33,平滑数据导入!$A$1:$AN$61,COLUMN(平滑数据导入!Z$1),0)</f>
        <v>4723.0054070298766</v>
      </c>
      <c r="AV33" s="90">
        <f>VLOOKUP($A33,平滑数据导入!$A$1:$AN$61,COLUMN(平滑数据导入!AA$1),0)</f>
        <v>4601.7270261006424</v>
      </c>
      <c r="AW33" s="90">
        <f>VLOOKUP($A33,平滑数据导入!$A$1:$AN$61,COLUMN(平滑数据导入!AB$1),0)</f>
        <v>4479.702604726549</v>
      </c>
      <c r="AX33" s="90">
        <f>VLOOKUP($A33,平滑数据导入!$A$1:$AN$61,COLUMN(平滑数据导入!AC$1),0)</f>
        <v>4357.5149174625103</v>
      </c>
      <c r="AY33" s="133">
        <f>VLOOKUP(A33,情景假设!$B$48:$S$88,17,0)/情景假设!R$47*AY$13</f>
        <v>4235.7020062163911</v>
      </c>
      <c r="AZ33" s="89">
        <f>VLOOKUP($A33,平滑数据导入!$A$1:$AN$61,COLUMN(平滑数据导入!AE$1),0)</f>
        <v>4114.7568778795339</v>
      </c>
      <c r="BA33" s="90">
        <f>VLOOKUP($A33,平滑数据导入!$A$1:$AN$61,COLUMN(平滑数据导入!AF$1),0)</f>
        <v>3995.1277797759381</v>
      </c>
      <c r="BB33" s="90">
        <f>VLOOKUP($A33,平滑数据导入!$A$1:$AN$61,COLUMN(平滑数据导入!AG$1),0)</f>
        <v>3877.2189817177218</v>
      </c>
      <c r="BC33" s="90">
        <f>VLOOKUP($A33,平滑数据导入!$A$1:$AN$61,COLUMN(平滑数据导入!AH$1),0)</f>
        <v>3761.3919941803561</v>
      </c>
      <c r="BD33" s="101">
        <f>VLOOKUP($A33,平滑数据导入!$A$1:$AN$61,COLUMN(平滑数据导入!AI$1),0)</f>
        <v>3647.9671541968241</v>
      </c>
      <c r="BE33" s="90">
        <f>VLOOKUP($A33,平滑数据导入!$A$1:$AN$61,COLUMN(平滑数据导入!AJ$1),0)</f>
        <v>3537.2255137670541</v>
      </c>
      <c r="BF33" s="90">
        <f>VLOOKUP($A33,平滑数据导入!$A$1:$AN$61,COLUMN(平滑数据导入!AK$1),0)</f>
        <v>3429.410969648588</v>
      </c>
      <c r="BG33" s="90">
        <f>VLOOKUP($A33,平滑数据导入!$A$1:$AN$61,COLUMN(平滑数据导入!AL$1),0)</f>
        <v>3324.732578115887</v>
      </c>
      <c r="BH33" s="90">
        <f>VLOOKUP($A33,平滑数据导入!$A$1:$AN$61,COLUMN(平滑数据导入!AM$1),0)</f>
        <v>3223.3670034470329</v>
      </c>
      <c r="BI33" s="133">
        <f>VLOOKUP(A33,情景假设!$B$48:$S$88,18,0)/情景假设!S$47*BI$13</f>
        <v>3125.4610543394879</v>
      </c>
    </row>
    <row r="34" spans="1:61" ht="13.9" customHeight="1" x14ac:dyDescent="0.2">
      <c r="A34" s="30" t="s">
        <v>92</v>
      </c>
      <c r="B34" s="19"/>
      <c r="C34" s="20"/>
      <c r="D34" s="20"/>
      <c r="E34" s="20"/>
      <c r="F34" s="21"/>
      <c r="G34" s="19"/>
      <c r="H34" s="20"/>
      <c r="I34" s="20">
        <f>'增加值 (2001-2022, 当年价) '!I34*I$77</f>
        <v>10307.621181201201</v>
      </c>
      <c r="J34" s="20">
        <f>'增加值 (2001-2022, 当年价) '!J34*J$77</f>
        <v>11197.59429543964</v>
      </c>
      <c r="K34" s="21">
        <f>'增加值 (2001-2022, 当年价) '!K34*K$77</f>
        <v>12559.64137823792</v>
      </c>
      <c r="L34" s="19">
        <f>'增加值 (2001-2022, 当年价) '!L34*L$77</f>
        <v>13842.358017782368</v>
      </c>
      <c r="M34" s="20">
        <f>'增加值 (2001-2022, 当年价) '!M34*M$77</f>
        <v>14719.644806821092</v>
      </c>
      <c r="N34" s="20">
        <f>'增加值 (2001-2022, 当年价) '!N34*N$77</f>
        <v>15675.043022632364</v>
      </c>
      <c r="O34" s="20">
        <f>'增加值 (2001-2022, 当年价) '!O34*O$77</f>
        <v>16576.00180083466</v>
      </c>
      <c r="P34" s="20">
        <f>'增加值 (2001-2022, 当年价) '!P34*P$77</f>
        <v>17219.725535205271</v>
      </c>
      <c r="Q34" s="19">
        <f>'增加值 (2001-2022, 当年价) '!Q34*Q$77</f>
        <v>18098.41766921154</v>
      </c>
      <c r="R34" s="20">
        <f>'增加值 (2001-2022, 当年价) '!R34*R$77</f>
        <v>19015.540655849214</v>
      </c>
      <c r="S34" s="20">
        <f>'增加值 (2001-2022, 当年价) '!S34*S$77</f>
        <v>19615.361201046722</v>
      </c>
      <c r="T34" s="20">
        <f>'增加值 (2001-2022, 当年价) '!T34*T$77</f>
        <v>19801.368225340564</v>
      </c>
      <c r="U34" s="21">
        <f>'增加值 (2001-2022, 当年价) '!U34*U$77</f>
        <v>19806.415285139785</v>
      </c>
      <c r="V34" s="20">
        <f>'增加值 (2001-2022, 当年价) '!V34*V$77</f>
        <v>22210.139333921907</v>
      </c>
      <c r="W34" s="20">
        <f>'增加值 (2001-2022, 当年价) '!W34*W$77</f>
        <v>24050.846611769</v>
      </c>
      <c r="X34" s="90">
        <f>VLOOKUP($A34,平滑数据导入!$A$1:$AN$61,COLUMN(平滑数据导入!C$1),0)</f>
        <v>24376.003680584141</v>
      </c>
      <c r="Y34" s="90">
        <f>VLOOKUP($A34,平滑数据导入!$A$1:$AN$61,COLUMN(平滑数据导入!D$1),0)</f>
        <v>24648.09906390922</v>
      </c>
      <c r="Z34" s="141">
        <f>VLOOKUP(A34,情景假设!$B$48:$S$88,14,0)/情景假设!O$47*Z$13</f>
        <v>24872.253978717716</v>
      </c>
      <c r="AA34" s="89">
        <f>VLOOKUP($A34,平滑数据导入!$A$1:$AN$61,COLUMN(平滑数据导入!F$1),0)</f>
        <v>25054.148599326221</v>
      </c>
      <c r="AB34" s="90">
        <f>VLOOKUP($A34,平滑数据导入!$A$1:$AN$61,COLUMN(平滑数据导入!G$1),0)</f>
        <v>25199.907667049629</v>
      </c>
      <c r="AC34" s="90">
        <f>VLOOKUP($A34,平滑数据导入!$A$1:$AN$61,COLUMN(平滑数据导入!H$1),0)</f>
        <v>25315.997767605251</v>
      </c>
      <c r="AD34" s="90">
        <f>VLOOKUP($A34,平滑数据导入!$A$1:$AN$61,COLUMN(平滑数据导入!I$1),0)</f>
        <v>25409.13903983853</v>
      </c>
      <c r="AE34" s="133">
        <f>VLOOKUP(A34,情景假设!$B$48:$S$88,15,0)/情景假设!P$47*AE$13</f>
        <v>25486.233386175154</v>
      </c>
      <c r="AF34" s="90">
        <f>VLOOKUP($A34,平滑数据导入!$A$1:$AN$61,COLUMN(平滑数据导入!K$1),0)</f>
        <v>25551.723633391441</v>
      </c>
      <c r="AG34" s="90">
        <f>VLOOKUP($A34,平滑数据导入!$A$1:$AN$61,COLUMN(平滑数据导入!L$1),0)</f>
        <v>25599.75136249034</v>
      </c>
      <c r="AH34" s="90">
        <f>VLOOKUP($A34,平滑数据导入!$A$1:$AN$61,COLUMN(平滑数据导入!M$1),0)</f>
        <v>25621.850024835068</v>
      </c>
      <c r="AI34" s="90">
        <f>VLOOKUP($A34,平滑数据导入!$A$1:$AN$61,COLUMN(平滑数据导入!N$1),0)</f>
        <v>25609.588830270932</v>
      </c>
      <c r="AJ34" s="141">
        <f>VLOOKUP(A34,情景假设!$B$48:$S$88,16,0)/情景假设!Q$47*AJ$13</f>
        <v>25554.671473412309</v>
      </c>
      <c r="AK34" s="89">
        <f>VLOOKUP($A34,平滑数据导入!$A$1:$AN$61,COLUMN(平滑数据导入!P$1),0)</f>
        <v>25450.767921765259</v>
      </c>
      <c r="AL34" s="90">
        <f>VLOOKUP($A34,平滑数据导入!$A$1:$AN$61,COLUMN(平滑数据导入!Q$1),0)</f>
        <v>25298.69912382328</v>
      </c>
      <c r="AM34" s="90">
        <f>VLOOKUP($A34,平滑数据导入!$A$1:$AN$61,COLUMN(平滑数据导入!R$1),0)</f>
        <v>25101.23811341426</v>
      </c>
      <c r="AN34" s="90">
        <f>VLOOKUP($A34,平滑数据导入!$A$1:$AN$61,COLUMN(平滑数据导入!S$1),0)</f>
        <v>24861.349260812331</v>
      </c>
      <c r="AO34" s="101">
        <f>VLOOKUP($A34,平滑数据导入!$A$1:$AN$61,COLUMN(平滑数据导入!T$1),0)</f>
        <v>24582.145635697609</v>
      </c>
      <c r="AP34" s="90">
        <f>VLOOKUP($A34,平滑数据导入!$A$1:$AN$61,COLUMN(平滑数据导入!U$1),0)</f>
        <v>24266.847717298679</v>
      </c>
      <c r="AQ34" s="90">
        <f>VLOOKUP($A34,平滑数据导入!$A$1:$AN$61,COLUMN(平滑数据导入!V$1),0)</f>
        <v>23918.744009513979</v>
      </c>
      <c r="AR34" s="90">
        <f>VLOOKUP($A34,平滑数据导入!$A$1:$AN$61,COLUMN(平滑数据导入!W$1),0)</f>
        <v>23541.154027033939</v>
      </c>
      <c r="AS34" s="90">
        <f>VLOOKUP($A34,平滑数据导入!$A$1:$AN$61,COLUMN(平滑数据导入!X$1),0)</f>
        <v>23137.394026085371</v>
      </c>
      <c r="AT34" s="90">
        <f>VLOOKUP($A34,平滑数据导入!$A$1:$AN$61,COLUMN(平滑数据导入!Y$1),0)</f>
        <v>22710.745762875438</v>
      </c>
      <c r="AU34" s="89">
        <f>VLOOKUP($A34,平滑数据导入!$A$1:$AN$61,COLUMN(平滑数据导入!Z$1),0)</f>
        <v>22264.428476227429</v>
      </c>
      <c r="AV34" s="90">
        <f>VLOOKUP($A34,平滑数据导入!$A$1:$AN$61,COLUMN(平滑数据导入!AA$1),0)</f>
        <v>21801.574209996648</v>
      </c>
      <c r="AW34" s="90">
        <f>VLOOKUP($A34,平滑数据导入!$A$1:$AN$61,COLUMN(平滑数据导入!AB$1),0)</f>
        <v>21325.206516963972</v>
      </c>
      <c r="AX34" s="90">
        <f>VLOOKUP($A34,平滑数据导入!$A$1:$AN$61,COLUMN(平滑数据导入!AC$1),0)</f>
        <v>20838.222519980729</v>
      </c>
      <c r="AY34" s="133">
        <f>VLOOKUP(A34,情景假设!$B$48:$S$88,17,0)/情景假设!R$47*AY$13</f>
        <v>20343.378248782839</v>
      </c>
      <c r="AZ34" s="89">
        <f>VLOOKUP($A34,平滑数据导入!$A$1:$AN$61,COLUMN(平滑数据导入!AE$1),0)</f>
        <v>19843.277122386229</v>
      </c>
      <c r="BA34" s="90">
        <f>VLOOKUP($A34,平滑数据导入!$A$1:$AN$61,COLUMN(平滑数据导入!AF$1),0)</f>
        <v>19340.361407316512</v>
      </c>
      <c r="BB34" s="90">
        <f>VLOOKUP($A34,平滑数据导入!$A$1:$AN$61,COLUMN(平滑数据导入!AG$1),0)</f>
        <v>18836.906450874048</v>
      </c>
      <c r="BC34" s="90">
        <f>VLOOKUP($A34,平滑数据导入!$A$1:$AN$61,COLUMN(平滑数据导入!AH$1),0)</f>
        <v>18335.017465748981</v>
      </c>
      <c r="BD34" s="101">
        <f>VLOOKUP($A34,平滑数据导入!$A$1:$AN$61,COLUMN(平滑数据导入!AI$1),0)</f>
        <v>17836.62862699727</v>
      </c>
      <c r="BE34" s="90">
        <f>VLOOKUP($A34,平滑数据导入!$A$1:$AN$61,COLUMN(平滑数据导入!AJ$1),0)</f>
        <v>17343.50423395446</v>
      </c>
      <c r="BF34" s="90">
        <f>VLOOKUP($A34,平滑数据导入!$A$1:$AN$61,COLUMN(平滑数据导入!AK$1),0)</f>
        <v>16857.241687336558</v>
      </c>
      <c r="BG34" s="90">
        <f>VLOOKUP($A34,平滑数据导入!$A$1:$AN$61,COLUMN(平滑数据导入!AL$1),0)</f>
        <v>16379.2760347329</v>
      </c>
      <c r="BH34" s="90">
        <f>VLOOKUP($A34,平滑数据导入!$A$1:$AN$61,COLUMN(平滑数据导入!AM$1),0)</f>
        <v>15910.88584511957</v>
      </c>
      <c r="BI34" s="133">
        <f>VLOOKUP(A34,情景假设!$B$48:$S$88,18,0)/情景假设!S$47*BI$13</f>
        <v>15453.200184102305</v>
      </c>
    </row>
    <row r="35" spans="1:61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f>'增加值 (2001-2022, 当年价) '!I35*I$77</f>
        <v>3511.6514206275415</v>
      </c>
      <c r="J35" s="20">
        <f>'增加值 (2001-2022, 当年价) '!J35*J$77</f>
        <v>3821.5095498952564</v>
      </c>
      <c r="K35" s="21">
        <f>'增加值 (2001-2022, 当年价) '!K35*K$77</f>
        <v>4275.2149454151495</v>
      </c>
      <c r="L35" s="19">
        <f>'增加值 (2001-2022, 当年价) '!L35*L$77</f>
        <v>4843.2978802049302</v>
      </c>
      <c r="M35" s="20">
        <f>'增加值 (2001-2022, 当年价) '!M35*M$77</f>
        <v>5279.3535482292027</v>
      </c>
      <c r="N35" s="20">
        <f>'增加值 (2001-2022, 当年价) '!N35*N$77</f>
        <v>5692.229568301681</v>
      </c>
      <c r="O35" s="20">
        <f>'增加值 (2001-2022, 当年价) '!O35*O$77</f>
        <v>6128.5494472918117</v>
      </c>
      <c r="P35" s="20">
        <f>'增加值 (2001-2022, 当年价) '!P35*P$77</f>
        <v>6389.8065097620865</v>
      </c>
      <c r="Q35" s="19">
        <f>'增加值 (2001-2022, 当年价) '!Q35*Q$77</f>
        <v>6909.1742549297605</v>
      </c>
      <c r="R35" s="20">
        <f>'增加值 (2001-2022, 当年价) '!R35*R$77</f>
        <v>7860.7353543383379</v>
      </c>
      <c r="S35" s="20">
        <f>'增加值 (2001-2022, 当年价) '!S35*S$77</f>
        <v>8586.1343391029313</v>
      </c>
      <c r="T35" s="20">
        <f>'增加值 (2001-2022, 当年价) '!T35*T$77</f>
        <v>8824.8451278281718</v>
      </c>
      <c r="U35" s="21">
        <f>'增加值 (2001-2022, 当年价) '!U35*U$77</f>
        <v>9040.5154886877699</v>
      </c>
      <c r="V35" s="20">
        <f>'增加值 (2001-2022, 当年价) '!V35*V$77</f>
        <v>11747.284288306733</v>
      </c>
      <c r="W35" s="20">
        <f>'增加值 (2001-2022, 当年价) '!W35*W$77</f>
        <v>11527.535972617879</v>
      </c>
      <c r="X35" s="90">
        <f>VLOOKUP($A35,平滑数据导入!$A$1:$AN$61,COLUMN(平滑数据导入!C$1),0)</f>
        <v>12373.25880298162</v>
      </c>
      <c r="Y35" s="90">
        <f>VLOOKUP($A35,平滑数据导入!$A$1:$AN$61,COLUMN(平滑数据导入!D$1),0)</f>
        <v>13238.402832081531</v>
      </c>
      <c r="Z35" s="141">
        <f>VLOOKUP(A35,情景假设!$B$48:$S$88,14,0)/情景假设!O$47*Z$13</f>
        <v>14124.329434170813</v>
      </c>
      <c r="AA35" s="89">
        <f>VLOOKUP($A35,平滑数据导入!$A$1:$AN$61,COLUMN(平滑数据导入!F$1),0)</f>
        <v>15033.416935832931</v>
      </c>
      <c r="AB35" s="90">
        <f>VLOOKUP($A35,平滑数据导入!$A$1:$AN$61,COLUMN(平滑数据导入!G$1),0)</f>
        <v>15969.15919237977</v>
      </c>
      <c r="AC35" s="90">
        <f>VLOOKUP($A35,平滑数据导入!$A$1:$AN$61,COLUMN(平滑数据导入!H$1),0)</f>
        <v>16936.269227219469</v>
      </c>
      <c r="AD35" s="90">
        <f>VLOOKUP($A35,平滑数据导入!$A$1:$AN$61,COLUMN(平滑数据导入!I$1),0)</f>
        <v>17940.794202116049</v>
      </c>
      <c r="AE35" s="133">
        <f>VLOOKUP(A35,情景假设!$B$48:$S$88,15,0)/情景假设!P$47*AE$13</f>
        <v>18990.249194831536</v>
      </c>
      <c r="AF35" s="90">
        <f>VLOOKUP($A35,平滑数据导入!$A$1:$AN$61,COLUMN(平滑数据导入!K$1),0)</f>
        <v>20090.335156518999</v>
      </c>
      <c r="AG35" s="90">
        <f>VLOOKUP($A35,平滑数据导入!$A$1:$AN$61,COLUMN(平滑数据导入!L$1),0)</f>
        <v>21233.223443057799</v>
      </c>
      <c r="AH35" s="90">
        <f>VLOOKUP($A35,平滑数据导入!$A$1:$AN$61,COLUMN(平滑数据导入!M$1),0)</f>
        <v>22405.115527583381</v>
      </c>
      <c r="AI35" s="90">
        <f>VLOOKUP($A35,平滑数据导入!$A$1:$AN$61,COLUMN(平滑数据导入!N$1),0)</f>
        <v>23589.09256256498</v>
      </c>
      <c r="AJ35" s="141">
        <f>VLOOKUP(A35,情景假设!$B$48:$S$88,16,0)/情景假设!Q$47*AJ$13</f>
        <v>24765.00103701332</v>
      </c>
      <c r="AK35" s="89">
        <f>VLOOKUP($A35,平滑数据导入!$A$1:$AN$61,COLUMN(平滑数据导入!P$1),0)</f>
        <v>25912.87954163165</v>
      </c>
      <c r="AL35" s="90">
        <f>VLOOKUP($A35,平滑数据导入!$A$1:$AN$61,COLUMN(平滑数据导入!Q$1),0)</f>
        <v>27024.50800409387</v>
      </c>
      <c r="AM35" s="90">
        <f>VLOOKUP($A35,平滑数据导入!$A$1:$AN$61,COLUMN(平滑数据导入!R$1),0)</f>
        <v>28095.460565708971</v>
      </c>
      <c r="AN35" s="90">
        <f>VLOOKUP($A35,平滑数据导入!$A$1:$AN$61,COLUMN(平滑数据导入!S$1),0)</f>
        <v>29122.067274099962</v>
      </c>
      <c r="AO35" s="101">
        <f>VLOOKUP($A35,平滑数据导入!$A$1:$AN$61,COLUMN(平滑数据导入!T$1),0)</f>
        <v>30101.447244884479</v>
      </c>
      <c r="AP35" s="90">
        <f>VLOOKUP($A35,平滑数据导入!$A$1:$AN$61,COLUMN(平滑数据导入!U$1),0)</f>
        <v>31031.525684782031</v>
      </c>
      <c r="AQ35" s="90">
        <f>VLOOKUP($A35,平滑数据导入!$A$1:$AN$61,COLUMN(平滑数据导入!V$1),0)</f>
        <v>31911.035874970348</v>
      </c>
      <c r="AR35" s="90">
        <f>VLOOKUP($A35,平滑数据导入!$A$1:$AN$61,COLUMN(平滑数据导入!W$1),0)</f>
        <v>32739.507586575091</v>
      </c>
      <c r="AS35" s="90">
        <f>VLOOKUP($A35,平滑数据导入!$A$1:$AN$61,COLUMN(平滑数据导入!X$1),0)</f>
        <v>33517.243686817972</v>
      </c>
      <c r="AT35" s="90">
        <f>VLOOKUP($A35,平滑数据导入!$A$1:$AN$61,COLUMN(平滑数据导入!Y$1),0)</f>
        <v>34245.286894433812</v>
      </c>
      <c r="AU35" s="89">
        <f>VLOOKUP($A35,平滑数据导入!$A$1:$AN$61,COLUMN(平滑数据导入!Z$1),0)</f>
        <v>34925.378760430023</v>
      </c>
      <c r="AV35" s="90">
        <f>VLOOKUP($A35,平滑数据导入!$A$1:$AN$61,COLUMN(平滑数据导入!AA$1),0)</f>
        <v>35559.912992359546</v>
      </c>
      <c r="AW35" s="90">
        <f>VLOOKUP($A35,平滑数据导入!$A$1:$AN$61,COLUMN(平滑数据导入!AB$1),0)</f>
        <v>36151.885216743562</v>
      </c>
      <c r="AX35" s="90">
        <f>VLOOKUP($A35,平滑数据导入!$A$1:$AN$61,COLUMN(平滑数据导入!AC$1),0)</f>
        <v>36704.841196555441</v>
      </c>
      <c r="AY35" s="133">
        <f>VLOOKUP(A35,情景假设!$B$48:$S$88,17,0)/情景假设!R$47*AY$13</f>
        <v>37222.825401127302</v>
      </c>
      <c r="AZ35" s="89">
        <f>VLOOKUP($A35,平滑数据导入!$A$1:$AN$61,COLUMN(平滑数据导入!AE$1),0)</f>
        <v>37710.331677088987</v>
      </c>
      <c r="BA35" s="90">
        <f>VLOOKUP($A35,平滑数据导入!$A$1:$AN$61,COLUMN(平滑数据导入!AF$1),0)</f>
        <v>38172.257603343613</v>
      </c>
      <c r="BB35" s="90">
        <f>VLOOKUP($A35,平滑数据导入!$A$1:$AN$61,COLUMN(平滑数据导入!AG$1),0)</f>
        <v>38613.863942261021</v>
      </c>
      <c r="BC35" s="90">
        <f>VLOOKUP($A35,平滑数据导入!$A$1:$AN$61,COLUMN(平滑数据导入!AH$1),0)</f>
        <v>39040.740433871288</v>
      </c>
      <c r="BD35" s="101">
        <f>VLOOKUP($A35,平滑数据导入!$A$1:$AN$61,COLUMN(平滑数据导入!AI$1),0)</f>
        <v>39458.779029369063</v>
      </c>
      <c r="BE35" s="90">
        <f>VLOOKUP($A35,平滑数据导入!$A$1:$AN$61,COLUMN(平滑数据导入!AJ$1),0)</f>
        <v>39874.155533024481</v>
      </c>
      <c r="BF35" s="90">
        <f>VLOOKUP($A35,平滑数据导入!$A$1:$AN$61,COLUMN(平滑数据导入!AK$1),0)</f>
        <v>40293.320524866867</v>
      </c>
      <c r="BG35" s="90">
        <f>VLOOKUP($A35,平滑数据导入!$A$1:$AN$61,COLUMN(平滑数据导入!AL$1),0)</f>
        <v>40723.000376574579</v>
      </c>
      <c r="BH35" s="90">
        <f>VLOOKUP($A35,平滑数据导入!$A$1:$AN$61,COLUMN(平滑数据导入!AM$1),0)</f>
        <v>41170.209155521188</v>
      </c>
      <c r="BI35" s="133">
        <f>VLOOKUP(A35,情景假设!$B$48:$S$88,18,0)/情景假设!S$47*BI$13</f>
        <v>41642.272242221181</v>
      </c>
    </row>
    <row r="36" spans="1:61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f>'增加值 (2001-2022, 当年价) '!I36*I$77</f>
        <v>859.11546311248117</v>
      </c>
      <c r="J36" s="20">
        <f>'增加值 (2001-2022, 当年价) '!J36*J$77</f>
        <v>897.45936104525651</v>
      </c>
      <c r="K36" s="21">
        <f>'增加值 (2001-2022, 当年价) '!K36*K$77</f>
        <v>968.27646768736281</v>
      </c>
      <c r="L36" s="19">
        <f>'增加值 (2001-2022, 当年价) '!L36*L$77</f>
        <v>1032.7418508640769</v>
      </c>
      <c r="M36" s="20">
        <f>'增加值 (2001-2022, 当年价) '!M36*M$77</f>
        <v>1111.9581986161706</v>
      </c>
      <c r="N36" s="20">
        <f>'增加值 (2001-2022, 当年价) '!N36*N$77</f>
        <v>1165.1176258004402</v>
      </c>
      <c r="O36" s="20">
        <f>'增加值 (2001-2022, 当年价) '!O36*O$77</f>
        <v>1211.9788518565749</v>
      </c>
      <c r="P36" s="20">
        <f>'增加值 (2001-2022, 当年价) '!P36*P$77</f>
        <v>1278.5924910259603</v>
      </c>
      <c r="Q36" s="19">
        <f>'增加值 (2001-2022, 当年价) '!Q36*Q$77</f>
        <v>1323.8726547695678</v>
      </c>
      <c r="R36" s="20">
        <f>'增加值 (2001-2022, 当年价) '!R36*R$77</f>
        <v>1417.7596020439064</v>
      </c>
      <c r="S36" s="20">
        <f>'增加值 (2001-2022, 当年价) '!S36*S$77</f>
        <v>1518.9474356656292</v>
      </c>
      <c r="T36" s="20">
        <f>'增加值 (2001-2022, 当年价) '!T36*T$77</f>
        <v>1638.7965466907137</v>
      </c>
      <c r="U36" s="21">
        <f>'增加值 (2001-2022, 当年价) '!U36*U$77</f>
        <v>1620.1904872999933</v>
      </c>
      <c r="V36" s="20">
        <f>'增加值 (2001-2022, 当年价) '!V36*V$77</f>
        <v>1808.38361047637</v>
      </c>
      <c r="W36" s="20">
        <f>'增加值 (2001-2022, 当年价) '!W36*W$77</f>
        <v>1857.221055664822</v>
      </c>
      <c r="X36" s="90">
        <f>VLOOKUP($A36,平滑数据导入!$A$1:$AN$61,COLUMN(平滑数据导入!C$1),0)</f>
        <v>1894.763309421377</v>
      </c>
      <c r="Y36" s="90">
        <f>VLOOKUP($A36,平滑数据导入!$A$1:$AN$61,COLUMN(平滑数据导入!D$1),0)</f>
        <v>1926.37474566893</v>
      </c>
      <c r="Z36" s="141">
        <f>VLOOKUP(A36,情景假设!$B$48:$S$88,14,0)/情景假设!O$47*Z$13</f>
        <v>1952.6218699508518</v>
      </c>
      <c r="AA36" s="89">
        <f>VLOOKUP($A36,平滑数据导入!$A$1:$AN$61,COLUMN(平滑数据导入!F$1),0)</f>
        <v>1974.168450164326</v>
      </c>
      <c r="AB36" s="90">
        <f>VLOOKUP($A36,平滑数据导入!$A$1:$AN$61,COLUMN(平滑数据导入!G$1),0)</f>
        <v>1991.7557096118351</v>
      </c>
      <c r="AC36" s="90">
        <f>VLOOKUP($A36,平滑数据导入!$A$1:$AN$61,COLUMN(平滑数据导入!H$1),0)</f>
        <v>2006.184459217227</v>
      </c>
      <c r="AD36" s="90">
        <f>VLOOKUP($A36,平滑数据导入!$A$1:$AN$61,COLUMN(平滑数据导入!I$1),0)</f>
        <v>2018.29991303835</v>
      </c>
      <c r="AE36" s="133">
        <f>VLOOKUP(A36,情景假设!$B$48:$S$88,15,0)/情景假设!P$47*AE$13</f>
        <v>2028.9797424995872</v>
      </c>
      <c r="AF36" s="90">
        <f>VLOOKUP($A36,平滑数据导入!$A$1:$AN$61,COLUMN(平滑数据导入!K$1),0)</f>
        <v>2038.8522798695219</v>
      </c>
      <c r="AG36" s="90">
        <f>VLOOKUP($A36,平滑数据导入!$A$1:$AN$61,COLUMN(平滑数据导入!L$1),0)</f>
        <v>2047.4613875102741</v>
      </c>
      <c r="AH36" s="90">
        <f>VLOOKUP($A36,平滑数据导入!$A$1:$AN$61,COLUMN(平滑数据导入!M$1),0)</f>
        <v>2054.0698414011808</v>
      </c>
      <c r="AI36" s="90">
        <f>VLOOKUP($A36,平滑数据导入!$A$1:$AN$61,COLUMN(平滑数据导入!N$1),0)</f>
        <v>2057.935868082393</v>
      </c>
      <c r="AJ36" s="141">
        <f>VLOOKUP(A36,情景假设!$B$48:$S$88,16,0)/情景假设!Q$47*AJ$13</f>
        <v>2058.32158997017</v>
      </c>
      <c r="AK36" s="89">
        <f>VLOOKUP($A36,平滑数据导入!$A$1:$AN$61,COLUMN(平滑数据导入!P$1),0)</f>
        <v>2054.6495283234271</v>
      </c>
      <c r="AL36" s="90">
        <f>VLOOKUP($A36,平滑数据导入!$A$1:$AN$61,COLUMN(平滑数据导入!Q$1),0)</f>
        <v>2046.947840998123</v>
      </c>
      <c r="AM36" s="90">
        <f>VLOOKUP($A36,平滑数据导入!$A$1:$AN$61,COLUMN(平滑数据导入!R$1),0)</f>
        <v>2035.412420634967</v>
      </c>
      <c r="AN36" s="90">
        <f>VLOOKUP($A36,平滑数据导入!$A$1:$AN$61,COLUMN(平滑数据导入!S$1),0)</f>
        <v>2020.257858733401</v>
      </c>
      <c r="AO36" s="101">
        <f>VLOOKUP($A36,平滑数据导入!$A$1:$AN$61,COLUMN(平滑数据导入!T$1),0)</f>
        <v>2001.714107122566</v>
      </c>
      <c r="AP36" s="90">
        <f>VLOOKUP($A36,平滑数据导入!$A$1:$AN$61,COLUMN(平滑数据导入!U$1),0)</f>
        <v>1980.023184972481</v>
      </c>
      <c r="AQ36" s="90">
        <f>VLOOKUP($A36,平滑数据导入!$A$1:$AN$61,COLUMN(平滑数据导入!V$1),0)</f>
        <v>1955.435981218993</v>
      </c>
      <c r="AR36" s="90">
        <f>VLOOKUP($A36,平滑数据导入!$A$1:$AN$61,COLUMN(平滑数据导入!W$1),0)</f>
        <v>1928.209195710227</v>
      </c>
      <c r="AS36" s="90">
        <f>VLOOKUP($A36,平滑数据导入!$A$1:$AN$61,COLUMN(平滑数据导入!X$1),0)</f>
        <v>1898.6024555253109</v>
      </c>
      <c r="AT36" s="90">
        <f>VLOOKUP($A36,平滑数据导入!$A$1:$AN$61,COLUMN(平滑数据导入!Y$1),0)</f>
        <v>1866.8756359793599</v>
      </c>
      <c r="AU36" s="89">
        <f>VLOOKUP($A36,平滑数据导入!$A$1:$AN$61,COLUMN(平滑数据导入!Z$1),0)</f>
        <v>1833.28640899884</v>
      </c>
      <c r="AV36" s="90">
        <f>VLOOKUP($A36,平滑数据导入!$A$1:$AN$61,COLUMN(平滑数据导入!AA$1),0)</f>
        <v>1798.0880349889751</v>
      </c>
      <c r="AW36" s="90">
        <f>VLOOKUP($A36,平滑数据导入!$A$1:$AN$61,COLUMN(平滑数据导入!AB$1),0)</f>
        <v>1761.527408152336</v>
      </c>
      <c r="AX36" s="90">
        <f>VLOOKUP($A36,平滑数据导入!$A$1:$AN$61,COLUMN(平滑数据导入!AC$1),0)</f>
        <v>1723.8433595589161</v>
      </c>
      <c r="AY36" s="133">
        <f>VLOOKUP(A36,情景假设!$B$48:$S$88,17,0)/情景假设!R$47*AY$13</f>
        <v>1685.2652171887594</v>
      </c>
      <c r="AZ36" s="89">
        <f>VLOOKUP($A36,平滑数据导入!$A$1:$AN$61,COLUMN(平滑数据导入!AE$1),0)</f>
        <v>1646.0116177187761</v>
      </c>
      <c r="BA36" s="90">
        <f>VLOOKUP($A36,平滑数据导入!$A$1:$AN$61,COLUMN(平滑数据导入!AF$1),0)</f>
        <v>1606.289561030889</v>
      </c>
      <c r="BB36" s="90">
        <f>VLOOKUP($A36,平滑数据导入!$A$1:$AN$61,COLUMN(平滑数据导入!AG$1),0)</f>
        <v>1566.293695284199</v>
      </c>
      <c r="BC36" s="90">
        <f>VLOOKUP($A36,平滑数据导入!$A$1:$AN$61,COLUMN(平滑数据导入!AH$1),0)</f>
        <v>1526.2058179051789</v>
      </c>
      <c r="BD36" s="101">
        <f>VLOOKUP($A36,平滑数据导入!$A$1:$AN$61,COLUMN(平滑数据导入!AI$1),0)</f>
        <v>1486.1945759781861</v>
      </c>
      <c r="BE36" s="90">
        <f>VLOOKUP($A36,平滑数据导入!$A$1:$AN$61,COLUMN(平滑数据导入!AJ$1),0)</f>
        <v>1446.415348222999</v>
      </c>
      <c r="BF36" s="90">
        <f>VLOOKUP($A36,平滑数据导入!$A$1:$AN$61,COLUMN(平滑数据导入!AK$1),0)</f>
        <v>1407.010289976535</v>
      </c>
      <c r="BG36" s="90">
        <f>VLOOKUP($A36,平滑数据导入!$A$1:$AN$61,COLUMN(平滑数据导入!AL$1),0)</f>
        <v>1368.1085222967411</v>
      </c>
      <c r="BH36" s="90">
        <f>VLOOKUP($A36,平滑数据导入!$A$1:$AN$61,COLUMN(平滑数据导入!AM$1),0)</f>
        <v>1329.826446418253</v>
      </c>
      <c r="BI36" s="133">
        <f>VLOOKUP(A36,情景假设!$B$48:$S$88,18,0)/情景假设!S$47*BI$13</f>
        <v>1292.2681652513131</v>
      </c>
    </row>
    <row r="37" spans="1:61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f>'增加值 (2001-2022, 当年价) '!I37*I$77</f>
        <v>3912.843412564428</v>
      </c>
      <c r="J37" s="20">
        <f>'增加值 (2001-2022, 当年价) '!J37*J$77</f>
        <v>4156.1000193668242</v>
      </c>
      <c r="K37" s="21">
        <f>'增加值 (2001-2022, 当年价) '!K37*K$77</f>
        <v>4742.3585227380972</v>
      </c>
      <c r="L37" s="19">
        <f>'增加值 (2001-2022, 当年价) '!L37*L$77</f>
        <v>5142.3942297148078</v>
      </c>
      <c r="M37" s="20">
        <f>'增加值 (2001-2022, 当年价) '!M37*M$77</f>
        <v>5389.9751928362684</v>
      </c>
      <c r="N37" s="20">
        <f>'增加值 (2001-2022, 当年价) '!N37*N$77</f>
        <v>5668.1350044047631</v>
      </c>
      <c r="O37" s="20">
        <f>'增加值 (2001-2022, 当年价) '!O37*O$77</f>
        <v>5901.5425448805636</v>
      </c>
      <c r="P37" s="20">
        <f>'增加值 (2001-2022, 当年价) '!P37*P$77</f>
        <v>6041.1456642093499</v>
      </c>
      <c r="Q37" s="19">
        <f>'增加值 (2001-2022, 当年价) '!Q37*Q$77</f>
        <v>6343.5191773229117</v>
      </c>
      <c r="R37" s="20">
        <f>'增加值 (2001-2022, 当年价) '!R37*R$77</f>
        <v>6825.4963629283529</v>
      </c>
      <c r="S37" s="20">
        <f>'增加值 (2001-2022, 当年价) '!S37*S$77</f>
        <v>7013.6132378289603</v>
      </c>
      <c r="T37" s="20">
        <f>'增加值 (2001-2022, 当年价) '!T37*T$77</f>
        <v>7086.8836785019421</v>
      </c>
      <c r="U37" s="21">
        <f>'增加值 (2001-2022, 当年价) '!U37*U$77</f>
        <v>6979.0004205387331</v>
      </c>
      <c r="V37" s="20">
        <f>'增加值 (2001-2022, 当年价) '!V37*V$77</f>
        <v>7724.2476257787857</v>
      </c>
      <c r="W37" s="20">
        <f>'增加值 (2001-2022, 当年价) '!W37*W$77</f>
        <v>7705.3000762763377</v>
      </c>
      <c r="X37" s="90">
        <f>VLOOKUP($A37,平滑数据导入!$A$1:$AN$61,COLUMN(平滑数据导入!C$1),0)</f>
        <v>7736.0273775471805</v>
      </c>
      <c r="Y37" s="90">
        <f>VLOOKUP($A37,平滑数据导入!$A$1:$AN$61,COLUMN(平滑数据导入!D$1),0)</f>
        <v>7777.3309549576052</v>
      </c>
      <c r="Z37" s="141">
        <f>VLOOKUP(A37,情景假设!$B$48:$S$88,14,0)/情景假设!O$47*Z$13</f>
        <v>7826.5416213101062</v>
      </c>
      <c r="AA37" s="89">
        <f>VLOOKUP($A37,平滑数据导入!$A$1:$AN$61,COLUMN(平滑数据导入!F$1),0)</f>
        <v>7880.9496113232462</v>
      </c>
      <c r="AB37" s="90">
        <f>VLOOKUP($A37,平滑数据导入!$A$1:$AN$61,COLUMN(平滑数据导入!G$1),0)</f>
        <v>7937.7813336185673</v>
      </c>
      <c r="AC37" s="90">
        <f>VLOOKUP($A37,平滑数据导入!$A$1:$AN$61,COLUMN(平滑数据导入!H$1),0)</f>
        <v>7994.1857622409934</v>
      </c>
      <c r="AD37" s="90">
        <f>VLOOKUP($A37,平滑数据导入!$A$1:$AN$61,COLUMN(平滑数据导入!I$1),0)</f>
        <v>8047.2308707805123</v>
      </c>
      <c r="AE37" s="133">
        <f>VLOOKUP(A37,情景假设!$B$48:$S$88,15,0)/情景假设!P$47*AE$13</f>
        <v>8093.9105980840595</v>
      </c>
      <c r="AF37" s="90">
        <f>VLOOKUP($A37,平滑数据导入!$A$1:$AN$61,COLUMN(平滑数据导入!K$1),0)</f>
        <v>8131.4147080450648</v>
      </c>
      <c r="AG37" s="90">
        <f>VLOOKUP($A37,平滑数据导入!$A$1:$AN$61,COLUMN(平滑数据导入!L$1),0)</f>
        <v>8157.9201267006083</v>
      </c>
      <c r="AH37" s="90">
        <f>VLOOKUP($A37,平滑数据导入!$A$1:$AN$61,COLUMN(平滑数据导入!M$1),0)</f>
        <v>8171.8753657731086</v>
      </c>
      <c r="AI37" s="90">
        <f>VLOOKUP($A37,平滑数据导入!$A$1:$AN$61,COLUMN(平滑数据导入!N$1),0)</f>
        <v>8171.7728269031504</v>
      </c>
      <c r="AJ37" s="141">
        <f>VLOOKUP(A37,情景假设!$B$48:$S$88,16,0)/情景假设!Q$47*AJ$13</f>
        <v>8156.1727939969487</v>
      </c>
      <c r="AK37" s="89">
        <f>VLOOKUP($A37,平滑数据导入!$A$1:$AN$61,COLUMN(平滑数据导入!P$1),0)</f>
        <v>8124.0920963883664</v>
      </c>
      <c r="AL37" s="90">
        <f>VLOOKUP($A37,平滑数据导入!$A$1:$AN$61,COLUMN(平滑数据导入!Q$1),0)</f>
        <v>8076.1020042031096</v>
      </c>
      <c r="AM37" s="90">
        <f>VLOOKUP($A37,平滑数据导入!$A$1:$AN$61,COLUMN(平滑数据导入!R$1),0)</f>
        <v>8013.2174527103016</v>
      </c>
      <c r="AN37" s="90">
        <f>VLOOKUP($A37,平滑数据导入!$A$1:$AN$61,COLUMN(平滑数据导入!S$1),0)</f>
        <v>7936.5155837635848</v>
      </c>
      <c r="AO37" s="101">
        <f>VLOOKUP($A37,平滑数据导入!$A$1:$AN$61,COLUMN(平滑数据导入!T$1),0)</f>
        <v>7847.1195367652899</v>
      </c>
      <c r="AP37" s="90">
        <f>VLOOKUP($A37,平滑数据导入!$A$1:$AN$61,COLUMN(平滑数据导入!U$1),0)</f>
        <v>7746.1829628734949</v>
      </c>
      <c r="AQ37" s="90">
        <f>VLOOKUP($A37,平滑数据导入!$A$1:$AN$61,COLUMN(平滑数据导入!V$1),0)</f>
        <v>7634.8754698303655</v>
      </c>
      <c r="AR37" s="90">
        <f>VLOOKUP($A37,平滑数据导入!$A$1:$AN$61,COLUMN(平滑数据导入!W$1),0)</f>
        <v>7514.3691630818812</v>
      </c>
      <c r="AS37" s="90">
        <f>VLOOKUP($A37,平滑数据导入!$A$1:$AN$61,COLUMN(平滑数据导入!X$1),0)</f>
        <v>7385.8264079763612</v>
      </c>
      <c r="AT37" s="90">
        <f>VLOOKUP($A37,平滑数据导入!$A$1:$AN$61,COLUMN(平滑数据导入!Y$1),0)</f>
        <v>7250.3888988310036</v>
      </c>
      <c r="AU37" s="89">
        <f>VLOOKUP($A37,平滑数据导入!$A$1:$AN$61,COLUMN(平滑数据导入!Z$1),0)</f>
        <v>7109.1680843859131</v>
      </c>
      <c r="AV37" s="90">
        <f>VLOOKUP($A37,平滑数据导入!$A$1:$AN$61,COLUMN(平滑数据导入!AA$1),0)</f>
        <v>6963.2369662736837</v>
      </c>
      <c r="AW37" s="90">
        <f>VLOOKUP($A37,平滑数据导入!$A$1:$AN$61,COLUMN(平滑数据导入!AB$1),0)</f>
        <v>6813.6232580655796</v>
      </c>
      <c r="AX37" s="90">
        <f>VLOOKUP($A37,平滑数据导入!$A$1:$AN$61,COLUMN(平滑数据导入!AC$1),0)</f>
        <v>6661.3038674782138</v>
      </c>
      <c r="AY37" s="133">
        <f>VLOOKUP(A37,情景假设!$B$48:$S$88,17,0)/情景假设!R$47*AY$13</f>
        <v>6507.2006435426056</v>
      </c>
      <c r="AZ37" s="89">
        <f>VLOOKUP($A37,平滑数据导入!$A$1:$AN$61,COLUMN(平滑数据导入!AE$1),0)</f>
        <v>6352.177313909553</v>
      </c>
      <c r="BA37" s="90">
        <f>VLOOKUP($A37,平滑数据导入!$A$1:$AN$61,COLUMN(平滑数据导入!AF$1),0)</f>
        <v>6197.0375248374039</v>
      </c>
      <c r="BB37" s="90">
        <f>VLOOKUP($A37,平滑数据导入!$A$1:$AN$61,COLUMN(平滑数据导入!AG$1),0)</f>
        <v>6042.5238875321966</v>
      </c>
      <c r="BC37" s="90">
        <f>VLOOKUP($A37,平滑数据导入!$A$1:$AN$61,COLUMN(平滑数据导入!AH$1),0)</f>
        <v>5889.3179290655053</v>
      </c>
      <c r="BD37" s="101">
        <f>VLOOKUP($A37,平滑数据导入!$A$1:$AN$61,COLUMN(平滑数据导入!AI$1),0)</f>
        <v>5738.0408437208171</v>
      </c>
      <c r="BE37" s="90">
        <f>VLOOKUP($A37,平滑数据导入!$A$1:$AN$61,COLUMN(平滑数据导入!AJ$1),0)</f>
        <v>5589.2549409166841</v>
      </c>
      <c r="BF37" s="90">
        <f>VLOOKUP($A37,平滑数据导入!$A$1:$AN$61,COLUMN(平滑数据导入!AK$1),0)</f>
        <v>5443.465688426254</v>
      </c>
      <c r="BG37" s="90">
        <f>VLOOKUP($A37,平滑数据导入!$A$1:$AN$61,COLUMN(平滑数据导入!AL$1),0)</f>
        <v>5301.1242540573758</v>
      </c>
      <c r="BH37" s="90">
        <f>VLOOKUP($A37,平滑数据导入!$A$1:$AN$61,COLUMN(平滑数据导入!AM$1),0)</f>
        <v>5162.6304548940661</v>
      </c>
      <c r="BI37" s="133">
        <f>VLOOKUP(A37,情景假设!$B$48:$S$88,18,0)/情景假设!S$47*BI$13</f>
        <v>5028.3360302759274</v>
      </c>
    </row>
    <row r="38" spans="1:61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f>'增加值 (2001-2022, 当年价) '!I38*I$77</f>
        <v>7040.9466027408052</v>
      </c>
      <c r="J38" s="20">
        <f>'增加值 (2001-2022, 当年价) '!J38*J$77</f>
        <v>7655.5452891847908</v>
      </c>
      <c r="K38" s="21">
        <f>'增加值 (2001-2022, 当年价) '!K38*K$77</f>
        <v>8943.5982804812429</v>
      </c>
      <c r="L38" s="19">
        <f>'增加值 (2001-2022, 当年价) '!L38*L$77</f>
        <v>10174.976314224867</v>
      </c>
      <c r="M38" s="20">
        <f>'增加值 (2001-2022, 当年价) '!M38*M$77</f>
        <v>10771.402974474928</v>
      </c>
      <c r="N38" s="20">
        <f>'增加值 (2001-2022, 当年价) '!N38*N$77</f>
        <v>11409.140798552264</v>
      </c>
      <c r="O38" s="20">
        <f>'增加值 (2001-2022, 当年价) '!O38*O$77</f>
        <v>11955.524478496358</v>
      </c>
      <c r="P38" s="20">
        <f>'增加值 (2001-2022, 当年价) '!P38*P$77</f>
        <v>12079.54459046289</v>
      </c>
      <c r="Q38" s="19">
        <f>'增加值 (2001-2022, 当年价) '!Q38*Q$77</f>
        <v>12554.483415290128</v>
      </c>
      <c r="R38" s="20">
        <f>'增加值 (2001-2022, 当年价) '!R38*R$77</f>
        <v>13177.964146395359</v>
      </c>
      <c r="S38" s="20">
        <f>'增加值 (2001-2022, 当年价) '!S38*S$77</f>
        <v>13724.858717022513</v>
      </c>
      <c r="T38" s="20">
        <f>'增加值 (2001-2022, 当年价) '!T38*T$77</f>
        <v>14410.796017860417</v>
      </c>
      <c r="U38" s="21">
        <f>'增加值 (2001-2022, 当年价) '!U38*U$77</f>
        <v>14330.826150726112</v>
      </c>
      <c r="V38" s="20">
        <f>'增加值 (2001-2022, 当年价) '!V38*V$77</f>
        <v>16114.79117583528</v>
      </c>
      <c r="W38" s="20">
        <f>'增加值 (2001-2022, 当年价) '!W38*W$77</f>
        <v>16124.371416167727</v>
      </c>
      <c r="X38" s="90">
        <f>VLOOKUP($A38,平滑数据导入!$A$1:$AN$61,COLUMN(平滑数据导入!C$1),0)</f>
        <v>16272.944571634311</v>
      </c>
      <c r="Y38" s="90">
        <f>VLOOKUP($A38,平滑数据导入!$A$1:$AN$61,COLUMN(平滑数据导入!D$1),0)</f>
        <v>16396.780934476908</v>
      </c>
      <c r="Z38" s="141">
        <f>VLOOKUP(A38,情景假设!$B$48:$S$88,14,0)/情景假设!O$47*Z$13</f>
        <v>16498.081980858467</v>
      </c>
      <c r="AA38" s="89">
        <f>VLOOKUP($A38,平滑数据导入!$A$1:$AN$61,COLUMN(平滑数据导入!F$1),0)</f>
        <v>16579.21830724967</v>
      </c>
      <c r="AB38" s="90">
        <f>VLOOKUP($A38,平滑数据导入!$A$1:$AN$61,COLUMN(平滑数据导入!G$1),0)</f>
        <v>16642.69633924236</v>
      </c>
      <c r="AC38" s="90">
        <f>VLOOKUP($A38,平滑数据导入!$A$1:$AN$61,COLUMN(平滑数据导入!H$1),0)</f>
        <v>16691.12811250109</v>
      </c>
      <c r="AD38" s="90">
        <f>VLOOKUP($A38,平滑数据导入!$A$1:$AN$61,COLUMN(平滑数据导入!I$1),0)</f>
        <v>16727.204661349071</v>
      </c>
      <c r="AE38" s="133">
        <f>VLOOKUP(A38,情景假设!$B$48:$S$88,15,0)/情景假设!P$47*AE$13</f>
        <v>16753.67342497499</v>
      </c>
      <c r="AF38" s="90">
        <f>VLOOKUP($A38,平滑数据导入!$A$1:$AN$61,COLUMN(平滑数据导入!K$1),0)</f>
        <v>16771.97947453137</v>
      </c>
      <c r="AG38" s="90">
        <f>VLOOKUP($A38,平滑数据导入!$A$1:$AN$61,COLUMN(平滑数据导入!L$1),0)</f>
        <v>16778.223276556779</v>
      </c>
      <c r="AH38" s="90">
        <f>VLOOKUP($A38,平滑数据导入!$A$1:$AN$61,COLUMN(平滑数据导入!M$1),0)</f>
        <v>16767.18077722306</v>
      </c>
      <c r="AI38" s="90">
        <f>VLOOKUP($A38,平滑数据导入!$A$1:$AN$61,COLUMN(平滑数据导入!N$1),0)</f>
        <v>16733.685927539351</v>
      </c>
      <c r="AJ38" s="141">
        <f>VLOOKUP(A38,情景假设!$B$48:$S$88,16,0)/情景假设!Q$47*AJ$13</f>
        <v>16672.692069041546</v>
      </c>
      <c r="AK38" s="89">
        <f>VLOOKUP($A38,平滑数据导入!$A$1:$AN$61,COLUMN(平滑数据导入!P$1),0)</f>
        <v>16580.419782769379</v>
      </c>
      <c r="AL38" s="90">
        <f>VLOOKUP($A38,平滑数据导入!$A$1:$AN$61,COLUMN(平滑数据导入!Q$1),0)</f>
        <v>16457.595875212901</v>
      </c>
      <c r="AM38" s="90">
        <f>VLOOKUP($A38,平滑数据导入!$A$1:$AN$61,COLUMN(平滑数据导入!R$1),0)</f>
        <v>16306.164381392529</v>
      </c>
      <c r="AN38" s="90">
        <f>VLOOKUP($A38,平滑数据导入!$A$1:$AN$61,COLUMN(平滑数据导入!S$1),0)</f>
        <v>16128.17621042441</v>
      </c>
      <c r="AO38" s="101">
        <f>VLOOKUP($A38,平滑数据导入!$A$1:$AN$61,COLUMN(平滑数据导入!T$1),0)</f>
        <v>15925.76106339272</v>
      </c>
      <c r="AP38" s="90">
        <f>VLOOKUP($A38,平滑数据导入!$A$1:$AN$61,COLUMN(平滑数据导入!U$1),0)</f>
        <v>15701.100550838781</v>
      </c>
      <c r="AQ38" s="90">
        <f>VLOOKUP($A38,平滑数据导入!$A$1:$AN$61,COLUMN(平滑数据导入!V$1),0)</f>
        <v>15456.402843211979</v>
      </c>
      <c r="AR38" s="90">
        <f>VLOOKUP($A38,平滑数据导入!$A$1:$AN$61,COLUMN(平滑数据导入!W$1),0)</f>
        <v>15193.879124289941</v>
      </c>
      <c r="AS38" s="90">
        <f>VLOOKUP($A38,平滑数据导入!$A$1:$AN$61,COLUMN(平滑数据导入!X$1),0)</f>
        <v>14915.722055109471</v>
      </c>
      <c r="AT38" s="90">
        <f>VLOOKUP($A38,平滑数据导入!$A$1:$AN$61,COLUMN(平滑数据导入!Y$1),0)</f>
        <v>14624.086395880309</v>
      </c>
      <c r="AU38" s="89">
        <f>VLOOKUP($A38,平滑数据导入!$A$1:$AN$61,COLUMN(平滑数据导入!Z$1),0)</f>
        <v>14321.071876939101</v>
      </c>
      <c r="AV38" s="90">
        <f>VLOOKUP($A38,平滑数据导入!$A$1:$AN$61,COLUMN(平滑数据导入!AA$1),0)</f>
        <v>14008.708358022061</v>
      </c>
      <c r="AW38" s="90">
        <f>VLOOKUP($A38,平滑数据导入!$A$1:$AN$61,COLUMN(平滑数据导入!AB$1),0)</f>
        <v>13688.943268719449</v>
      </c>
      <c r="AX38" s="90">
        <f>VLOOKUP($A38,平滑数据导入!$A$1:$AN$61,COLUMN(平滑数据导入!AC$1),0)</f>
        <v>13363.631282383971</v>
      </c>
      <c r="AY38" s="133">
        <f>VLOOKUP(A38,情景假设!$B$48:$S$88,17,0)/情景假设!R$47*AY$13</f>
        <v>13034.526141246362</v>
      </c>
      <c r="AZ38" s="89">
        <f>VLOOKUP($A38,平滑数据导入!$A$1:$AN$61,COLUMN(平滑数据导入!AE$1),0)</f>
        <v>12703.274522081119</v>
      </c>
      <c r="BA38" s="90">
        <f>VLOOKUP($A38,平滑数据导入!$A$1:$AN$61,COLUMN(平滑数据导入!AF$1),0)</f>
        <v>12371.411809327299</v>
      </c>
      <c r="BB38" s="90">
        <f>VLOOKUP($A38,平滑数据导入!$A$1:$AN$61,COLUMN(平滑数据导入!AG$1),0)</f>
        <v>12040.359625826581</v>
      </c>
      <c r="BC38" s="90">
        <f>VLOOKUP($A38,平滑数据导入!$A$1:$AN$61,COLUMN(平滑数据导入!AH$1),0)</f>
        <v>11711.424959903979</v>
      </c>
      <c r="BD38" s="101">
        <f>VLOOKUP($A38,平滑数据导入!$A$1:$AN$61,COLUMN(平滑数据导入!AI$1),0)</f>
        <v>11385.800720909871</v>
      </c>
      <c r="BE38" s="90">
        <f>VLOOKUP($A38,平滑数据导入!$A$1:$AN$61,COLUMN(平滑数据导入!AJ$1),0)</f>
        <v>11064.56755303854</v>
      </c>
      <c r="BF38" s="90">
        <f>VLOOKUP($A38,平滑数据导入!$A$1:$AN$61,COLUMN(平滑数据导入!AK$1),0)</f>
        <v>10748.696738675681</v>
      </c>
      <c r="BG38" s="90">
        <f>VLOOKUP($A38,平滑数据导入!$A$1:$AN$61,COLUMN(平滑数据导入!AL$1),0)</f>
        <v>10439.054027138151</v>
      </c>
      <c r="BH38" s="90">
        <f>VLOOKUP($A38,平滑数据导入!$A$1:$AN$61,COLUMN(平滑数据导入!AM$1),0)</f>
        <v>10136.40423188903</v>
      </c>
      <c r="BI38" s="133">
        <f>VLOOKUP(A38,情景假设!$B$48:$S$88,18,0)/情景假设!S$47*BI$13</f>
        <v>9841.416448606662</v>
      </c>
    </row>
    <row r="39" spans="1:61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f>'增加值 (2001-2022, 当年价) '!I39*I$77</f>
        <v>13264.987048692667</v>
      </c>
      <c r="J39" s="20">
        <f>'增加值 (2001-2022, 当年价) '!J39*J$77</f>
        <v>13819.304430255745</v>
      </c>
      <c r="K39" s="21">
        <f>'增加值 (2001-2022, 当年价) '!K39*K$77</f>
        <v>14976.864655730458</v>
      </c>
      <c r="L39" s="19">
        <f>'增加值 (2001-2022, 当年价) '!L39*L$77</f>
        <v>15786.903470652162</v>
      </c>
      <c r="M39" s="20">
        <f>'增加值 (2001-2022, 当年价) '!M39*M$77</f>
        <v>16456.790947555692</v>
      </c>
      <c r="N39" s="20">
        <f>'增加值 (2001-2022, 当年价) '!N39*N$77</f>
        <v>17181.008126219454</v>
      </c>
      <c r="O39" s="20">
        <f>'增加值 (2001-2022, 当年价) '!O39*O$77</f>
        <v>17493.177034157219</v>
      </c>
      <c r="P39" s="20">
        <f>'增加值 (2001-2022, 当年价) '!P39*P$77</f>
        <v>17492.086758347235</v>
      </c>
      <c r="Q39" s="19">
        <f>'增加值 (2001-2022, 当年价) '!Q39*Q$77</f>
        <v>16780.071954247866</v>
      </c>
      <c r="R39" s="20">
        <f>'增加值 (2001-2022, 当年价) '!R39*R$77</f>
        <v>17035.915204217312</v>
      </c>
      <c r="S39" s="20">
        <f>'增加值 (2001-2022, 当年价) '!S39*S$77</f>
        <v>18150.020662910723</v>
      </c>
      <c r="T39" s="20">
        <f>'增加值 (2001-2022, 当年价) '!T39*T$77</f>
        <v>19232.114006129876</v>
      </c>
      <c r="U39" s="21">
        <f>'增加值 (2001-2022, 当年价) '!U39*U$77</f>
        <v>19850.963290163178</v>
      </c>
      <c r="V39" s="20">
        <f>'增加值 (2001-2022, 当年价) '!V39*V$77</f>
        <v>20916.634028655993</v>
      </c>
      <c r="W39" s="20">
        <f>'增加值 (2001-2022, 当年价) '!W39*W$77</f>
        <v>21502.759178911721</v>
      </c>
      <c r="X39" s="90">
        <f>VLOOKUP($A39,平滑数据导入!$A$1:$AN$61,COLUMN(平滑数据导入!C$1),0)</f>
        <v>21694.901780629611</v>
      </c>
      <c r="Y39" s="90">
        <f>VLOOKUP($A39,平滑数据导入!$A$1:$AN$61,COLUMN(平滑数据导入!D$1),0)</f>
        <v>21855.012864003911</v>
      </c>
      <c r="Z39" s="141">
        <f>VLOOKUP(A39,情景假设!$B$48:$S$88,14,0)/情景假设!O$47*Z$13</f>
        <v>21985.911848268199</v>
      </c>
      <c r="AA39" s="89">
        <f>VLOOKUP($A39,平滑数据导入!$A$1:$AN$61,COLUMN(平滑数据导入!F$1),0)</f>
        <v>22090.629548991139</v>
      </c>
      <c r="AB39" s="90">
        <f>VLOOKUP($A39,平滑数据导入!$A$1:$AN$61,COLUMN(平滑数据导入!G$1),0)</f>
        <v>22172.366798312079</v>
      </c>
      <c r="AC39" s="90">
        <f>VLOOKUP($A39,平滑数据导入!$A$1:$AN$61,COLUMN(平滑数据导入!H$1),0)</f>
        <v>22234.456828702041</v>
      </c>
      <c r="AD39" s="90">
        <f>VLOOKUP($A39,平滑数据导入!$A$1:$AN$61,COLUMN(平滑数据导入!I$1),0)</f>
        <v>22280.332064909591</v>
      </c>
      <c r="AE39" s="133">
        <f>VLOOKUP(A39,情景假设!$B$48:$S$88,15,0)/情景假设!P$47*AE$13</f>
        <v>22313.495819007916</v>
      </c>
      <c r="AF39" s="90">
        <f>VLOOKUP($A39,平滑数据导入!$A$1:$AN$61,COLUMN(平滑数据导入!K$1),0)</f>
        <v>22335.744980118969</v>
      </c>
      <c r="AG39" s="90">
        <f>VLOOKUP($A39,平滑数据导入!$A$1:$AN$61,COLUMN(平滑数据导入!L$1),0)</f>
        <v>22341.8819616855</v>
      </c>
      <c r="AH39" s="90">
        <f>VLOOKUP($A39,平滑数据导入!$A$1:$AN$61,COLUMN(平滑数据导入!M$1),0)</f>
        <v>22324.978695556361</v>
      </c>
      <c r="AI39" s="90">
        <f>VLOOKUP($A39,平滑数据导入!$A$1:$AN$61,COLUMN(平滑数据导入!N$1),0)</f>
        <v>22278.187166692311</v>
      </c>
      <c r="AJ39" s="141">
        <f>VLOOKUP(A39,情景假设!$B$48:$S$88,16,0)/情景假设!Q$47*AJ$13</f>
        <v>22194.820854591362</v>
      </c>
      <c r="AK39" s="89">
        <f>VLOOKUP($A39,平滑数据导入!$A$1:$AN$61,COLUMN(平滑数据导入!P$1),0)</f>
        <v>22069.878669094371</v>
      </c>
      <c r="AL39" s="90">
        <f>VLOOKUP($A39,平滑数据导入!$A$1:$AN$61,COLUMN(平滑数据导入!Q$1),0)</f>
        <v>21904.344353154102</v>
      </c>
      <c r="AM39" s="90">
        <f>VLOOKUP($A39,平滑数据导入!$A$1:$AN$61,COLUMN(平滑数据导入!R$1),0)</f>
        <v>21700.817121925749</v>
      </c>
      <c r="AN39" s="90">
        <f>VLOOKUP($A39,平滑数据导入!$A$1:$AN$61,COLUMN(平滑数据导入!S$1),0)</f>
        <v>21462.036888001549</v>
      </c>
      <c r="AO39" s="101">
        <f>VLOOKUP($A39,平滑数据导入!$A$1:$AN$61,COLUMN(平滑数据导入!T$1),0)</f>
        <v>21190.846863987179</v>
      </c>
      <c r="AP39" s="90">
        <f>VLOOKUP($A39,平滑数据导入!$A$1:$AN$61,COLUMN(平滑数据导入!U$1),0)</f>
        <v>20890.1577892858</v>
      </c>
      <c r="AQ39" s="90">
        <f>VLOOKUP($A39,平滑数据导入!$A$1:$AN$61,COLUMN(平滑数据导入!V$1),0)</f>
        <v>20562.91422204323</v>
      </c>
      <c r="AR39" s="90">
        <f>VLOOKUP($A39,平滑数据导入!$A$1:$AN$61,COLUMN(平滑数据导入!W$1),0)</f>
        <v>20212.063252626871</v>
      </c>
      <c r="AS39" s="90">
        <f>VLOOKUP($A39,平滑数据导入!$A$1:$AN$61,COLUMN(平滑数据导入!X$1),0)</f>
        <v>19840.52591169942</v>
      </c>
      <c r="AT39" s="90">
        <f>VLOOKUP($A39,平滑数据导入!$A$1:$AN$61,COLUMN(平滑数据导入!Y$1),0)</f>
        <v>19451.17146593042</v>
      </c>
      <c r="AU39" s="89">
        <f>VLOOKUP($A39,平滑数据导入!$A$1:$AN$61,COLUMN(平滑数据导入!Z$1),0)</f>
        <v>19046.794719322879</v>
      </c>
      <c r="AV39" s="90">
        <f>VLOOKUP($A39,平滑数据导入!$A$1:$AN$61,COLUMN(平滑数据导入!AA$1),0)</f>
        <v>18630.09636932088</v>
      </c>
      <c r="AW39" s="90">
        <f>VLOOKUP($A39,平滑数据导入!$A$1:$AN$61,COLUMN(平滑数据导入!AB$1),0)</f>
        <v>18203.66640525014</v>
      </c>
      <c r="AX39" s="90">
        <f>VLOOKUP($A39,平滑数据导入!$A$1:$AN$61,COLUMN(平滑数据导入!AC$1),0)</f>
        <v>17769.970482840072</v>
      </c>
      <c r="AY39" s="133">
        <f>VLOOKUP(A39,情景假设!$B$48:$S$88,17,0)/情景假设!R$47*AY$13</f>
        <v>17331.339162890712</v>
      </c>
      <c r="AZ39" s="89">
        <f>VLOOKUP($A39,平滑数据导入!$A$1:$AN$61,COLUMN(平滑数据导入!AE$1),0)</f>
        <v>16889.959864618711</v>
      </c>
      <c r="BA39" s="90">
        <f>VLOOKUP($A39,平滑数据导入!$A$1:$AN$61,COLUMN(平滑数据导入!AF$1),0)</f>
        <v>16447.871354653718</v>
      </c>
      <c r="BB39" s="90">
        <f>VLOOKUP($A39,平滑数据导入!$A$1:$AN$61,COLUMN(平滑数据导入!AG$1),0)</f>
        <v>16006.960570677091</v>
      </c>
      <c r="BC39" s="90">
        <f>VLOOKUP($A39,平滑数据导入!$A$1:$AN$61,COLUMN(平滑数据导入!AH$1),0)</f>
        <v>15568.96156377541</v>
      </c>
      <c r="BD39" s="101">
        <f>VLOOKUP($A39,平滑数据导入!$A$1:$AN$61,COLUMN(平滑数据导入!AI$1),0)</f>
        <v>15135.4563350763</v>
      </c>
      <c r="BE39" s="90">
        <f>VLOOKUP($A39,平滑数据导入!$A$1:$AN$61,COLUMN(平滑数据导入!AJ$1),0)</f>
        <v>14707.877339443021</v>
      </c>
      <c r="BF39" s="90">
        <f>VLOOKUP($A39,平滑数据导入!$A$1:$AN$61,COLUMN(平滑数据导入!AK$1),0)</f>
        <v>14287.51143116807</v>
      </c>
      <c r="BG39" s="90">
        <f>VLOOKUP($A39,平滑数据导入!$A$1:$AN$61,COLUMN(平滑数据导入!AL$1),0)</f>
        <v>13875.50503296943</v>
      </c>
      <c r="BH39" s="90">
        <f>VLOOKUP($A39,平滑数据导入!$A$1:$AN$61,COLUMN(平滑数据导入!AM$1),0)</f>
        <v>13472.870319403541</v>
      </c>
      <c r="BI39" s="133">
        <f>VLOOKUP(A39,情景假设!$B$48:$S$88,18,0)/情景假设!S$47*BI$13</f>
        <v>13080.492218353669</v>
      </c>
    </row>
    <row r="40" spans="1:61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f>'增加值 (2001-2022, 当年价) '!I40*I$77</f>
        <v>5588.8650324658547</v>
      </c>
      <c r="J40" s="20">
        <f>'增加值 (2001-2022, 当年价) '!J40*J$77</f>
        <v>5976.0522078381691</v>
      </c>
      <c r="K40" s="21">
        <f>'增加值 (2001-2022, 当年价) '!K40*K$77</f>
        <v>6569.4851629081804</v>
      </c>
      <c r="L40" s="19">
        <f>'增加值 (2001-2022, 当年价) '!L40*L$77</f>
        <v>7170.989527532277</v>
      </c>
      <c r="M40" s="20">
        <f>'增加值 (2001-2022, 当年价) '!M40*M$77</f>
        <v>7727.8662112813054</v>
      </c>
      <c r="N40" s="20">
        <f>'增加值 (2001-2022, 当年价) '!N40*N$77</f>
        <v>8412.9829917239895</v>
      </c>
      <c r="O40" s="20">
        <f>'增加值 (2001-2022, 当年价) '!O40*O$77</f>
        <v>9065.9193956357976</v>
      </c>
      <c r="P40" s="20">
        <f>'增加值 (2001-2022, 当年价) '!P40*P$77</f>
        <v>9572.8077773458172</v>
      </c>
      <c r="Q40" s="19">
        <f>'增加值 (2001-2022, 当年价) '!Q40*Q$77</f>
        <v>9921.1618205924387</v>
      </c>
      <c r="R40" s="20">
        <f>'增加值 (2001-2022, 当年价) '!R40*R$77</f>
        <v>10192.935909207006</v>
      </c>
      <c r="S40" s="20">
        <f>'增加值 (2001-2022, 当年价) '!S40*S$77</f>
        <v>10940.720685518332</v>
      </c>
      <c r="T40" s="20">
        <f>'增加值 (2001-2022, 当年价) '!T40*T$77</f>
        <v>11519.159125520338</v>
      </c>
      <c r="U40" s="21">
        <f>'增加值 (2001-2022, 当年价) '!U40*U$77</f>
        <v>11421.806149839256</v>
      </c>
      <c r="V40" s="20">
        <f>'增加值 (2001-2022, 当年价) '!V40*V$77</f>
        <v>12356.060657958777</v>
      </c>
      <c r="W40" s="20">
        <f>'增加值 (2001-2022, 当年价) '!W40*W$77</f>
        <v>13204.368998026079</v>
      </c>
      <c r="X40" s="90">
        <f>VLOOKUP($A40,平滑数据导入!$A$1:$AN$61,COLUMN(平滑数据导入!C$1),0)</f>
        <v>13383.92401520418</v>
      </c>
      <c r="Y40" s="90">
        <f>VLOOKUP($A40,平滑数据导入!$A$1:$AN$61,COLUMN(平滑数据导入!D$1),0)</f>
        <v>13534.188758967661</v>
      </c>
      <c r="Z40" s="141">
        <f>VLOOKUP(A40,情景假设!$B$48:$S$88,14,0)/情景假设!O$47*Z$13</f>
        <v>13657.991623056834</v>
      </c>
      <c r="AA40" s="89">
        <f>VLOOKUP($A40,平滑数据导入!$A$1:$AN$61,COLUMN(平滑数据导入!F$1),0)</f>
        <v>13758.47154031404</v>
      </c>
      <c r="AB40" s="90">
        <f>VLOOKUP($A40,平滑数据导入!$A$1:$AN$61,COLUMN(平滑数据导入!G$1),0)</f>
        <v>13839.01441683681</v>
      </c>
      <c r="AC40" s="90">
        <f>VLOOKUP($A40,平滑数据导入!$A$1:$AN$61,COLUMN(平滑数据导入!H$1),0)</f>
        <v>13903.19605290557</v>
      </c>
      <c r="AD40" s="90">
        <f>VLOOKUP($A40,平滑数据导入!$A$1:$AN$61,COLUMN(平滑数据导入!I$1),0)</f>
        <v>13954.73309600902</v>
      </c>
      <c r="AE40" s="133">
        <f>VLOOKUP(A40,情景假设!$B$48:$S$88,15,0)/情景假设!P$47*AE$13</f>
        <v>13997.443183483085</v>
      </c>
      <c r="AF40" s="90">
        <f>VLOOKUP($A40,平滑数据导入!$A$1:$AN$61,COLUMN(平滑数据导入!K$1),0)</f>
        <v>14033.7887810107</v>
      </c>
      <c r="AG40" s="90">
        <f>VLOOKUP($A40,平滑数据导入!$A$1:$AN$61,COLUMN(平滑数据导入!L$1),0)</f>
        <v>14060.55312629457</v>
      </c>
      <c r="AH40" s="90">
        <f>VLOOKUP($A40,平滑数据导入!$A$1:$AN$61,COLUMN(平滑数据导入!M$1),0)</f>
        <v>14073.08108347592</v>
      </c>
      <c r="AI40" s="90">
        <f>VLOOKUP($A40,平滑数据导入!$A$1:$AN$61,COLUMN(平滑数据导入!N$1),0)</f>
        <v>14066.736600546739</v>
      </c>
      <c r="AJ40" s="141">
        <f>VLOOKUP(A40,情景假设!$B$48:$S$88,16,0)/情景假设!Q$47*AJ$13</f>
        <v>14036.956982672838</v>
      </c>
      <c r="AK40" s="89">
        <f>VLOOKUP($A40,平滑数据导入!$A$1:$AN$61,COLUMN(平滑数据导入!P$1),0)</f>
        <v>13980.259800235781</v>
      </c>
      <c r="AL40" s="90">
        <f>VLOOKUP($A40,平滑数据导入!$A$1:$AN$61,COLUMN(平滑数据导入!Q$1),0)</f>
        <v>13897.093013256161</v>
      </c>
      <c r="AM40" s="90">
        <f>VLOOKUP($A40,平滑数据导入!$A$1:$AN$61,COLUMN(平滑数据导入!R$1),0)</f>
        <v>13788.977701403561</v>
      </c>
      <c r="AN40" s="90">
        <f>VLOOKUP($A40,平滑数据导入!$A$1:$AN$61,COLUMN(平滑数据导入!S$1),0)</f>
        <v>13657.54031487553</v>
      </c>
      <c r="AO40" s="101">
        <f>VLOOKUP($A40,平滑数据导入!$A$1:$AN$61,COLUMN(平滑数据导入!T$1),0)</f>
        <v>13504.48925975095</v>
      </c>
      <c r="AP40" s="90">
        <f>VLOOKUP($A40,平滑数据导入!$A$1:$AN$61,COLUMN(平滑数据导入!U$1),0)</f>
        <v>13331.592218358341</v>
      </c>
      <c r="AQ40" s="90">
        <f>VLOOKUP($A40,平滑数据导入!$A$1:$AN$61,COLUMN(平滑数据导入!V$1),0)</f>
        <v>13140.65451149306</v>
      </c>
      <c r="AR40" s="90">
        <f>VLOOKUP($A40,平滑数据导入!$A$1:$AN$61,COLUMN(平滑数据导入!W$1),0)</f>
        <v>12933.498758964281</v>
      </c>
      <c r="AS40" s="90">
        <f>VLOOKUP($A40,平滑数据导入!$A$1:$AN$61,COLUMN(平滑数据导入!X$1),0)</f>
        <v>12711.94604423794</v>
      </c>
      <c r="AT40" s="90">
        <f>VLOOKUP($A40,平滑数据导入!$A$1:$AN$61,COLUMN(平滑数据导入!Y$1),0)</f>
        <v>12477.7987392265</v>
      </c>
      <c r="AU40" s="89">
        <f>VLOOKUP($A40,平滑数据导入!$A$1:$AN$61,COLUMN(平滑数据导入!Z$1),0)</f>
        <v>12232.825097720361</v>
      </c>
      <c r="AV40" s="90">
        <f>VLOOKUP($A40,平滑数据导入!$A$1:$AN$61,COLUMN(平滑数据导入!AA$1),0)</f>
        <v>11978.745681504861</v>
      </c>
      <c r="AW40" s="90">
        <f>VLOOKUP($A40,平滑数据导入!$A$1:$AN$61,COLUMN(平滑数据导入!AB$1),0)</f>
        <v>11717.22164259586</v>
      </c>
      <c r="AX40" s="90">
        <f>VLOOKUP($A40,平滑数据导入!$A$1:$AN$61,COLUMN(平滑数据导入!AC$1),0)</f>
        <v>11449.84484878227</v>
      </c>
      <c r="AY40" s="133">
        <f>VLOOKUP(A40,情景假设!$B$48:$S$88,17,0)/情景假设!R$47*AY$13</f>
        <v>11178.129808116626</v>
      </c>
      <c r="AZ40" s="89">
        <f>VLOOKUP($A40,平滑数据导入!$A$1:$AN$61,COLUMN(平滑数据导入!AE$1),0)</f>
        <v>10903.50732130446</v>
      </c>
      <c r="BA40" s="90">
        <f>VLOOKUP($A40,平滑数据导入!$A$1:$AN$61,COLUMN(平滑数据导入!AF$1),0)</f>
        <v>10627.319769106891</v>
      </c>
      <c r="BB40" s="90">
        <f>VLOOKUP($A40,平滑数据导入!$A$1:$AN$61,COLUMN(平滑数据导入!AG$1),0)</f>
        <v>10350.81792476177</v>
      </c>
      <c r="BC40" s="90">
        <f>VLOOKUP($A40,平滑数据导入!$A$1:$AN$61,COLUMN(平滑数据导入!AH$1),0)</f>
        <v>10075.1591688056</v>
      </c>
      <c r="BD40" s="101">
        <f>VLOOKUP($A40,平滑数据导入!$A$1:$AN$61,COLUMN(平滑数据导入!AI$1),0)</f>
        <v>9801.4069752179439</v>
      </c>
      <c r="BE40" s="90">
        <f>VLOOKUP($A40,平滑数据导入!$A$1:$AN$61,COLUMN(平滑数据导入!AJ$1),0)</f>
        <v>9530.531533130461</v>
      </c>
      <c r="BF40" s="90">
        <f>VLOOKUP($A40,平滑数据导入!$A$1:$AN$61,COLUMN(平滑数据导入!AK$1),0)</f>
        <v>9263.4113670168827</v>
      </c>
      <c r="BG40" s="90">
        <f>VLOOKUP($A40,平滑数据导入!$A$1:$AN$61,COLUMN(平滑数据导入!AL$1),0)</f>
        <v>9000.8358198620554</v>
      </c>
      <c r="BH40" s="90">
        <f>VLOOKUP($A40,平滑数据导入!$A$1:$AN$61,COLUMN(平滑数据导入!AM$1),0)</f>
        <v>8743.5082678480339</v>
      </c>
      <c r="BI40" s="133">
        <f>VLOOKUP(A40,情景假设!$B$48:$S$88,18,0)/情景假设!S$47*BI$13</f>
        <v>8492.0499411499495</v>
      </c>
    </row>
    <row r="41" spans="1:61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f>'增加值 (2001-2022, 当年价) '!I41*I$77</f>
        <v>5991.8214005513137</v>
      </c>
      <c r="J41" s="20">
        <f>'增加值 (2001-2022, 当年价) '!J41*J$77</f>
        <v>6247.8875774577018</v>
      </c>
      <c r="K41" s="21">
        <f>'增加值 (2001-2022, 当年价) '!K41*K$77</f>
        <v>7220.2243795774129</v>
      </c>
      <c r="L41" s="19">
        <f>'增加值 (2001-2022, 当年价) '!L41*L$77</f>
        <v>8172.6971404983933</v>
      </c>
      <c r="M41" s="20">
        <f>'增加值 (2001-2022, 当年价) '!M41*M$77</f>
        <v>8729.5597507721814</v>
      </c>
      <c r="N41" s="20">
        <f>'增加值 (2001-2022, 当年价) '!N41*N$77</f>
        <v>9321.04171678905</v>
      </c>
      <c r="O41" s="20">
        <f>'增加值 (2001-2022, 当年价) '!O41*O$77</f>
        <v>9972.9623065646138</v>
      </c>
      <c r="P41" s="20">
        <f>'增加值 (2001-2022, 当年价) '!P41*P$77</f>
        <v>10161.569210888461</v>
      </c>
      <c r="Q41" s="19">
        <f>'增加值 (2001-2022, 当年价) '!Q41*Q$77</f>
        <v>10729.678731779901</v>
      </c>
      <c r="R41" s="20">
        <f>'增加值 (2001-2022, 当年价) '!R41*R$77</f>
        <v>11577.496039816844</v>
      </c>
      <c r="S41" s="20">
        <f>'增加值 (2001-2022, 当年价) '!S41*S$77</f>
        <v>11965.7485153379</v>
      </c>
      <c r="T41" s="20">
        <f>'增加值 (2001-2022, 当年价) '!T41*T$77</f>
        <v>12206.123148775057</v>
      </c>
      <c r="U41" s="21">
        <f>'增加值 (2001-2022, 当年价) '!U41*U$77</f>
        <v>12421.774161186662</v>
      </c>
      <c r="V41" s="20">
        <f>'增加值 (2001-2022, 当年价) '!V41*V$77</f>
        <v>15002.765371424184</v>
      </c>
      <c r="W41" s="20">
        <f>'增加值 (2001-2022, 当年价) '!W41*W$77</f>
        <v>15179.327689922766</v>
      </c>
      <c r="X41" s="90">
        <f>VLOOKUP($A41,平滑数据导入!$A$1:$AN$61,COLUMN(平滑数据导入!C$1),0)</f>
        <v>15686.592069329439</v>
      </c>
      <c r="Y41" s="90">
        <f>VLOOKUP($A41,平滑数据导入!$A$1:$AN$61,COLUMN(平滑数据导入!D$1),0)</f>
        <v>16243.08722100149</v>
      </c>
      <c r="Z41" s="141">
        <f>VLOOKUP(A41,情景假设!$B$48:$S$88,14,0)/情景假设!O$47*Z$13</f>
        <v>16843.881212670298</v>
      </c>
      <c r="AA41" s="89">
        <f>VLOOKUP($A41,平滑数据导入!$A$1:$AN$61,COLUMN(平滑数据导入!F$1),0)</f>
        <v>17483.126367958619</v>
      </c>
      <c r="AB41" s="90">
        <f>VLOOKUP($A41,平滑数据导入!$A$1:$AN$61,COLUMN(平滑数据导入!G$1),0)</f>
        <v>18153.863649295901</v>
      </c>
      <c r="AC41" s="90">
        <f>VLOOKUP($A41,平滑数据导入!$A$1:$AN$61,COLUMN(平滑数据导入!H$1),0)</f>
        <v>18847.849293725281</v>
      </c>
      <c r="AD41" s="90">
        <f>VLOOKUP($A41,平滑数据导入!$A$1:$AN$61,COLUMN(平滑数据导入!I$1),0)</f>
        <v>19555.413497555059</v>
      </c>
      <c r="AE41" s="133">
        <f>VLOOKUP(A41,情景假设!$B$48:$S$88,15,0)/情景假设!P$47*AE$13</f>
        <v>20265.363169979202</v>
      </c>
      <c r="AF41" s="90">
        <f>VLOOKUP($A41,平滑数据导入!$A$1:$AN$61,COLUMN(平滑数据导入!K$1),0)</f>
        <v>20965.752348427552</v>
      </c>
      <c r="AG41" s="90">
        <f>VLOOKUP($A41,平滑数据导入!$A$1:$AN$61,COLUMN(平滑数据导入!L$1),0)</f>
        <v>21646.554328044349</v>
      </c>
      <c r="AH41" s="90">
        <f>VLOOKUP($A41,平滑数据导入!$A$1:$AN$61,COLUMN(平滑数据导入!M$1),0)</f>
        <v>22297.68264123908</v>
      </c>
      <c r="AI41" s="90">
        <f>VLOOKUP($A41,平滑数据导入!$A$1:$AN$61,COLUMN(平滑数据导入!N$1),0)</f>
        <v>22908.34317801685</v>
      </c>
      <c r="AJ41" s="141">
        <f>VLOOKUP(A41,情景假设!$B$48:$S$88,16,0)/情景假设!Q$47*AJ$13</f>
        <v>23467.184808794587</v>
      </c>
      <c r="AK41" s="89">
        <f>VLOOKUP($A41,平滑数据导入!$A$1:$AN$61,COLUMN(平滑数据导入!P$1),0)</f>
        <v>23964.332347285781</v>
      </c>
      <c r="AL41" s="90">
        <f>VLOOKUP($A41,平滑数据导入!$A$1:$AN$61,COLUMN(平滑数据导入!Q$1),0)</f>
        <v>24397.40077940853</v>
      </c>
      <c r="AM41" s="90">
        <f>VLOOKUP($A41,平滑数据导入!$A$1:$AN$61,COLUMN(平滑数据导入!R$1),0)</f>
        <v>24766.568082814141</v>
      </c>
      <c r="AN41" s="90">
        <f>VLOOKUP($A41,平滑数据导入!$A$1:$AN$61,COLUMN(平滑数据导入!S$1),0)</f>
        <v>25072.769074477179</v>
      </c>
      <c r="AO41" s="101">
        <f>VLOOKUP($A41,平滑数据导入!$A$1:$AN$61,COLUMN(平滑数据导入!T$1),0)</f>
        <v>25317.634681135831</v>
      </c>
      <c r="AP41" s="90">
        <f>VLOOKUP($A41,平滑数据导入!$A$1:$AN$61,COLUMN(平滑数据导入!U$1),0)</f>
        <v>25503.422883562991</v>
      </c>
      <c r="AQ41" s="90">
        <f>VLOOKUP($A41,平滑数据导入!$A$1:$AN$61,COLUMN(平滑数据导入!V$1),0)</f>
        <v>25632.94393763319</v>
      </c>
      <c r="AR41" s="90">
        <f>VLOOKUP($A41,平滑数据导入!$A$1:$AN$61,COLUMN(平滑数据导入!W$1),0)</f>
        <v>25709.482364544041</v>
      </c>
      <c r="AS41" s="90">
        <f>VLOOKUP($A41,平滑数据导入!$A$1:$AN$61,COLUMN(平滑数据导入!X$1),0)</f>
        <v>25736.71802075415</v>
      </c>
      <c r="AT41" s="90">
        <f>VLOOKUP($A41,平滑数据导入!$A$1:$AN$61,COLUMN(平滑数据导入!Y$1),0)</f>
        <v>25718.648322436438</v>
      </c>
      <c r="AU41" s="89">
        <f>VLOOKUP($A41,平滑数据导入!$A$1:$AN$61,COLUMN(平滑数据导入!Z$1),0)</f>
        <v>25659.51342662935</v>
      </c>
      <c r="AV41" s="90">
        <f>VLOOKUP($A41,平滑数据导入!$A$1:$AN$61,COLUMN(平滑数据导入!AA$1),0)</f>
        <v>25563.725877993162</v>
      </c>
      <c r="AW41" s="90">
        <f>VLOOKUP($A41,平滑数据导入!$A$1:$AN$61,COLUMN(平滑数据导入!AB$1),0)</f>
        <v>25435.80593074649</v>
      </c>
      <c r="AX41" s="90">
        <f>VLOOKUP($A41,平滑数据导入!$A$1:$AN$61,COLUMN(平滑数据导入!AC$1),0)</f>
        <v>25280.323462593009</v>
      </c>
      <c r="AY41" s="133">
        <f>VLOOKUP(A41,情景假设!$B$48:$S$88,17,0)/情景假设!R$47*AY$13</f>
        <v>25101.847121613537</v>
      </c>
      <c r="AZ41" s="89">
        <f>VLOOKUP($A41,平滑数据导入!$A$1:$AN$61,COLUMN(平滑数据导入!AE$1),0)</f>
        <v>24904.90109624041</v>
      </c>
      <c r="BA41" s="90">
        <f>VLOOKUP($A41,平滑数据导入!$A$1:$AN$61,COLUMN(平滑数据导入!AF$1),0)</f>
        <v>24693.929678328848</v>
      </c>
      <c r="BB41" s="90">
        <f>VLOOKUP($A41,平滑数据导入!$A$1:$AN$61,COLUMN(平滑数据导入!AG$1),0)</f>
        <v>24473.269603684421</v>
      </c>
      <c r="BC41" s="90">
        <f>VLOOKUP($A41,平滑数据导入!$A$1:$AN$61,COLUMN(平滑数据导入!AH$1),0)</f>
        <v>24247.130005043931</v>
      </c>
      <c r="BD41" s="101">
        <f>VLOOKUP($A41,平滑数据导入!$A$1:$AN$61,COLUMN(平滑数据导入!AI$1),0)</f>
        <v>24019.579699750499</v>
      </c>
      <c r="BE41" s="90">
        <f>VLOOKUP($A41,平滑数据导入!$A$1:$AN$61,COLUMN(平滑数据导入!AJ$1),0)</f>
        <v>23794.54145731606</v>
      </c>
      <c r="BF41" s="90">
        <f>VLOOKUP($A41,平滑数据导入!$A$1:$AN$61,COLUMN(平滑数据导入!AK$1),0)</f>
        <v>23575.792848948138</v>
      </c>
      <c r="BG41" s="90">
        <f>VLOOKUP($A41,平滑数据导入!$A$1:$AN$61,COLUMN(平滑数据导入!AL$1),0)</f>
        <v>23366.973269607519</v>
      </c>
      <c r="BH41" s="90">
        <f>VLOOKUP($A41,平滑数据导入!$A$1:$AN$61,COLUMN(平滑数据导入!AM$1),0)</f>
        <v>23171.596740683381</v>
      </c>
      <c r="BI41" s="133">
        <f>VLOOKUP(A41,情景假设!$B$48:$S$88,18,0)/情景假设!S$47*BI$13</f>
        <v>22993.070145365338</v>
      </c>
    </row>
    <row r="42" spans="1:61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f>'增加值 (2001-2022, 当年价) '!I42*I$77</f>
        <v>6951.0991404058195</v>
      </c>
      <c r="J42" s="20">
        <f>'增加值 (2001-2022, 当年价) '!J42*J$77</f>
        <v>7314.0533347634755</v>
      </c>
      <c r="K42" s="21">
        <f>'增加值 (2001-2022, 当年价) '!K42*K$77</f>
        <v>8644.0889558594426</v>
      </c>
      <c r="L42" s="19">
        <f>'增加值 (2001-2022, 当年价) '!L42*L$77</f>
        <v>9751.1703884161016</v>
      </c>
      <c r="M42" s="20">
        <f>'增加值 (2001-2022, 当年价) '!M42*M$77</f>
        <v>10062.829332726689</v>
      </c>
      <c r="N42" s="20">
        <f>'增加值 (2001-2022, 当年价) '!N42*N$77</f>
        <v>10438.751135915945</v>
      </c>
      <c r="O42" s="20">
        <f>'增加值 (2001-2022, 当年价) '!O42*O$77</f>
        <v>10918.647009586733</v>
      </c>
      <c r="P42" s="20">
        <f>'增加值 (2001-2022, 当年价) '!P42*P$77</f>
        <v>10659.001446727452</v>
      </c>
      <c r="Q42" s="19">
        <f>'增加值 (2001-2022, 当年价) '!Q42*Q$77</f>
        <v>11015.676147174541</v>
      </c>
      <c r="R42" s="20">
        <f>'增加值 (2001-2022, 当年价) '!R42*R$77</f>
        <v>12320.948873046076</v>
      </c>
      <c r="S42" s="20">
        <f>'增加值 (2001-2022, 当年价) '!S42*S$77</f>
        <v>13151.243446087199</v>
      </c>
      <c r="T42" s="20">
        <f>'增加值 (2001-2022, 当年价) '!T42*T$77</f>
        <v>13225.233063001493</v>
      </c>
      <c r="U42" s="21">
        <f>'增加值 (2001-2022, 当年价) '!U42*U$77</f>
        <v>13446.095523164235</v>
      </c>
      <c r="V42" s="20">
        <f>'增加值 (2001-2022, 当年价) '!V42*V$77</f>
        <v>15735.922300230004</v>
      </c>
      <c r="W42" s="20">
        <f>'增加值 (2001-2022, 当年价) '!W42*W$77</f>
        <v>15793.232462385689</v>
      </c>
      <c r="X42" s="90">
        <f>VLOOKUP($A42,平滑数据导入!$A$1:$AN$61,COLUMN(平滑数据导入!C$1),0)</f>
        <v>16353.23821129916</v>
      </c>
      <c r="Y42" s="90">
        <f>VLOOKUP($A42,平滑数据导入!$A$1:$AN$61,COLUMN(平滑数据导入!D$1),0)</f>
        <v>16965.792891906622</v>
      </c>
      <c r="Z42" s="141">
        <f>VLOOKUP(A42,情景假设!$B$48:$S$88,14,0)/情景假设!O$47*Z$13</f>
        <v>17625.990110862902</v>
      </c>
      <c r="AA42" s="89">
        <f>VLOOKUP($A42,平滑数据导入!$A$1:$AN$61,COLUMN(平滑数据导入!F$1),0)</f>
        <v>18327.918545162269</v>
      </c>
      <c r="AB42" s="90">
        <f>VLOOKUP($A42,平滑数据导入!$A$1:$AN$61,COLUMN(平滑数据导入!G$1),0)</f>
        <v>19064.452292911388</v>
      </c>
      <c r="AC42" s="90">
        <f>VLOOKUP($A42,平滑数据导入!$A$1:$AN$61,COLUMN(平滑数据导入!H$1),0)</f>
        <v>19827.062813685909</v>
      </c>
      <c r="AD42" s="90">
        <f>VLOOKUP($A42,平滑数据导入!$A$1:$AN$61,COLUMN(平滑数据导入!I$1),0)</f>
        <v>20605.66310094545</v>
      </c>
      <c r="AE42" s="133">
        <f>VLOOKUP(A42,情景假设!$B$48:$S$88,15,0)/情景假设!P$47*AE$13</f>
        <v>21388.497146065343</v>
      </c>
      <c r="AF42" s="90">
        <f>VLOOKUP($A42,平滑数据导入!$A$1:$AN$61,COLUMN(平滑数据导入!K$1),0)</f>
        <v>22162.91840706658</v>
      </c>
      <c r="AG42" s="90">
        <f>VLOOKUP($A42,平滑数据导入!$A$1:$AN$61,COLUMN(平滑数据导入!L$1),0)</f>
        <v>22918.12716864295</v>
      </c>
      <c r="AH42" s="90">
        <f>VLOOKUP($A42,平滑数据导入!$A$1:$AN$61,COLUMN(平滑数据导入!M$1),0)</f>
        <v>23643.16097667599</v>
      </c>
      <c r="AI42" s="90">
        <f>VLOOKUP($A42,平滑数据导入!$A$1:$AN$61,COLUMN(平滑数据导入!N$1),0)</f>
        <v>24326.236656785932</v>
      </c>
      <c r="AJ42" s="141">
        <f>VLOOKUP(A42,情景假设!$B$48:$S$88,16,0)/情景假设!Q$47*AJ$13</f>
        <v>24954.911086575295</v>
      </c>
      <c r="AK42" s="89">
        <f>VLOOKUP($A42,平滑数据导入!$A$1:$AN$61,COLUMN(平滑数据导入!P$1),0)</f>
        <v>25518.276754194761</v>
      </c>
      <c r="AL42" s="90">
        <f>VLOOKUP($A42,平滑数据导入!$A$1:$AN$61,COLUMN(平滑数据导入!Q$1),0)</f>
        <v>26013.480170802719</v>
      </c>
      <c r="AM42" s="90">
        <f>VLOOKUP($A42,平滑数据导入!$A$1:$AN$61,COLUMN(平滑数据导入!R$1),0)</f>
        <v>26440.442513460101</v>
      </c>
      <c r="AN42" s="90">
        <f>VLOOKUP($A42,平滑数据导入!$A$1:$AN$61,COLUMN(平滑数据导入!S$1),0)</f>
        <v>26799.918819947528</v>
      </c>
      <c r="AO42" s="101">
        <f>VLOOKUP($A42,平滑数据导入!$A$1:$AN$61,COLUMN(平滑数据导入!T$1),0)</f>
        <v>27093.435922526609</v>
      </c>
      <c r="AP42" s="90">
        <f>VLOOKUP($A42,平滑数据导入!$A$1:$AN$61,COLUMN(平滑数据导入!U$1),0)</f>
        <v>27323.22053993497</v>
      </c>
      <c r="AQ42" s="90">
        <f>VLOOKUP($A42,平滑数据导入!$A$1:$AN$61,COLUMN(平滑数据导入!V$1),0)</f>
        <v>27492.12037600726</v>
      </c>
      <c r="AR42" s="90">
        <f>VLOOKUP($A42,平滑数据导入!$A$1:$AN$61,COLUMN(平滑数据导入!W$1),0)</f>
        <v>27603.520977800759</v>
      </c>
      <c r="AS42" s="90">
        <f>VLOOKUP($A42,平滑数据导入!$A$1:$AN$61,COLUMN(平滑数据导入!X$1),0)</f>
        <v>27661.260927697022</v>
      </c>
      <c r="AT42" s="90">
        <f>VLOOKUP($A42,平滑数据导入!$A$1:$AN$61,COLUMN(平滑数据导入!Y$1),0)</f>
        <v>27669.547701448711</v>
      </c>
      <c r="AU42" s="89">
        <f>VLOOKUP($A42,平滑数据导入!$A$1:$AN$61,COLUMN(平滑数据导入!Z$1),0)</f>
        <v>27632.876236506909</v>
      </c>
      <c r="AV42" s="90">
        <f>VLOOKUP($A42,平滑数据导入!$A$1:$AN$61,COLUMN(平滑数据导入!AA$1),0)</f>
        <v>27555.95194032494</v>
      </c>
      <c r="AW42" s="90">
        <f>VLOOKUP($A42,平滑数据导入!$A$1:$AN$61,COLUMN(平滑数据导入!AB$1),0)</f>
        <v>27443.61954326275</v>
      </c>
      <c r="AX42" s="90">
        <f>VLOOKUP($A42,平滑数据导入!$A$1:$AN$61,COLUMN(平滑数据导入!AC$1),0)</f>
        <v>27300.79887965968</v>
      </c>
      <c r="AY42" s="133">
        <f>VLOOKUP(A42,情景假设!$B$48:$S$88,17,0)/情景假设!R$47*AY$13</f>
        <v>27132.428375642317</v>
      </c>
      <c r="AZ42" s="89">
        <f>VLOOKUP($A42,平滑数据导入!$A$1:$AN$61,COLUMN(平滑数据导入!AE$1),0)</f>
        <v>26943.416742761321</v>
      </c>
      <c r="BA42" s="90">
        <f>VLOOKUP($A42,平滑数据导入!$A$1:$AN$61,COLUMN(平滑数据导入!AF$1),0)</f>
        <v>26738.603129577928</v>
      </c>
      <c r="BB42" s="90">
        <f>VLOOKUP($A42,平滑数据导入!$A$1:$AN$61,COLUMN(平滑数据导入!AG$1),0)</f>
        <v>26522.725773452828</v>
      </c>
      <c r="BC42" s="90">
        <f>VLOOKUP($A42,平滑数据导入!$A$1:$AN$61,COLUMN(平滑数据导入!AH$1),0)</f>
        <v>26300.399024555049</v>
      </c>
      <c r="BD42" s="101">
        <f>VLOOKUP($A42,平滑数据导入!$A$1:$AN$61,COLUMN(平滑数据导入!AI$1),0)</f>
        <v>26076.09848427659</v>
      </c>
      <c r="BE42" s="90">
        <f>VLOOKUP($A42,平滑数据导入!$A$1:$AN$61,COLUMN(平滑数据导入!AJ$1),0)</f>
        <v>25854.153910161731</v>
      </c>
      <c r="BF42" s="90">
        <f>VLOOKUP($A42,平滑数据导入!$A$1:$AN$61,COLUMN(平滑数据导入!AK$1),0)</f>
        <v>25638.749487493751</v>
      </c>
      <c r="BG42" s="90">
        <f>VLOOKUP($A42,平滑数据导入!$A$1:$AN$61,COLUMN(平滑数据导入!AL$1),0)</f>
        <v>25433.93105148476</v>
      </c>
      <c r="BH42" s="90">
        <f>VLOOKUP($A42,平滑数据导入!$A$1:$AN$61,COLUMN(平滑数据导入!AM$1),0)</f>
        <v>25243.619860964882</v>
      </c>
      <c r="BI42" s="133">
        <f>VLOOKUP(A42,情景假设!$B$48:$S$88,18,0)/情景假设!S$47*BI$13</f>
        <v>25071.632571909329</v>
      </c>
    </row>
    <row r="43" spans="1:61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f>'增加值 (2001-2022, 当年价) '!I43*I$77</f>
        <v>4623.3441154702477</v>
      </c>
      <c r="J43" s="20">
        <f>'增加值 (2001-2022, 当年价) '!J43*J$77</f>
        <v>4952.4069466441206</v>
      </c>
      <c r="K43" s="21">
        <f>'增加值 (2001-2022, 当年价) '!K43*K$77</f>
        <v>5800.0823303648003</v>
      </c>
      <c r="L43" s="19">
        <f>'增加值 (2001-2022, 当年价) '!L43*L$77</f>
        <v>6676.677466975384</v>
      </c>
      <c r="M43" s="20">
        <f>'增加值 (2001-2022, 当年价) '!M43*M$77</f>
        <v>6921.8527542389438</v>
      </c>
      <c r="N43" s="20">
        <f>'增加值 (2001-2022, 当年价) '!N43*N$77</f>
        <v>7134.4071986105519</v>
      </c>
      <c r="O43" s="20">
        <f>'增加值 (2001-2022, 当年价) '!O43*O$77</f>
        <v>7311.9149257243444</v>
      </c>
      <c r="P43" s="20">
        <f>'增加值 (2001-2022, 当年价) '!P43*P$77</f>
        <v>7172.7218386442528</v>
      </c>
      <c r="Q43" s="19">
        <f>'增加值 (2001-2022, 当年价) '!Q43*Q$77</f>
        <v>7468.7356239592245</v>
      </c>
      <c r="R43" s="20">
        <f>'增加值 (2001-2022, 当年价) '!R43*R$77</f>
        <v>8452.0023308915206</v>
      </c>
      <c r="S43" s="20">
        <f>'增加值 (2001-2022, 当年价) '!S43*S$77</f>
        <v>9332.9519669544279</v>
      </c>
      <c r="T43" s="20">
        <f>'增加值 (2001-2022, 当年价) '!T43*T$77</f>
        <v>9619.4212690179938</v>
      </c>
      <c r="U43" s="21">
        <f>'增加值 (2001-2022, 当年价) '!U43*U$77</f>
        <v>9891.7322198258898</v>
      </c>
      <c r="V43" s="20">
        <f>'增加值 (2001-2022, 当年价) '!V43*V$77</f>
        <v>11596.860701442663</v>
      </c>
      <c r="W43" s="20">
        <f>'增加值 (2001-2022, 当年价) '!W43*W$77</f>
        <v>12204.55859303716</v>
      </c>
      <c r="X43" s="90">
        <f>VLOOKUP($A43,平滑数据导入!$A$1:$AN$61,COLUMN(平滑数据导入!C$1),0)</f>
        <v>12897.329101910909</v>
      </c>
      <c r="Y43" s="90">
        <f>VLOOKUP($A43,平滑数据导入!$A$1:$AN$61,COLUMN(平滑数据导入!D$1),0)</f>
        <v>13647.304974465291</v>
      </c>
      <c r="Z43" s="141">
        <f>VLOOKUP(A43,情景假设!$B$48:$S$88,14,0)/情景假设!O$47*Z$13</f>
        <v>14452.763130653089</v>
      </c>
      <c r="AA43" s="89">
        <f>VLOOKUP($A43,平滑数据导入!$A$1:$AN$61,COLUMN(平滑数据导入!F$1),0)</f>
        <v>15310.84677110433</v>
      </c>
      <c r="AB43" s="90">
        <f>VLOOKUP($A43,平滑数据导入!$A$1:$AN$61,COLUMN(平滑数据导入!G$1),0)</f>
        <v>16217.32931949595</v>
      </c>
      <c r="AC43" s="90">
        <f>VLOOKUP($A43,平滑数据导入!$A$1:$AN$61,COLUMN(平滑数据导入!H$1),0)</f>
        <v>17166.380148719691</v>
      </c>
      <c r="AD43" s="90">
        <f>VLOOKUP($A43,平滑数据导入!$A$1:$AN$61,COLUMN(平滑数据导入!I$1),0)</f>
        <v>18150.343281485249</v>
      </c>
      <c r="AE43" s="133">
        <f>VLOOKUP(A43,情景假设!$B$48:$S$88,15,0)/情景假设!P$47*AE$13</f>
        <v>19159.543283951829</v>
      </c>
      <c r="AF43" s="90">
        <f>VLOOKUP($A43,平滑数据导入!$A$1:$AN$61,COLUMN(平滑数据导入!K$1),0)</f>
        <v>20182.634243354241</v>
      </c>
      <c r="AG43" s="90">
        <f>VLOOKUP($A43,平滑数据导入!$A$1:$AN$61,COLUMN(平滑数据导入!L$1),0)</f>
        <v>21208.212532282439</v>
      </c>
      <c r="AH43" s="90">
        <f>VLOOKUP($A43,平滑数据导入!$A$1:$AN$61,COLUMN(平滑数据导入!M$1),0)</f>
        <v>22223.664298127878</v>
      </c>
      <c r="AI43" s="90">
        <f>VLOOKUP($A43,平滑数据导入!$A$1:$AN$61,COLUMN(平滑数据导入!N$1),0)</f>
        <v>23214.77710663126</v>
      </c>
      <c r="AJ43" s="141">
        <f>VLOOKUP(A43,情景假设!$B$48:$S$88,16,0)/情景假设!Q$47*AJ$13</f>
        <v>24165.872602439173</v>
      </c>
      <c r="AK43" s="89">
        <f>VLOOKUP($A43,平滑数据导入!$A$1:$AN$61,COLUMN(平滑数据导入!P$1),0)</f>
        <v>25062.24924298382</v>
      </c>
      <c r="AL43" s="90">
        <f>VLOOKUP($A43,平滑数据导入!$A$1:$AN$61,COLUMN(平滑数据导入!Q$1),0)</f>
        <v>25897.758707523379</v>
      </c>
      <c r="AM43" s="90">
        <f>VLOOKUP($A43,平滑数据导入!$A$1:$AN$61,COLUMN(平滑数据导入!R$1),0)</f>
        <v>26669.353162341111</v>
      </c>
      <c r="AN43" s="90">
        <f>VLOOKUP($A43,平滑数据导入!$A$1:$AN$61,COLUMN(平滑数据导入!S$1),0)</f>
        <v>27375.02635346512</v>
      </c>
      <c r="AO43" s="101">
        <f>VLOOKUP($A43,平滑数据导入!$A$1:$AN$61,COLUMN(平滑数据导入!T$1),0)</f>
        <v>28013.796212491528</v>
      </c>
      <c r="AP43" s="90">
        <f>VLOOKUP($A43,平滑数据导入!$A$1:$AN$61,COLUMN(平滑数据导入!U$1),0)</f>
        <v>28585.667258278259</v>
      </c>
      <c r="AQ43" s="90">
        <f>VLOOKUP($A43,平滑数据导入!$A$1:$AN$61,COLUMN(平滑数据导入!V$1),0)</f>
        <v>29091.57589511983</v>
      </c>
      <c r="AR43" s="90">
        <f>VLOOKUP($A43,平滑数据导入!$A$1:$AN$61,COLUMN(平滑数据导入!W$1),0)</f>
        <v>29533.321968448639</v>
      </c>
      <c r="AS43" s="90">
        <f>VLOOKUP($A43,平滑数据导入!$A$1:$AN$61,COLUMN(平滑数据导入!X$1),0)</f>
        <v>29913.490042036021</v>
      </c>
      <c r="AT43" s="90">
        <f>VLOOKUP($A43,平滑数据导入!$A$1:$AN$61,COLUMN(平滑数据导入!Y$1),0)</f>
        <v>30235.363823563828</v>
      </c>
      <c r="AU43" s="89">
        <f>VLOOKUP($A43,平滑数据导入!$A$1:$AN$61,COLUMN(平滑数据导入!Z$1),0)</f>
        <v>30502.837010333409</v>
      </c>
      <c r="AV43" s="90">
        <f>VLOOKUP($A43,平滑数据导入!$A$1:$AN$61,COLUMN(平滑数据导入!AA$1),0)</f>
        <v>30720.3235784602</v>
      </c>
      <c r="AW43" s="90">
        <f>VLOOKUP($A43,平滑数据导入!$A$1:$AN$61,COLUMN(平滑数据导入!AB$1),0)</f>
        <v>30892.67022274237</v>
      </c>
      <c r="AX43" s="90">
        <f>VLOOKUP($A43,平滑数据导入!$A$1:$AN$61,COLUMN(平滑数据导入!AC$1),0)</f>
        <v>31025.073295468901</v>
      </c>
      <c r="AY43" s="133">
        <f>VLOOKUP(A43,情景假设!$B$48:$S$88,17,0)/情景假设!R$47*AY$13</f>
        <v>31123.00221397034</v>
      </c>
      <c r="AZ43" s="89">
        <f>VLOOKUP($A43,平滑数据导入!$A$1:$AN$61,COLUMN(平滑数据导入!AE$1),0)</f>
        <v>31192.13092933414</v>
      </c>
      <c r="BA43" s="90">
        <f>VLOOKUP($A43,平滑数据导入!$A$1:$AN$61,COLUMN(平滑数据导入!AF$1),0)</f>
        <v>31238.27868990754</v>
      </c>
      <c r="BB43" s="90">
        <f>VLOOKUP($A43,平滑数据导入!$A$1:$AN$61,COLUMN(平滑数据导入!AG$1),0)</f>
        <v>31267.361007189978</v>
      </c>
      <c r="BC43" s="90">
        <f>VLOOKUP($A43,平滑数据导入!$A$1:$AN$61,COLUMN(平滑数据导入!AH$1),0)</f>
        <v>31285.351449361959</v>
      </c>
      <c r="BD43" s="101">
        <f>VLOOKUP($A43,平滑数据导入!$A$1:$AN$61,COLUMN(平滑数据导入!AI$1),0)</f>
        <v>31298.25465689092</v>
      </c>
      <c r="BE43" s="90">
        <f>VLOOKUP($A43,平滑数据导入!$A$1:$AN$61,COLUMN(平滑数据导入!AJ$1),0)</f>
        <v>31312.09080062875</v>
      </c>
      <c r="BF43" s="90">
        <f>VLOOKUP($A43,平滑数据导入!$A$1:$AN$61,COLUMN(平滑数据导入!AK$1),0)</f>
        <v>31332.891588727602</v>
      </c>
      <c r="BG43" s="90">
        <f>VLOOKUP($A43,平滑数据导入!$A$1:$AN$61,COLUMN(平滑数据导入!AL$1),0)</f>
        <v>31366.707876171291</v>
      </c>
      <c r="BH43" s="90">
        <f>VLOOKUP($A43,平滑数据导入!$A$1:$AN$61,COLUMN(平滑数据导入!AM$1),0)</f>
        <v>31419.628940511469</v>
      </c>
      <c r="BI43" s="133">
        <f>VLOOKUP(A43,情景假设!$B$48:$S$88,18,0)/情景假设!S$47*BI$13</f>
        <v>31497.813560035527</v>
      </c>
    </row>
    <row r="44" spans="1:61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f>'增加值 (2001-2022, 当年价) '!I44*I$77</f>
        <v>8600.1122331098704</v>
      </c>
      <c r="J44" s="20">
        <f>'增加值 (2001-2022, 当年价) '!J44*J$77</f>
        <v>9652.4482684707364</v>
      </c>
      <c r="K44" s="21">
        <f>'增加值 (2001-2022, 当年价) '!K44*K$77</f>
        <v>11473.328463091299</v>
      </c>
      <c r="L44" s="19">
        <f>'增加值 (2001-2022, 当年价) '!L44*L$77</f>
        <v>12347.438461432741</v>
      </c>
      <c r="M44" s="20">
        <f>'增加值 (2001-2022, 当年价) '!M44*M$77</f>
        <v>12742.077205557398</v>
      </c>
      <c r="N44" s="20">
        <f>'增加值 (2001-2022, 当年价) '!N44*N$77</f>
        <v>13908.044110531482</v>
      </c>
      <c r="O44" s="20">
        <f>'增加值 (2001-2022, 当年价) '!O44*O$77</f>
        <v>14907.451129099412</v>
      </c>
      <c r="P44" s="20">
        <f>'增加值 (2001-2022, 当年价) '!P44*P$77</f>
        <v>15090.378543997835</v>
      </c>
      <c r="Q44" s="19">
        <f>'增加值 (2001-2022, 当年价) '!Q44*Q$77</f>
        <v>17009.078938849983</v>
      </c>
      <c r="R44" s="20">
        <f>'增加值 (2001-2022, 当年价) '!R44*R$77</f>
        <v>19317.208684583806</v>
      </c>
      <c r="S44" s="20">
        <f>'增加值 (2001-2022, 当年价) '!S44*S$77</f>
        <v>20176.588473930504</v>
      </c>
      <c r="T44" s="20">
        <f>'增加值 (2001-2022, 当年价) '!T44*T$77</f>
        <v>19803.763108812167</v>
      </c>
      <c r="U44" s="21">
        <f>'增加值 (2001-2022, 当年价) '!U44*U$77</f>
        <v>20421.849410489154</v>
      </c>
      <c r="V44" s="20">
        <f>'增加值 (2001-2022, 当年价) '!V44*V$77</f>
        <v>22432.47684124767</v>
      </c>
      <c r="W44" s="20">
        <f>'增加值 (2001-2022, 当年价) '!W44*W$77</f>
        <v>24223.247878201622</v>
      </c>
      <c r="X44" s="90">
        <f>VLOOKUP($A44,平滑数据导入!$A$1:$AN$61,COLUMN(平滑数据导入!C$1),0)</f>
        <v>25056.839227698671</v>
      </c>
      <c r="Y44" s="90">
        <f>VLOOKUP($A44,平滑数据导入!$A$1:$AN$61,COLUMN(平滑数据导入!D$1),0)</f>
        <v>25969.961156471119</v>
      </c>
      <c r="Z44" s="141">
        <f>VLOOKUP(A44,情景假设!$B$48:$S$88,14,0)/情景假设!O$47*Z$13</f>
        <v>26954.910968986558</v>
      </c>
      <c r="AA44" s="89">
        <f>VLOOKUP($A44,平滑数据导入!$A$1:$AN$61,COLUMN(平滑数据导入!F$1),0)</f>
        <v>28002.48536190192</v>
      </c>
      <c r="AB44" s="90">
        <f>VLOOKUP($A44,平滑数据导入!$A$1:$AN$61,COLUMN(平滑数据导入!G$1),0)</f>
        <v>29101.66379093019</v>
      </c>
      <c r="AC44" s="90">
        <f>VLOOKUP($A44,平滑数据导入!$A$1:$AN$61,COLUMN(平滑数据导入!H$1),0)</f>
        <v>30239.32618488685</v>
      </c>
      <c r="AD44" s="90">
        <f>VLOOKUP($A44,平滑数据导入!$A$1:$AN$61,COLUMN(平滑数据导入!I$1),0)</f>
        <v>31400.020978862689</v>
      </c>
      <c r="AE44" s="133">
        <f>VLOOKUP(A44,情景假设!$B$48:$S$88,15,0)/情景假设!P$47*AE$13</f>
        <v>32565.803063314444</v>
      </c>
      <c r="AF44" s="90">
        <f>VLOOKUP($A44,平滑数据导入!$A$1:$AN$61,COLUMN(平滑数据导入!K$1),0)</f>
        <v>33717.446194955402</v>
      </c>
      <c r="AG44" s="90">
        <f>VLOOKUP($A44,平滑数据导入!$A$1:$AN$61,COLUMN(平滑数据导入!L$1),0)</f>
        <v>34838.675749968512</v>
      </c>
      <c r="AH44" s="90">
        <f>VLOOKUP($A44,平滑数据导入!$A$1:$AN$61,COLUMN(平滑数据导入!M$1),0)</f>
        <v>35913.047561606298</v>
      </c>
      <c r="AI44" s="90">
        <f>VLOOKUP($A44,平滑数据导入!$A$1:$AN$61,COLUMN(平滑数据导入!N$1),0)</f>
        <v>36922.926076779557</v>
      </c>
      <c r="AJ44" s="141">
        <f>VLOOKUP(A44,情景假设!$B$48:$S$88,16,0)/情景假设!Q$47*AJ$13</f>
        <v>37849.72781842629</v>
      </c>
      <c r="AK44" s="89">
        <f>VLOOKUP($A44,平滑数据导入!$A$1:$AN$61,COLUMN(平滑数据导入!P$1),0)</f>
        <v>38677.225301235711</v>
      </c>
      <c r="AL44" s="90">
        <f>VLOOKUP($A44,平滑数据导入!$A$1:$AN$61,COLUMN(平滑数据导入!Q$1),0)</f>
        <v>39401.338046814933</v>
      </c>
      <c r="AM44" s="90">
        <f>VLOOKUP($A44,平滑数据导入!$A$1:$AN$61,COLUMN(平滑数据导入!R$1),0)</f>
        <v>40022.155985843121</v>
      </c>
      <c r="AN44" s="90">
        <f>VLOOKUP($A44,平滑数据导入!$A$1:$AN$61,COLUMN(平滑数据导入!S$1),0)</f>
        <v>40541.0113715275</v>
      </c>
      <c r="AO44" s="101">
        <f>VLOOKUP($A44,平滑数据导入!$A$1:$AN$61,COLUMN(平滑数据导入!T$1),0)</f>
        <v>40960.382631667613</v>
      </c>
      <c r="AP44" s="90">
        <f>VLOOKUP($A44,平滑数据导入!$A$1:$AN$61,COLUMN(平滑数据导入!U$1),0)</f>
        <v>41283.784065152337</v>
      </c>
      <c r="AQ44" s="90">
        <f>VLOOKUP($A44,平滑数据导入!$A$1:$AN$61,COLUMN(平滑数据导入!V$1),0)</f>
        <v>41515.645641815543</v>
      </c>
      <c r="AR44" s="90">
        <f>VLOOKUP($A44,平滑数据导入!$A$1:$AN$61,COLUMN(平滑数据导入!W$1),0)</f>
        <v>41661.187002113598</v>
      </c>
      <c r="AS44" s="90">
        <f>VLOOKUP($A44,平滑数据导入!$A$1:$AN$61,COLUMN(平滑数据导入!X$1),0)</f>
        <v>41726.289470511409</v>
      </c>
      <c r="AT44" s="90">
        <f>VLOOKUP($A44,平滑数据导入!$A$1:$AN$61,COLUMN(平滑数据导入!Y$1),0)</f>
        <v>41717.369521931738</v>
      </c>
      <c r="AU44" s="89">
        <f>VLOOKUP($A44,平滑数据导入!$A$1:$AN$61,COLUMN(平滑数据导入!Z$1),0)</f>
        <v>41641.256702319297</v>
      </c>
      <c r="AV44" s="90">
        <f>VLOOKUP($A44,平滑数据导入!$A$1:$AN$61,COLUMN(平滑数据导入!AA$1),0)</f>
        <v>41505.078529074919</v>
      </c>
      <c r="AW44" s="90">
        <f>VLOOKUP($A44,平滑数据导入!$A$1:$AN$61,COLUMN(平滑数据导入!AB$1),0)</f>
        <v>41316.154409154922</v>
      </c>
      <c r="AX44" s="90">
        <f>VLOOKUP($A44,平滑数据导入!$A$1:$AN$61,COLUMN(平滑数据导入!AC$1),0)</f>
        <v>41081.900133128896</v>
      </c>
      <c r="AY44" s="133">
        <f>VLOOKUP(A44,情景假设!$B$48:$S$88,17,0)/情景假设!R$47*AY$13</f>
        <v>40809.744049886751</v>
      </c>
      <c r="AZ44" s="89">
        <f>VLOOKUP($A44,平滑数据导入!$A$1:$AN$61,COLUMN(平滑数据导入!AE$1),0)</f>
        <v>40507.055612657037</v>
      </c>
      <c r="BA44" s="90">
        <f>VLOOKUP($A44,平滑数据导入!$A$1:$AN$61,COLUMN(平滑数据导入!AF$1),0)</f>
        <v>40181.086622445531</v>
      </c>
      <c r="BB44" s="90">
        <f>VLOOKUP($A44,平滑数据导入!$A$1:$AN$61,COLUMN(平滑数据导入!AG$1),0)</f>
        <v>39838.925186379951</v>
      </c>
      <c r="BC44" s="90">
        <f>VLOOKUP($A44,平滑数据导入!$A$1:$AN$61,COLUMN(平滑数据导入!AH$1),0)</f>
        <v>39487.462159148468</v>
      </c>
      <c r="BD44" s="101">
        <f>VLOOKUP($A44,平滑数据导入!$A$1:$AN$61,COLUMN(平滑数据导入!AI$1),0)</f>
        <v>39133.369646552826</v>
      </c>
      <c r="BE44" s="90">
        <f>VLOOKUP($A44,平滑数据导入!$A$1:$AN$61,COLUMN(平滑数据导入!AJ$1),0)</f>
        <v>38783.091019942643</v>
      </c>
      <c r="BF44" s="90">
        <f>VLOOKUP($A44,平滑数据导入!$A$1:$AN$61,COLUMN(平滑数据导入!AK$1),0)</f>
        <v>38442.841816260028</v>
      </c>
      <c r="BG44" s="90">
        <f>VLOOKUP($A44,平滑数据导入!$A$1:$AN$61,COLUMN(平滑数据导入!AL$1),0)</f>
        <v>38118.620876947767</v>
      </c>
      <c r="BH44" s="90">
        <f>VLOOKUP($A44,平滑数据导入!$A$1:$AN$61,COLUMN(平滑数据导入!AM$1),0)</f>
        <v>37816.231105981169</v>
      </c>
      <c r="BI44" s="133">
        <f>VLOOKUP(A44,情景假设!$B$48:$S$88,18,0)/情景假设!S$47*BI$13</f>
        <v>37541.30929869497</v>
      </c>
    </row>
    <row r="45" spans="1:61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f>'增加值 (2001-2022, 当年价) '!I45*I$77</f>
        <v>3188.2277004700304</v>
      </c>
      <c r="J45" s="20">
        <f>'增加值 (2001-2022, 当年价) '!J45*J$77</f>
        <v>3578.3489927507817</v>
      </c>
      <c r="K45" s="21">
        <f>'增加值 (2001-2022, 当年价) '!K45*K$77</f>
        <v>4253.3844479133541</v>
      </c>
      <c r="L45" s="19">
        <f>'增加值 (2001-2022, 当年价) '!L45*L$77</f>
        <v>4577.4339061565579</v>
      </c>
      <c r="M45" s="20">
        <f>'增加值 (2001-2022, 当年价) '!M45*M$77</f>
        <v>4558.1419551796325</v>
      </c>
      <c r="N45" s="20">
        <f>'增加值 (2001-2022, 当年价) '!N45*N$77</f>
        <v>4537.9000657809465</v>
      </c>
      <c r="O45" s="20">
        <f>'增加值 (2001-2022, 当年价) '!O45*O$77</f>
        <v>4903.1409148629937</v>
      </c>
      <c r="P45" s="20">
        <f>'增加值 (2001-2022, 当年价) '!P45*P$77</f>
        <v>4967.9583726357478</v>
      </c>
      <c r="Q45" s="19">
        <f>'增加值 (2001-2022, 当年价) '!Q45*Q$77</f>
        <v>5003.297460133128</v>
      </c>
      <c r="R45" s="20">
        <f>'增加值 (2001-2022, 当年价) '!R45*R$77</f>
        <v>5378.3809294904404</v>
      </c>
      <c r="S45" s="20">
        <f>'增加值 (2001-2022, 当年价) '!S45*S$77</f>
        <v>5639.0741579686864</v>
      </c>
      <c r="T45" s="20">
        <f>'增加值 (2001-2022, 当年价) '!T45*T$77</f>
        <v>5839.3471629389132</v>
      </c>
      <c r="U45" s="21">
        <f>'增加值 (2001-2022, 当年价) '!U45*U$77</f>
        <v>5631.8307687185261</v>
      </c>
      <c r="V45" s="20">
        <f>'增加值 (2001-2022, 当年价) '!V45*V$77</f>
        <v>6356.3613377239653</v>
      </c>
      <c r="W45" s="20">
        <f>'增加值 (2001-2022, 当年价) '!W45*W$77</f>
        <v>6611.9630030332355</v>
      </c>
      <c r="X45" s="90">
        <f>VLOOKUP($A45,平滑数据导入!$A$1:$AN$61,COLUMN(平滑数据导入!C$1),0)</f>
        <v>6760.3109068923604</v>
      </c>
      <c r="Y45" s="90">
        <f>VLOOKUP($A45,平滑数据导入!$A$1:$AN$61,COLUMN(平滑数据导入!D$1),0)</f>
        <v>6928.0304485823217</v>
      </c>
      <c r="Z45" s="141">
        <f>VLOOKUP(A45,情景假设!$B$48:$S$88,14,0)/情景假设!O$47*Z$13</f>
        <v>7112.4760832803795</v>
      </c>
      <c r="AA45" s="89">
        <f>VLOOKUP($A45,平滑数据导入!$A$1:$AN$61,COLUMN(平滑数据导入!F$1),0)</f>
        <v>7310.7311537013438</v>
      </c>
      <c r="AB45" s="90">
        <f>VLOOKUP($A45,平滑数据导入!$A$1:$AN$61,COLUMN(平滑数据导入!G$1),0)</f>
        <v>7519.5321514907537</v>
      </c>
      <c r="AC45" s="90">
        <f>VLOOKUP($A45,平滑数据导入!$A$1:$AN$61,COLUMN(平滑数据导入!H$1),0)</f>
        <v>7735.2061155869333</v>
      </c>
      <c r="AD45" s="90">
        <f>VLOOKUP($A45,平滑数据导入!$A$1:$AN$61,COLUMN(平滑数据导入!I$1),0)</f>
        <v>7953.6243095537366</v>
      </c>
      <c r="AE45" s="133">
        <f>VLOOKUP(A45,情景假设!$B$48:$S$88,15,0)/情景假设!P$47*AE$13</f>
        <v>8170.1761154764108</v>
      </c>
      <c r="AF45" s="90">
        <f>VLOOKUP($A45,平滑数据导入!$A$1:$AN$61,COLUMN(平滑数据导入!K$1),0)</f>
        <v>8380.1475049915298</v>
      </c>
      <c r="AG45" s="90">
        <f>VLOOKUP($A45,平滑数据导入!$A$1:$AN$61,COLUMN(平滑数据导入!L$1),0)</f>
        <v>8579.960617370316</v>
      </c>
      <c r="AH45" s="90">
        <f>VLOOKUP($A45,平滑数据导入!$A$1:$AN$61,COLUMN(平滑数据导入!M$1),0)</f>
        <v>8766.2022577288426</v>
      </c>
      <c r="AI45" s="90">
        <f>VLOOKUP($A45,平滑数据导入!$A$1:$AN$61,COLUMN(平滑数据导入!N$1),0)</f>
        <v>8935.3056720601471</v>
      </c>
      <c r="AJ45" s="141">
        <f>VLOOKUP(A45,情景假设!$B$48:$S$88,16,0)/情景假设!Q$47*AJ$13</f>
        <v>9083.6052138966479</v>
      </c>
      <c r="AK45" s="89">
        <f>VLOOKUP($A45,平滑数据导入!$A$1:$AN$61,COLUMN(平滑数据导入!P$1),0)</f>
        <v>9208.0553715967508</v>
      </c>
      <c r="AL45" s="90">
        <f>VLOOKUP($A45,平滑数据导入!$A$1:$AN$61,COLUMN(平滑数据导入!Q$1),0)</f>
        <v>9308.3210936115975</v>
      </c>
      <c r="AM45" s="90">
        <f>VLOOKUP($A45,平滑数据导入!$A$1:$AN$61,COLUMN(平滑数据导入!R$1),0)</f>
        <v>9384.9557895486305</v>
      </c>
      <c r="AN45" s="90">
        <f>VLOOKUP($A45,平滑数据导入!$A$1:$AN$61,COLUMN(平滑数据导入!S$1),0)</f>
        <v>9438.7444146540038</v>
      </c>
      <c r="AO45" s="101">
        <f>VLOOKUP($A45,平滑数据导入!$A$1:$AN$61,COLUMN(平滑数据导入!T$1),0)</f>
        <v>9470.6768959544988</v>
      </c>
      <c r="AP45" s="90">
        <f>VLOOKUP($A45,平滑数据导入!$A$1:$AN$61,COLUMN(平滑数据导入!U$1),0)</f>
        <v>9481.9201161928249</v>
      </c>
      <c r="AQ45" s="90">
        <f>VLOOKUP($A45,平滑数据导入!$A$1:$AN$61,COLUMN(平滑数据导入!V$1),0)</f>
        <v>9473.7892722442248</v>
      </c>
      <c r="AR45" s="90">
        <f>VLOOKUP($A45,平滑数据导入!$A$1:$AN$61,COLUMN(平滑数据导入!W$1),0)</f>
        <v>9447.7193520281598</v>
      </c>
      <c r="AS45" s="90">
        <f>VLOOKUP($A45,平滑数据导入!$A$1:$AN$61,COLUMN(平滑数据导入!X$1),0)</f>
        <v>9405.2373864401725</v>
      </c>
      <c r="AT45" s="90">
        <f>VLOOKUP($A45,平滑数据导入!$A$1:$AN$61,COLUMN(平滑数据导入!Y$1),0)</f>
        <v>9347.9360358842769</v>
      </c>
      <c r="AU45" s="89">
        <f>VLOOKUP($A45,平滑数据导入!$A$1:$AN$61,COLUMN(平滑数据导入!Z$1),0)</f>
        <v>9277.4489695526845</v>
      </c>
      <c r="AV45" s="90">
        <f>VLOOKUP($A45,平滑数据导入!$A$1:$AN$61,COLUMN(平滑数据导入!AA$1),0)</f>
        <v>9195.4283940881596</v>
      </c>
      <c r="AW45" s="90">
        <f>VLOOKUP($A45,平滑数据导入!$A$1:$AN$61,COLUMN(平滑数据导入!AB$1),0)</f>
        <v>9103.5249904039738</v>
      </c>
      <c r="AX45" s="90">
        <f>VLOOKUP($A45,平滑数据导入!$A$1:$AN$61,COLUMN(平滑数据导入!AC$1),0)</f>
        <v>9003.3704262418378</v>
      </c>
      <c r="AY45" s="133">
        <f>VLOOKUP(A45,情景假设!$B$48:$S$88,17,0)/情景假设!R$47*AY$13</f>
        <v>8896.5625297848637</v>
      </c>
      <c r="AZ45" s="89">
        <f>VLOOKUP($A45,平滑数据导入!$A$1:$AN$61,COLUMN(平滑数据导入!AE$1),0)</f>
        <v>8784.6531378809177</v>
      </c>
      <c r="BA45" s="90">
        <f>VLOOKUP($A45,平滑数据导入!$A$1:$AN$61,COLUMN(平滑数据导入!AF$1),0)</f>
        <v>8669.1385720886337</v>
      </c>
      <c r="BB45" s="90">
        <f>VLOOKUP($A45,平滑数据导入!$A$1:$AN$61,COLUMN(平滑数据导入!AG$1),0)</f>
        <v>8551.4526471901027</v>
      </c>
      <c r="BC45" s="90">
        <f>VLOOKUP($A45,平滑数据导入!$A$1:$AN$61,COLUMN(平滑数据导入!AH$1),0)</f>
        <v>8432.9620799032818</v>
      </c>
      <c r="BD45" s="101">
        <f>VLOOKUP($A45,平滑数据导入!$A$1:$AN$61,COLUMN(平滑数据导入!AI$1),0)</f>
        <v>8314.9641397904452</v>
      </c>
      <c r="BE45" s="90">
        <f>VLOOKUP($A45,平滑数据导入!$A$1:$AN$61,COLUMN(平滑数据导入!AJ$1),0)</f>
        <v>8198.6863690297214</v>
      </c>
      <c r="BF45" s="90">
        <f>VLOOKUP($A45,平滑数据导入!$A$1:$AN$61,COLUMN(平滑数据导入!AK$1),0)</f>
        <v>8085.2881918680287</v>
      </c>
      <c r="BG45" s="90">
        <f>VLOOKUP($A45,平滑数据导入!$A$1:$AN$61,COLUMN(平滑数据导入!AL$1),0)</f>
        <v>7975.8642371667966</v>
      </c>
      <c r="BH45" s="90">
        <f>VLOOKUP($A45,平滑数据导入!$A$1:$AN$61,COLUMN(平滑数据导入!AM$1),0)</f>
        <v>7871.4492074511809</v>
      </c>
      <c r="BI45" s="133">
        <f>VLOOKUP(A45,情景假设!$B$48:$S$88,18,0)/情景假设!S$47*BI$13</f>
        <v>7773.0241442784773</v>
      </c>
    </row>
    <row r="46" spans="1:61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f>'增加值 (2001-2022, 当年价) '!I46*I$77</f>
        <v>8838.8458981359108</v>
      </c>
      <c r="J46" s="20">
        <f>'增加值 (2001-2022, 当年价) '!J46*J$77</f>
        <v>9384.156595166769</v>
      </c>
      <c r="K46" s="21">
        <f>'增加值 (2001-2022, 当年价) '!K46*K$77</f>
        <v>10817.240653312754</v>
      </c>
      <c r="L46" s="19">
        <f>'增加值 (2001-2022, 当年价) '!L46*L$77</f>
        <v>11901.217689061259</v>
      </c>
      <c r="M46" s="20">
        <f>'增加值 (2001-2022, 当年价) '!M46*M$77</f>
        <v>12428.8831864778</v>
      </c>
      <c r="N46" s="20">
        <f>'增加值 (2001-2022, 当年价) '!N46*N$77</f>
        <v>13093.912999248869</v>
      </c>
      <c r="O46" s="20">
        <f>'增加值 (2001-2022, 当年价) '!O46*O$77</f>
        <v>13733.533913610911</v>
      </c>
      <c r="P46" s="20">
        <f>'增加值 (2001-2022, 当年价) '!P46*P$77</f>
        <v>13980.230978733629</v>
      </c>
      <c r="Q46" s="19">
        <f>'增加值 (2001-2022, 当年价) '!Q46*Q$77</f>
        <v>14802.762226490715</v>
      </c>
      <c r="R46" s="20">
        <f>'增加值 (2001-2022, 当年价) '!R46*R$77</f>
        <v>16571.758972982709</v>
      </c>
      <c r="S46" s="20">
        <f>'增加值 (2001-2022, 当年价) '!S46*S$77</f>
        <v>17705.011225836581</v>
      </c>
      <c r="T46" s="20">
        <f>'增加值 (2001-2022, 当年价) '!T46*T$77</f>
        <v>18897.138056727734</v>
      </c>
      <c r="U46" s="21">
        <f>'增加值 (2001-2022, 当年价) '!U46*U$77</f>
        <v>19907.377761640477</v>
      </c>
      <c r="V46" s="20">
        <f>'增加值 (2001-2022, 当年价) '!V46*V$77</f>
        <v>24209.543450590434</v>
      </c>
      <c r="W46" s="20">
        <f>'增加值 (2001-2022, 当年价) '!W46*W$77</f>
        <v>27519.375031440293</v>
      </c>
      <c r="X46" s="90">
        <f>VLOOKUP($A46,平滑数据导入!$A$1:$AN$61,COLUMN(平滑数据导入!C$1),0)</f>
        <v>29678.766530101129</v>
      </c>
      <c r="Y46" s="90">
        <f>VLOOKUP($A46,平滑数据导入!$A$1:$AN$61,COLUMN(平滑数据导入!D$1),0)</f>
        <v>32030.198610170632</v>
      </c>
      <c r="Z46" s="141">
        <f>VLOOKUP(A46,情景假设!$B$48:$S$88,14,0)/情景假设!O$47*Z$13</f>
        <v>34576.666481186934</v>
      </c>
      <c r="AA46" s="89">
        <f>VLOOKUP($A46,平滑数据导入!$A$1:$AN$61,COLUMN(平滑数据导入!F$1),0)</f>
        <v>37318.099349769538</v>
      </c>
      <c r="AB46" s="90">
        <f>VLOOKUP($A46,平滑数据导入!$A$1:$AN$61,COLUMN(平滑数据导入!G$1),0)</f>
        <v>40250.568635672178</v>
      </c>
      <c r="AC46" s="90">
        <f>VLOOKUP($A46,平滑数据导入!$A$1:$AN$61,COLUMN(平滑数据导入!H$1),0)</f>
        <v>43365.447584270361</v>
      </c>
      <c r="AD46" s="90">
        <f>VLOOKUP($A46,平滑数据导入!$A$1:$AN$61,COLUMN(平滑数据导入!I$1),0)</f>
        <v>46648.550870684718</v>
      </c>
      <c r="AE46" s="133">
        <f>VLOOKUP(A46,情景假设!$B$48:$S$88,15,0)/情景假设!P$47*AE$13</f>
        <v>50079.293464171162</v>
      </c>
      <c r="AF46" s="90">
        <f>VLOOKUP($A46,平滑数据导入!$A$1:$AN$61,COLUMN(平滑数据导入!K$1),0)</f>
        <v>53630.572314561257</v>
      </c>
      <c r="AG46" s="90">
        <f>VLOOKUP($A46,平滑数据导入!$A$1:$AN$61,COLUMN(平滑数据导入!L$1),0)</f>
        <v>57270.439680351563</v>
      </c>
      <c r="AH46" s="90">
        <f>VLOOKUP($A46,平滑数据导入!$A$1:$AN$61,COLUMN(平滑数据导入!M$1),0)</f>
        <v>60960.340492976728</v>
      </c>
      <c r="AI46" s="90">
        <f>VLOOKUP($A46,平滑数据导入!$A$1:$AN$61,COLUMN(平滑数据导入!N$1),0)</f>
        <v>64654.382089489343</v>
      </c>
      <c r="AJ46" s="141">
        <f>VLOOKUP(A46,情景假设!$B$48:$S$88,16,0)/情景假设!Q$47*AJ$13</f>
        <v>68299.44821523226</v>
      </c>
      <c r="AK46" s="89">
        <f>VLOOKUP($A46,平滑数据导入!$A$1:$AN$61,COLUMN(平滑数据导入!P$1),0)</f>
        <v>71842.835819897125</v>
      </c>
      <c r="AL46" s="90">
        <f>VLOOKUP($A46,平滑数据导入!$A$1:$AN$61,COLUMN(平滑数据导入!Q$1),0)</f>
        <v>75257.366119856757</v>
      </c>
      <c r="AM46" s="90">
        <f>VLOOKUP($A46,平滑数据导入!$A$1:$AN$61,COLUMN(平滑数据导入!R$1),0)</f>
        <v>78525.287194200951</v>
      </c>
      <c r="AN46" s="90">
        <f>VLOOKUP($A46,平滑数据导入!$A$1:$AN$61,COLUMN(平滑数据导入!S$1),0)</f>
        <v>81632.052725641159</v>
      </c>
      <c r="AO46" s="101">
        <f>VLOOKUP($A46,平滑数据导入!$A$1:$AN$61,COLUMN(平滑数据导入!T$1),0)</f>
        <v>84566.481413624657</v>
      </c>
      <c r="AP46" s="90">
        <f>VLOOKUP($A46,平滑数据导入!$A$1:$AN$61,COLUMN(平滑数据导入!U$1),0)</f>
        <v>87320.830776305083</v>
      </c>
      <c r="AQ46" s="90">
        <f>VLOOKUP($A46,平滑数据导入!$A$1:$AN$61,COLUMN(平滑数据导入!V$1),0)</f>
        <v>89890.791692913714</v>
      </c>
      <c r="AR46" s="90">
        <f>VLOOKUP($A46,平滑数据导入!$A$1:$AN$61,COLUMN(平滑数据导入!W$1),0)</f>
        <v>92275.412408801669</v>
      </c>
      <c r="AS46" s="90">
        <f>VLOOKUP($A46,平滑数据导入!$A$1:$AN$61,COLUMN(平滑数据导入!X$1),0)</f>
        <v>94476.962477220179</v>
      </c>
      <c r="AT46" s="90">
        <f>VLOOKUP($A46,平滑数据导入!$A$1:$AN$61,COLUMN(平滑数据导入!Y$1),0)</f>
        <v>96500.748247479176</v>
      </c>
      <c r="AU46" s="89">
        <f>VLOOKUP($A46,平滑数据导入!$A$1:$AN$61,COLUMN(平滑数据导入!Z$1),0)</f>
        <v>98354.892065385793</v>
      </c>
      <c r="AV46" s="90">
        <f>VLOOKUP($A46,平滑数据导入!$A$1:$AN$61,COLUMN(平滑数据导入!AA$1),0)</f>
        <v>100050.0873926304</v>
      </c>
      <c r="AW46" s="90">
        <f>VLOOKUP($A46,平滑数据导入!$A$1:$AN$61,COLUMN(平滑数据导入!AB$1),0)</f>
        <v>101599.341659736</v>
      </c>
      <c r="AX46" s="90">
        <f>VLOOKUP($A46,平滑数据导入!$A$1:$AN$61,COLUMN(平滑数据导入!AC$1),0)</f>
        <v>103017.71793641269</v>
      </c>
      <c r="AY46" s="133">
        <f>VLOOKUP(A46,情景假设!$B$48:$S$88,17,0)/情景假设!R$47*AY$13</f>
        <v>104322.08553195672</v>
      </c>
      <c r="AZ46" s="89">
        <f>VLOOKUP($A46,平滑数据导入!$A$1:$AN$61,COLUMN(平滑数据导入!AE$1),0)</f>
        <v>105530.8885237534</v>
      </c>
      <c r="BA46" s="90">
        <f>VLOOKUP($A46,平滑数据导入!$A$1:$AN$61,COLUMN(平滑数据导入!AF$1),0)</f>
        <v>106663.9400450207</v>
      </c>
      <c r="BB46" s="90">
        <f>VLOOKUP($A46,平滑数据导入!$A$1:$AN$61,COLUMN(平滑数据导入!AG$1),0)</f>
        <v>107742.2490258319</v>
      </c>
      <c r="BC46" s="90">
        <f>VLOOKUP($A46,平滑数据导入!$A$1:$AN$61,COLUMN(平滑数据导入!AH$1),0)</f>
        <v>108787.8850457629</v>
      </c>
      <c r="BD46" s="101">
        <f>VLOOKUP($A46,平滑数据导入!$A$1:$AN$61,COLUMN(平滑数据导入!AI$1),0)</f>
        <v>109823.88608284159</v>
      </c>
      <c r="BE46" s="90">
        <f>VLOOKUP($A46,平滑数据导入!$A$1:$AN$61,COLUMN(平滑数据导入!AJ$1),0)</f>
        <v>110874.21328215821</v>
      </c>
      <c r="BF46" s="90">
        <f>VLOOKUP($A46,平滑数据导入!$A$1:$AN$61,COLUMN(平滑数据导入!AK$1),0)</f>
        <v>111963.756460419</v>
      </c>
      <c r="BG46" s="90">
        <f>VLOOKUP($A46,平滑数据导入!$A$1:$AN$61,COLUMN(平滑数据导入!AL$1),0)</f>
        <v>113118.3939454895</v>
      </c>
      <c r="BH46" s="90">
        <f>VLOOKUP($A46,平滑数据导入!$A$1:$AN$61,COLUMN(平滑数据导入!AM$1),0)</f>
        <v>114365.11055528891</v>
      </c>
      <c r="BI46" s="133">
        <f>VLOOKUP(A46,情景假设!$B$48:$S$88,18,0)/情景假设!S$47*BI$13</f>
        <v>115732.17808148303</v>
      </c>
    </row>
    <row r="47" spans="1:61" x14ac:dyDescent="0.2">
      <c r="A47" s="30" t="s">
        <v>104</v>
      </c>
      <c r="B47" s="19"/>
      <c r="C47" s="20"/>
      <c r="D47" s="20"/>
      <c r="E47" s="20"/>
      <c r="F47" s="21"/>
      <c r="G47" s="19"/>
      <c r="H47" s="20"/>
      <c r="I47" s="20">
        <f>'增加值 (2001-2022, 当年价) '!I47*I$77</f>
        <v>12389.44931527424</v>
      </c>
      <c r="J47" s="20">
        <f>'增加值 (2001-2022, 当年价) '!J47*J$77</f>
        <v>12366.933798334967</v>
      </c>
      <c r="K47" s="21">
        <f>'增加值 (2001-2022, 当年价) '!K47*K$77</f>
        <v>14039.352340459805</v>
      </c>
      <c r="L47" s="19">
        <f>'增加值 (2001-2022, 当年价) '!L47*L$77</f>
        <v>15635.073609400111</v>
      </c>
      <c r="M47" s="20">
        <f>'增加值 (2001-2022, 当年价) '!M47*M$77</f>
        <v>16685.515258118838</v>
      </c>
      <c r="N47" s="20">
        <f>'增加值 (2001-2022, 当年价) '!N47*N$77</f>
        <v>17641.706205868722</v>
      </c>
      <c r="O47" s="20">
        <f>'增加值 (2001-2022, 当年价) '!O47*O$77</f>
        <v>18977.06187241953</v>
      </c>
      <c r="P47" s="20">
        <f>'增加值 (2001-2022, 当年价) '!P47*P$77</f>
        <v>19894.066811321558</v>
      </c>
      <c r="Q47" s="19">
        <f>'增加值 (2001-2022, 当年价) '!Q47*Q$77</f>
        <v>21355.755278544293</v>
      </c>
      <c r="R47" s="20">
        <f>'增加值 (2001-2022, 当年价) '!R47*R$77</f>
        <v>24599.592644385197</v>
      </c>
      <c r="S47" s="20">
        <f>'增加值 (2001-2022, 当年价) '!S47*S$77</f>
        <v>27702.463848883261</v>
      </c>
      <c r="T47" s="20">
        <f>'增加值 (2001-2022, 当年价) '!T47*T$77</f>
        <v>29193.809335406564</v>
      </c>
      <c r="U47" s="21">
        <f>'增加值 (2001-2022, 当年价) '!U47*U$77</f>
        <v>30415.615726595752</v>
      </c>
      <c r="V47" s="20">
        <f>'增加值 (2001-2022, 当年价) '!V47*V$77</f>
        <v>36640.354816724648</v>
      </c>
      <c r="W47" s="20">
        <f>'增加值 (2001-2022, 当年价) '!W47*W$77</f>
        <v>40049.197919647981</v>
      </c>
      <c r="X47" s="90">
        <f>VLOOKUP($A47,平滑数据导入!$A$1:$AN$61,COLUMN(平滑数据导入!C$1),0)</f>
        <v>43895.69461793104</v>
      </c>
      <c r="Y47" s="90">
        <f>VLOOKUP($A47,平滑数据导入!$A$1:$AN$61,COLUMN(平滑数据导入!D$1),0)</f>
        <v>47884.942837803348</v>
      </c>
      <c r="Z47" s="141">
        <f>VLOOKUP(A47,情景假设!$B$48:$S$88,14,0)/情景假设!O$47*Z$13</f>
        <v>52023.618339824294</v>
      </c>
      <c r="AA47" s="89">
        <f>VLOOKUP($A47,平滑数据导入!$A$1:$AN$61,COLUMN(平滑数据导入!F$1),0)</f>
        <v>56325.137451063121</v>
      </c>
      <c r="AB47" s="90">
        <f>VLOOKUP($A47,平滑数据导入!$A$1:$AN$61,COLUMN(平滑数据导入!G$1),0)</f>
        <v>60810.654666785013</v>
      </c>
      <c r="AC47" s="90">
        <f>VLOOKUP($A47,平滑数据导入!$A$1:$AN$61,COLUMN(平滑数据导入!H$1),0)</f>
        <v>65510.120855026958</v>
      </c>
      <c r="AD47" s="90">
        <f>VLOOKUP($A47,平滑数据导入!$A$1:$AN$61,COLUMN(平滑数据导入!I$1),0)</f>
        <v>70463.468163905243</v>
      </c>
      <c r="AE47" s="133">
        <f>VLOOKUP(A47,情景假设!$B$48:$S$88,15,0)/情景假设!P$47*AE$13</f>
        <v>75722.006208323786</v>
      </c>
      <c r="AF47" s="90">
        <f>VLOOKUP($A47,平滑数据导入!$A$1:$AN$61,COLUMN(平滑数据导入!K$1),0)</f>
        <v>81331.839442172524</v>
      </c>
      <c r="AG47" s="90">
        <f>VLOOKUP($A47,平滑数据导入!$A$1:$AN$61,COLUMN(平滑数据导入!L$1),0)</f>
        <v>87270.331067540814</v>
      </c>
      <c r="AH47" s="90">
        <f>VLOOKUP($A47,平滑数据导入!$A$1:$AN$61,COLUMN(平滑数据导入!M$1),0)</f>
        <v>93482.361003496422</v>
      </c>
      <c r="AI47" s="90">
        <f>VLOOKUP($A47,平滑数据导入!$A$1:$AN$61,COLUMN(平滑数据导入!N$1),0)</f>
        <v>99893.956725671334</v>
      </c>
      <c r="AJ47" s="141">
        <f>VLOOKUP(A47,情景假设!$B$48:$S$88,16,0)/情景假设!Q$47*AJ$13</f>
        <v>106410.55953303602</v>
      </c>
      <c r="AK47" s="89">
        <f>VLOOKUP($A47,平滑数据导入!$A$1:$AN$61,COLUMN(平滑数据导入!P$1),0)</f>
        <v>112932.9323897858</v>
      </c>
      <c r="AL47" s="90">
        <f>VLOOKUP($A47,平滑数据导入!$A$1:$AN$61,COLUMN(平滑数据导入!Q$1),0)</f>
        <v>119415.5678333125</v>
      </c>
      <c r="AM47" s="90">
        <f>VLOOKUP($A47,平滑数据导入!$A$1:$AN$61,COLUMN(平滑数据导入!R$1),0)</f>
        <v>125830.1685750043</v>
      </c>
      <c r="AN47" s="90">
        <f>VLOOKUP($A47,平滑数据导入!$A$1:$AN$61,COLUMN(平滑数据导入!S$1),0)</f>
        <v>132151.20228913709</v>
      </c>
      <c r="AO47" s="101">
        <f>VLOOKUP($A47,平滑数据导入!$A$1:$AN$61,COLUMN(平滑数据导入!T$1),0)</f>
        <v>138356.31652228601</v>
      </c>
      <c r="AP47" s="90">
        <f>VLOOKUP($A47,平滑数据导入!$A$1:$AN$61,COLUMN(平滑数据导入!U$1),0)</f>
        <v>144426.6769137274</v>
      </c>
      <c r="AQ47" s="90">
        <f>VLOOKUP($A47,平滑数据导入!$A$1:$AN$61,COLUMN(平滑数据导入!V$1),0)</f>
        <v>150347.22748513409</v>
      </c>
      <c r="AR47" s="90">
        <f>VLOOKUP($A47,平滑数据导入!$A$1:$AN$61,COLUMN(平滑数据导入!W$1),0)</f>
        <v>156106.87460640579</v>
      </c>
      <c r="AS47" s="90">
        <f>VLOOKUP($A47,平滑数据导入!$A$1:$AN$61,COLUMN(平滑数据导入!X$1),0)</f>
        <v>161698.59878953951</v>
      </c>
      <c r="AT47" s="90">
        <f>VLOOKUP($A47,平滑数据导入!$A$1:$AN$61,COLUMN(平滑数据导入!Y$1),0)</f>
        <v>167119.50064014131</v>
      </c>
      <c r="AU47" s="89">
        <f>VLOOKUP($A47,平滑数据导入!$A$1:$AN$61,COLUMN(平滑数据导入!Z$1),0)</f>
        <v>172370.7890702631</v>
      </c>
      <c r="AV47" s="90">
        <f>VLOOKUP($A47,平滑数据导入!$A$1:$AN$61,COLUMN(平滑数据导入!AA$1),0)</f>
        <v>177457.72123615191</v>
      </c>
      <c r="AW47" s="90">
        <f>VLOOKUP($A47,平滑数据导入!$A$1:$AN$61,COLUMN(平滑数据导入!AB$1),0)</f>
        <v>182389.5046229155</v>
      </c>
      <c r="AX47" s="90">
        <f>VLOOKUP($A47,平滑数据导入!$A$1:$AN$61,COLUMN(平滑数据导入!AC$1),0)</f>
        <v>187179.17228718579</v>
      </c>
      <c r="AY47" s="133">
        <f>VLOOKUP(A47,情景假设!$B$48:$S$88,17,0)/情景假设!R$47*AY$13</f>
        <v>191843.44253623605</v>
      </c>
      <c r="AZ47" s="89">
        <f>VLOOKUP($A47,平滑数据导入!$A$1:$AN$61,COLUMN(平滑数据导入!AE$1),0)</f>
        <v>196402.57432688901</v>
      </c>
      <c r="BA47" s="90">
        <f>VLOOKUP($A47,平滑数据导入!$A$1:$AN$61,COLUMN(平滑数据导入!AF$1),0)</f>
        <v>200880.2294767728</v>
      </c>
      <c r="BB47" s="90">
        <f>VLOOKUP($A47,平滑数据导入!$A$1:$AN$61,COLUMN(平滑数据导入!AG$1),0)</f>
        <v>205303.352465189</v>
      </c>
      <c r="BC47" s="90">
        <f>VLOOKUP($A47,平滑数据导入!$A$1:$AN$61,COLUMN(平滑数据导入!AH$1),0)</f>
        <v>209702.07823390109</v>
      </c>
      <c r="BD47" s="101">
        <f>VLOOKUP($A47,平滑数据导入!$A$1:$AN$61,COLUMN(平滑数据导入!AI$1),0)</f>
        <v>214109.67805216881</v>
      </c>
      <c r="BE47" s="90">
        <f>VLOOKUP($A47,平滑数据导入!$A$1:$AN$61,COLUMN(平滑数据导入!AJ$1),0)</f>
        <v>218562.55325652359</v>
      </c>
      <c r="BF47" s="90">
        <f>VLOOKUP($A47,平滑数据导入!$A$1:$AN$61,COLUMN(平滑数据导入!AK$1),0)</f>
        <v>223100.28658399911</v>
      </c>
      <c r="BG47" s="90">
        <f>VLOOKUP($A47,平滑数据导入!$A$1:$AN$61,COLUMN(平滑数据导入!AL$1),0)</f>
        <v>227765.76095649961</v>
      </c>
      <c r="BH47" s="90">
        <f>VLOOKUP($A47,平滑数据导入!$A$1:$AN$61,COLUMN(平滑数据导入!AM$1),0)</f>
        <v>232605.35601341369</v>
      </c>
      <c r="BI47" s="133">
        <f>VLOOKUP(A47,情景假设!$B$48:$S$88,18,0)/情景假设!S$47*BI$13</f>
        <v>237669.23350185761</v>
      </c>
    </row>
    <row r="48" spans="1:61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f>'增加值 (2001-2022, 当年价) '!I48*I$77</f>
        <v>1270.0793844876139</v>
      </c>
      <c r="J48" s="20">
        <f>'增加值 (2001-2022, 当年价) '!J48*J$77</f>
        <v>1228.0405287348781</v>
      </c>
      <c r="K48" s="21">
        <f>'增加值 (2001-2022, 当年价) '!K48*K$77</f>
        <v>1426.3115727722129</v>
      </c>
      <c r="L48" s="19">
        <f>'增加值 (2001-2022, 当年价) '!L48*L$77</f>
        <v>1593.909068268578</v>
      </c>
      <c r="M48" s="20">
        <f>'增加值 (2001-2022, 当年价) '!M48*M$77</f>
        <v>1708.5827273955535</v>
      </c>
      <c r="N48" s="20">
        <f>'增加值 (2001-2022, 当年价) '!N48*N$77</f>
        <v>1811.3651372659692</v>
      </c>
      <c r="O48" s="20">
        <f>'增加值 (2001-2022, 当年价) '!O48*O$77</f>
        <v>1899.8480090712155</v>
      </c>
      <c r="P48" s="20">
        <f>'增加值 (2001-2022, 当年价) '!P48*P$77</f>
        <v>1899.7295995723066</v>
      </c>
      <c r="Q48" s="19">
        <f>'增加值 (2001-2022, 当年价) '!Q48*Q$77</f>
        <v>2028.186042724089</v>
      </c>
      <c r="R48" s="20">
        <f>'增加值 (2001-2022, 当年价) '!R48*R$77</f>
        <v>2309.5694704099037</v>
      </c>
      <c r="S48" s="20">
        <f>'增加值 (2001-2022, 当年价) '!S48*S$77</f>
        <v>2442.2123507432102</v>
      </c>
      <c r="T48" s="20">
        <f>'增加值 (2001-2022, 当年价) '!T48*T$77</f>
        <v>2601.9437875043291</v>
      </c>
      <c r="U48" s="21">
        <f>'增加值 (2001-2022, 当年价) '!U48*U$77</f>
        <v>2602.606982377547</v>
      </c>
      <c r="V48" s="20">
        <f>'增加值 (2001-2022, 当年价) '!V48*V$77</f>
        <v>3034.983345987991</v>
      </c>
      <c r="W48" s="20">
        <f>'增加值 (2001-2022, 当年价) '!W48*W$77</f>
        <v>3224.8526645654251</v>
      </c>
      <c r="X48" s="90">
        <f>VLOOKUP($A48,平滑数据导入!$A$1:$AN$61,COLUMN(平滑数据导入!C$1),0)</f>
        <v>3431.7689157605332</v>
      </c>
      <c r="Y48" s="90">
        <f>VLOOKUP($A48,平滑数据导入!$A$1:$AN$61,COLUMN(平滑数据导入!D$1),0)</f>
        <v>3642.525975669651</v>
      </c>
      <c r="Z48" s="141">
        <f>VLOOKUP(A48,情景假设!$B$48:$S$88,14,0)/情景假设!O$47*Z$13</f>
        <v>3857.4429354561566</v>
      </c>
      <c r="AA48" s="89">
        <f>VLOOKUP($A48,平滑数据导入!$A$1:$AN$61,COLUMN(平滑数据导入!F$1),0)</f>
        <v>4077.034274849394</v>
      </c>
      <c r="AB48" s="90">
        <f>VLOOKUP($A48,平滑数据导入!$A$1:$AN$61,COLUMN(平滑数据导入!G$1),0)</f>
        <v>4302.0255285005896</v>
      </c>
      <c r="AC48" s="90">
        <f>VLOOKUP($A48,平滑数据导入!$A$1:$AN$61,COLUMN(平滑数据导入!H$1),0)</f>
        <v>4533.3697326532056</v>
      </c>
      <c r="AD48" s="90">
        <f>VLOOKUP($A48,平滑数据导入!$A$1:$AN$61,COLUMN(平滑数据导入!I$1),0)</f>
        <v>4772.2655698080853</v>
      </c>
      <c r="AE48" s="133">
        <f>VLOOKUP(A48,情景假设!$B$48:$S$88,15,0)/情景假设!P$47*AE$13</f>
        <v>5020.1782782722839</v>
      </c>
      <c r="AF48" s="90">
        <f>VLOOKUP($A48,平滑数据导入!$A$1:$AN$61,COLUMN(平滑数据导入!K$1),0)</f>
        <v>5278.0774515698449</v>
      </c>
      <c r="AG48" s="90">
        <f>VLOOKUP($A48,平滑数据导入!$A$1:$AN$61,COLUMN(平滑数据导入!L$1),0)</f>
        <v>5543.7855966435236</v>
      </c>
      <c r="AH48" s="90">
        <f>VLOOKUP($A48,平滑数据导入!$A$1:$AN$61,COLUMN(平滑数据导入!M$1),0)</f>
        <v>5813.7766992349898</v>
      </c>
      <c r="AI48" s="90">
        <f>VLOOKUP($A48,平滑数据导入!$A$1:$AN$61,COLUMN(平滑数据导入!N$1),0)</f>
        <v>6083.8532302250678</v>
      </c>
      <c r="AJ48" s="141">
        <f>VLOOKUP(A48,情景假设!$B$48:$S$88,16,0)/情景假设!Q$47*AJ$13</f>
        <v>6349.1381354359855</v>
      </c>
      <c r="AK48" s="89">
        <f>VLOOKUP($A48,平滑数据导入!$A$1:$AN$61,COLUMN(平滑数据导入!P$1),0)</f>
        <v>6604.9146683176641</v>
      </c>
      <c r="AL48" s="90">
        <f>VLOOKUP($A48,平滑数据导入!$A$1:$AN$61,COLUMN(平滑数据导入!Q$1),0)</f>
        <v>6849.3730054696889</v>
      </c>
      <c r="AM48" s="90">
        <f>VLOOKUP($A48,平滑数据导入!$A$1:$AN$61,COLUMN(平滑数据导入!R$1),0)</f>
        <v>7081.6408138476154</v>
      </c>
      <c r="AN48" s="90">
        <f>VLOOKUP($A48,平滑数据导入!$A$1:$AN$61,COLUMN(平滑数据导入!S$1),0)</f>
        <v>7301.0402516272252</v>
      </c>
      <c r="AO48" s="101">
        <f>VLOOKUP($A48,平滑数据导入!$A$1:$AN$61,COLUMN(平滑数据导入!T$1),0)</f>
        <v>7507.0906436744499</v>
      </c>
      <c r="AP48" s="90">
        <f>VLOOKUP($A48,平滑数据导入!$A$1:$AN$61,COLUMN(平滑数据导入!U$1),0)</f>
        <v>7699.5074847366141</v>
      </c>
      <c r="AQ48" s="90">
        <f>VLOOKUP($A48,平滑数据导入!$A$1:$AN$61,COLUMN(平滑数据导入!V$1),0)</f>
        <v>7878.1981410391236</v>
      </c>
      <c r="AR48" s="90">
        <f>VLOOKUP($A48,平滑数据导入!$A$1:$AN$61,COLUMN(平滑数据导入!W$1),0)</f>
        <v>8043.2546860695784</v>
      </c>
      <c r="AS48" s="90">
        <f>VLOOKUP($A48,平滑数据导入!$A$1:$AN$61,COLUMN(平滑数据导入!X$1),0)</f>
        <v>8194.9443504323481</v>
      </c>
      <c r="AT48" s="90">
        <f>VLOOKUP($A48,平滑数据导入!$A$1:$AN$61,COLUMN(平滑数据导入!Y$1),0)</f>
        <v>8333.6980897746525</v>
      </c>
      <c r="AU48" s="89">
        <f>VLOOKUP($A48,平滑数据导入!$A$1:$AN$61,COLUMN(平滑数据导入!Z$1),0)</f>
        <v>8460.097780699838</v>
      </c>
      <c r="AV48" s="90">
        <f>VLOOKUP($A48,平滑数据导入!$A$1:$AN$61,COLUMN(平滑数据导入!AA$1),0)</f>
        <v>8574.8625446470651</v>
      </c>
      <c r="AW48" s="90">
        <f>VLOOKUP($A48,平滑数据导入!$A$1:$AN$61,COLUMN(平滑数据导入!AB$1),0)</f>
        <v>8678.8346766569048</v>
      </c>
      <c r="AX48" s="90">
        <f>VLOOKUP($A48,平滑数据导入!$A$1:$AN$61,COLUMN(平滑数据导入!AC$1),0)</f>
        <v>8772.9656226891311</v>
      </c>
      <c r="AY48" s="133">
        <f>VLOOKUP(A48,情景假设!$B$48:$S$88,17,0)/情景假设!R$47*AY$13</f>
        <v>8858.3024086798941</v>
      </c>
      <c r="AZ48" s="89">
        <f>VLOOKUP($A48,平滑数据导入!$A$1:$AN$61,COLUMN(平滑数据导入!AE$1),0)</f>
        <v>8935.9748796967342</v>
      </c>
      <c r="BA48" s="90">
        <f>VLOOKUP($A48,平滑数据导入!$A$1:$AN$61,COLUMN(平滑数据导入!AF$1),0)</f>
        <v>9007.1840610523523</v>
      </c>
      <c r="BB48" s="90">
        <f>VLOOKUP($A48,平滑数据导入!$A$1:$AN$61,COLUMN(平滑数据导入!AG$1),0)</f>
        <v>9073.1919074899324</v>
      </c>
      <c r="BC48" s="90">
        <f>VLOOKUP($A48,平滑数据导入!$A$1:$AN$61,COLUMN(平滑数据导入!AH$1),0)</f>
        <v>9135.312663659548</v>
      </c>
      <c r="BD48" s="101">
        <f>VLOOKUP($A48,平滑数据导入!$A$1:$AN$61,COLUMN(平滑数据导入!AI$1),0)</f>
        <v>9194.9060208603769</v>
      </c>
      <c r="BE48" s="90">
        <f>VLOOKUP($A48,平滑数据导入!$A$1:$AN$61,COLUMN(平滑数据导入!AJ$1),0)</f>
        <v>9253.3722229007253</v>
      </c>
      <c r="BF48" s="90">
        <f>VLOOKUP($A48,平滑数据导入!$A$1:$AN$61,COLUMN(平滑数据导入!AK$1),0)</f>
        <v>9312.1492491285644</v>
      </c>
      <c r="BG48" s="90">
        <f>VLOOKUP($A48,平滑数据导入!$A$1:$AN$61,COLUMN(平滑数据导入!AL$1),0)</f>
        <v>9372.7121861745272</v>
      </c>
      <c r="BH48" s="90">
        <f>VLOOKUP($A48,平滑数据导入!$A$1:$AN$61,COLUMN(平滑数据导入!AM$1),0)</f>
        <v>9436.5748925210537</v>
      </c>
      <c r="BI48" s="133">
        <f>VLOOKUP(A48,情景假设!$B$48:$S$88,18,0)/情景假设!S$47*BI$13</f>
        <v>9505.2940623585928</v>
      </c>
    </row>
    <row r="49" spans="1:61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f>'增加值 (2001-2022, 当年价) '!I49*I$77</f>
        <v>531.34866320463868</v>
      </c>
      <c r="J49" s="20">
        <f>'增加值 (2001-2022, 当年价) '!J49*J$77</f>
        <v>533.40516151922805</v>
      </c>
      <c r="K49" s="21">
        <f>'增加值 (2001-2022, 当年价) '!K49*K$77</f>
        <v>607.09317693241007</v>
      </c>
      <c r="L49" s="19">
        <f>'增加值 (2001-2022, 当年价) '!L49*L$77</f>
        <v>691.26269950561482</v>
      </c>
      <c r="M49" s="20">
        <f>'增加值 (2001-2022, 当年价) '!M49*M$77</f>
        <v>704.14318496130761</v>
      </c>
      <c r="N49" s="20">
        <f>'增加值 (2001-2022, 当年价) '!N49*N$77</f>
        <v>684.29349662864342</v>
      </c>
      <c r="O49" s="20">
        <f>'增加值 (2001-2022, 当年价) '!O49*O$77</f>
        <v>690.16619562307301</v>
      </c>
      <c r="P49" s="20">
        <f>'增加值 (2001-2022, 当年价) '!P49*P$77</f>
        <v>694.70654126146223</v>
      </c>
      <c r="Q49" s="19">
        <f>'增加值 (2001-2022, 当年价) '!Q49*Q$77</f>
        <v>714.56325097556112</v>
      </c>
      <c r="R49" s="20">
        <f>'增加值 (2001-2022, 当年价) '!R49*R$77</f>
        <v>765.96223072374698</v>
      </c>
      <c r="S49" s="20">
        <f>'增加值 (2001-2022, 当年价) '!S49*S$77</f>
        <v>787.83551251096753</v>
      </c>
      <c r="T49" s="20">
        <f>'增加值 (2001-2022, 当年价) '!T49*T$77</f>
        <v>780.11423979679637</v>
      </c>
      <c r="U49" s="21">
        <f>'增加值 (2001-2022, 当年价) '!U49*U$77</f>
        <v>726.7325868770115</v>
      </c>
      <c r="V49" s="20">
        <f>'增加值 (2001-2022, 当年价) '!V49*V$77</f>
        <v>826.27948832290463</v>
      </c>
      <c r="W49" s="20">
        <f>'增加值 (2001-2022, 当年价) '!W49*W$77</f>
        <v>907.3493796355416</v>
      </c>
      <c r="X49" s="90">
        <f>VLOOKUP($A49,平滑数据导入!$A$1:$AN$61,COLUMN(平滑数据导入!C$1),0)</f>
        <v>930.70298227878163</v>
      </c>
      <c r="Y49" s="90">
        <f>VLOOKUP($A49,平滑数据导入!$A$1:$AN$61,COLUMN(平滑数据导入!D$1),0)</f>
        <v>954.06155581926089</v>
      </c>
      <c r="Z49" s="141">
        <f>VLOOKUP(A49,情景假设!$B$48:$S$88,14,0)/情景假设!O$47*Z$13</f>
        <v>977.26366066578612</v>
      </c>
      <c r="AA49" s="89">
        <f>VLOOKUP($A49,平滑数据导入!$A$1:$AN$61,COLUMN(平滑数据导入!F$1),0)</f>
        <v>1000.134705990405</v>
      </c>
      <c r="AB49" s="90">
        <f>VLOOKUP($A49,平滑数据导入!$A$1:$AN$61,COLUMN(平滑数据导入!G$1),0)</f>
        <v>1022.4874169544649</v>
      </c>
      <c r="AC49" s="90">
        <f>VLOOKUP($A49,平滑数据导入!$A$1:$AN$61,COLUMN(平滑数据导入!H$1),0)</f>
        <v>1044.1226173054081</v>
      </c>
      <c r="AD49" s="90">
        <f>VLOOKUP($A49,平滑数据导入!$A$1:$AN$61,COLUMN(平滑数据导入!I$1),0)</f>
        <v>1064.830355163632</v>
      </c>
      <c r="AE49" s="133">
        <f>VLOOKUP(A49,情景假设!$B$48:$S$88,15,0)/情景假设!P$47*AE$13</f>
        <v>1084.3913952070077</v>
      </c>
      <c r="AF49" s="90">
        <f>VLOOKUP($A49,平滑数据导入!$A$1:$AN$61,COLUMN(平滑数据导入!K$1),0)</f>
        <v>1102.5747210526861</v>
      </c>
      <c r="AG49" s="90">
        <f>VLOOKUP($A49,平滑数据导入!$A$1:$AN$61,COLUMN(平滑数据导入!L$1),0)</f>
        <v>1119.126157964238</v>
      </c>
      <c r="AH49" s="90">
        <f>VLOOKUP($A49,平滑数据导入!$A$1:$AN$61,COLUMN(平滑数据导入!M$1),0)</f>
        <v>1133.7834315355631</v>
      </c>
      <c r="AI49" s="90">
        <f>VLOOKUP($A49,平滑数据导入!$A$1:$AN$61,COLUMN(平滑数据导入!N$1),0)</f>
        <v>1146.283933070737</v>
      </c>
      <c r="AJ49" s="141">
        <f>VLOOKUP(A49,情景假设!$B$48:$S$88,16,0)/情景假设!Q$47*AJ$13</f>
        <v>1156.3687320636109</v>
      </c>
      <c r="AK49" s="89">
        <f>VLOOKUP($A49,平滑数据导入!$A$1:$AN$61,COLUMN(平滑数据导入!P$1),0)</f>
        <v>1163.836474067811</v>
      </c>
      <c r="AL49" s="90">
        <f>VLOOKUP($A49,平滑数据导入!$A$1:$AN$61,COLUMN(平滑数据导入!Q$1),0)</f>
        <v>1168.698151846751</v>
      </c>
      <c r="AM49" s="90">
        <f>VLOOKUP($A49,平滑数据导入!$A$1:$AN$61,COLUMN(平滑数据导入!R$1),0)</f>
        <v>1171.0333368893851</v>
      </c>
      <c r="AN49" s="90">
        <f>VLOOKUP($A49,平滑数据导入!$A$1:$AN$61,COLUMN(平滑数据导入!S$1),0)</f>
        <v>1170.939363558794</v>
      </c>
      <c r="AO49" s="101">
        <f>VLOOKUP($A49,平滑数据导入!$A$1:$AN$61,COLUMN(平滑数据导入!T$1),0)</f>
        <v>1168.5291129137579</v>
      </c>
      <c r="AP49" s="90">
        <f>VLOOKUP($A49,平滑数据导入!$A$1:$AN$61,COLUMN(平滑数据导入!U$1),0)</f>
        <v>1163.92873354517</v>
      </c>
      <c r="AQ49" s="90">
        <f>VLOOKUP($A49,平滑数据导入!$A$1:$AN$61,COLUMN(平滑数据导入!V$1),0)</f>
        <v>1157.2753478161339</v>
      </c>
      <c r="AR49" s="90">
        <f>VLOOKUP($A49,平滑数据导入!$A$1:$AN$61,COLUMN(平滑数据导入!W$1),0)</f>
        <v>1148.7147874654131</v>
      </c>
      <c r="AS49" s="90">
        <f>VLOOKUP($A49,平滑数据导入!$A$1:$AN$61,COLUMN(平滑数据导入!X$1),0)</f>
        <v>1138.3993974536149</v>
      </c>
      <c r="AT49" s="90">
        <f>VLOOKUP($A49,平滑数据导入!$A$1:$AN$61,COLUMN(平滑数据导入!Y$1),0)</f>
        <v>1126.4859414304151</v>
      </c>
      <c r="AU49" s="89">
        <f>VLOOKUP($A49,平滑数据导入!$A$1:$AN$61,COLUMN(平滑数据导入!Z$1),0)</f>
        <v>1113.1336364931351</v>
      </c>
      <c r="AV49" s="90">
        <f>VLOOKUP($A49,平滑数据导入!$A$1:$AN$61,COLUMN(平滑数据导入!AA$1),0)</f>
        <v>1098.5023391850459</v>
      </c>
      <c r="AW49" s="90">
        <f>VLOOKUP($A49,平滑数据导入!$A$1:$AN$61,COLUMN(平滑数据导入!AB$1),0)</f>
        <v>1082.750899112584</v>
      </c>
      <c r="AX49" s="90">
        <f>VLOOKUP($A49,平滑数据导入!$A$1:$AN$61,COLUMN(平滑数据导入!AC$1),0)</f>
        <v>1066.035691283699</v>
      </c>
      <c r="AY49" s="133">
        <f>VLOOKUP(A49,情景假设!$B$48:$S$88,17,0)/情景假设!R$47*AY$13</f>
        <v>1048.5093333948162</v>
      </c>
      <c r="AZ49" s="89">
        <f>VLOOKUP($A49,平滑数据导入!$A$1:$AN$61,COLUMN(平滑数据导入!AE$1),0)</f>
        <v>1030.319589903452</v>
      </c>
      <c r="BA49" s="90">
        <f>VLOOKUP($A49,平滑数据导入!$A$1:$AN$61,COLUMN(平滑数据导入!AF$1),0)</f>
        <v>1011.608460872317</v>
      </c>
      <c r="BB49" s="90">
        <f>VLOOKUP($A49,平滑数据导入!$A$1:$AN$61,COLUMN(平滑数据导入!AG$1),0)</f>
        <v>992.51145028907229</v>
      </c>
      <c r="BC49" s="90">
        <f>VLOOKUP($A49,平滑数据导入!$A$1:$AN$61,COLUMN(平滑数据导入!AH$1),0)</f>
        <v>973.15700586256048</v>
      </c>
      <c r="BD49" s="101">
        <f>VLOOKUP($A49,平滑数据导入!$A$1:$AN$61,COLUMN(平滑数据导入!AI$1),0)</f>
        <v>953.66612016115698</v>
      </c>
      <c r="BE49" s="90">
        <f>VLOOKUP($A49,平滑数据导入!$A$1:$AN$61,COLUMN(平滑数据导入!AJ$1),0)</f>
        <v>934.15208136724493</v>
      </c>
      <c r="BF49" s="90">
        <f>VLOOKUP($A49,平滑数据导入!$A$1:$AN$61,COLUMN(平滑数据导入!AK$1),0)</f>
        <v>914.72036083650573</v>
      </c>
      <c r="BG49" s="90">
        <f>VLOOKUP($A49,平滑数据导入!$A$1:$AN$61,COLUMN(平滑数据导入!AL$1),0)</f>
        <v>895.46862402702209</v>
      </c>
      <c r="BH49" s="90">
        <f>VLOOKUP($A49,平滑数据导入!$A$1:$AN$61,COLUMN(平滑数据导入!AM$1),0)</f>
        <v>876.48685114986642</v>
      </c>
      <c r="BI49" s="133">
        <f>VLOOKUP(A49,情景假设!$B$48:$S$88,18,0)/情景假设!S$47*BI$13</f>
        <v>857.85755403686369</v>
      </c>
    </row>
    <row r="50" spans="1:61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f>'增加值 (2001-2022, 当年价) '!I50*I$77</f>
        <v>277.82138277902817</v>
      </c>
      <c r="J50" s="20">
        <f>'增加值 (2001-2022, 当年价) '!J50*J$77</f>
        <v>339.99581571765185</v>
      </c>
      <c r="K50" s="21">
        <f>'增加值 (2001-2022, 当年价) '!K50*K$77</f>
        <v>419.65234009725702</v>
      </c>
      <c r="L50" s="19">
        <f>'增加值 (2001-2022, 当年价) '!L50*L$77</f>
        <v>470.17292912503825</v>
      </c>
      <c r="M50" s="20">
        <f>'增加值 (2001-2022, 当年价) '!M50*M$77</f>
        <v>515.18952431708408</v>
      </c>
      <c r="N50" s="20">
        <f>'增加值 (2001-2022, 当年价) '!N50*N$77</f>
        <v>564.77911820922452</v>
      </c>
      <c r="O50" s="20">
        <f>'增加值 (2001-2022, 当年价) '!O50*O$77</f>
        <v>630.81220526617665</v>
      </c>
      <c r="P50" s="20">
        <f>'增加值 (2001-2022, 当年价) '!P50*P$77</f>
        <v>720.54132717818436</v>
      </c>
      <c r="Q50" s="19">
        <f>'增加值 (2001-2022, 当年价) '!Q50*Q$77</f>
        <v>760.82510418843708</v>
      </c>
      <c r="R50" s="20">
        <f>'增加值 (2001-2022, 当年价) '!R50*R$77</f>
        <v>780.89655528325477</v>
      </c>
      <c r="S50" s="20">
        <f>'增加值 (2001-2022, 当年价) '!S50*S$77</f>
        <v>810.97168640436632</v>
      </c>
      <c r="T50" s="20">
        <f>'增加值 (2001-2022, 当年价) '!T50*T$77</f>
        <v>884.34251709928117</v>
      </c>
      <c r="U50" s="21">
        <f>'增加值 (2001-2022, 当年价) '!U50*U$77</f>
        <v>878.57955136179089</v>
      </c>
      <c r="V50" s="20">
        <f>'增加值 (2001-2022, 当年价) '!V50*V$77</f>
        <v>1191.0274591227624</v>
      </c>
      <c r="W50" s="20">
        <f>'增加值 (2001-2022, 当年价) '!W50*W$77</f>
        <v>1483.3175160522719</v>
      </c>
      <c r="X50" s="90">
        <f>VLOOKUP($A50,平滑数据导入!$A$1:$AN$61,COLUMN(平滑数据导入!C$1),0)</f>
        <v>1568.286986726645</v>
      </c>
      <c r="Y50" s="90">
        <f>VLOOKUP($A50,平滑数据导入!$A$1:$AN$61,COLUMN(平滑数据导入!D$1),0)</f>
        <v>1674.2475969973209</v>
      </c>
      <c r="Z50" s="141">
        <f>VLOOKUP(A50,情景假设!$B$48:$S$88,14,0)/情景假设!O$47*Z$13</f>
        <v>1801.215074413868</v>
      </c>
      <c r="AA50" s="89">
        <f>VLOOKUP($A50,平滑数据导入!$A$1:$AN$61,COLUMN(平滑数据导入!F$1),0)</f>
        <v>1949.0016915033179</v>
      </c>
      <c r="AB50" s="90">
        <f>VLOOKUP($A50,平滑数据导入!$A$1:$AN$61,COLUMN(平滑数据导入!G$1),0)</f>
        <v>2116.9403695231822</v>
      </c>
      <c r="AC50" s="90">
        <f>VLOOKUP($A50,平滑数据导入!$A$1:$AN$61,COLUMN(平滑数据导入!H$1),0)</f>
        <v>2303.582713022302</v>
      </c>
      <c r="AD50" s="90">
        <f>VLOOKUP($A50,平滑数据导入!$A$1:$AN$61,COLUMN(平滑数据导入!I$1),0)</f>
        <v>2506.379241467424</v>
      </c>
      <c r="AE50" s="133">
        <f>VLOOKUP(A50,情景假设!$B$48:$S$88,15,0)/情景假设!P$47*AE$13</f>
        <v>2721.3635197915764</v>
      </c>
      <c r="AF50" s="90">
        <f>VLOOKUP($A50,平滑数据导入!$A$1:$AN$61,COLUMN(平滑数据导入!K$1),0)</f>
        <v>2943.8693857102239</v>
      </c>
      <c r="AG50" s="90">
        <f>VLOOKUP($A50,平滑数据导入!$A$1:$AN$61,COLUMN(平滑数据导入!L$1),0)</f>
        <v>3171.930776991097</v>
      </c>
      <c r="AH50" s="90">
        <f>VLOOKUP($A50,平滑数据导入!$A$1:$AN$61,COLUMN(平滑数据导入!M$1),0)</f>
        <v>3404.3125355271441</v>
      </c>
      <c r="AI50" s="90">
        <f>VLOOKUP($A50,平滑数据导入!$A$1:$AN$61,COLUMN(平滑数据导入!N$1),0)</f>
        <v>3639.678982517054</v>
      </c>
      <c r="AJ50" s="141">
        <f>VLOOKUP(A50,情景假设!$B$48:$S$88,16,0)/情景假设!Q$47*AJ$13</f>
        <v>3876.6094106628252</v>
      </c>
      <c r="AK50" s="89">
        <f>VLOOKUP($A50,平滑数据导入!$A$1:$AN$61,COLUMN(平滑数据导入!P$1),0)</f>
        <v>4113.6493170364902</v>
      </c>
      <c r="AL50" s="90">
        <f>VLOOKUP($A50,平滑数据导入!$A$1:$AN$61,COLUMN(平滑数据导入!Q$1),0)</f>
        <v>4349.4463784912323</v>
      </c>
      <c r="AM50" s="90">
        <f>VLOOKUP($A50,平滑数据导入!$A$1:$AN$61,COLUMN(平滑数据导入!R$1),0)</f>
        <v>4582.6955265243096</v>
      </c>
      <c r="AN50" s="90">
        <f>VLOOKUP($A50,平滑数据导入!$A$1:$AN$61,COLUMN(平滑数据导入!S$1),0)</f>
        <v>4812.1277313326027</v>
      </c>
      <c r="AO50" s="101">
        <f>VLOOKUP($A50,平滑数据导入!$A$1:$AN$61,COLUMN(平滑数据导入!T$1),0)</f>
        <v>5036.5276455366547</v>
      </c>
      <c r="AP50" s="90">
        <f>VLOOKUP($A50,平滑数据导入!$A$1:$AN$61,COLUMN(平滑数据导入!U$1),0)</f>
        <v>5254.7498088886296</v>
      </c>
      <c r="AQ50" s="90">
        <f>VLOOKUP($A50,平滑数据导入!$A$1:$AN$61,COLUMN(平滑数据导入!V$1),0)</f>
        <v>5465.7331168985511</v>
      </c>
      <c r="AR50" s="90">
        <f>VLOOKUP($A50,平滑数据导入!$A$1:$AN$61,COLUMN(平滑数据导入!W$1),0)</f>
        <v>5668.5133193467373</v>
      </c>
      <c r="AS50" s="90">
        <f>VLOOKUP($A50,平滑数据导入!$A$1:$AN$61,COLUMN(平滑数据导入!X$1),0)</f>
        <v>5862.2333808643398</v>
      </c>
      <c r="AT50" s="90">
        <f>VLOOKUP($A50,平滑数据导入!$A$1:$AN$61,COLUMN(平滑数据导入!Y$1),0)</f>
        <v>6046.1516025587034</v>
      </c>
      <c r="AU50" s="89">
        <f>VLOOKUP($A50,平滑数据导入!$A$1:$AN$61,COLUMN(平滑数据导入!Z$1),0)</f>
        <v>6219.6474686422134</v>
      </c>
      <c r="AV50" s="90">
        <f>VLOOKUP($A50,平滑数据导入!$A$1:$AN$61,COLUMN(平滑数据导入!AA$1),0)</f>
        <v>6382.2252430964008</v>
      </c>
      <c r="AW50" s="90">
        <f>VLOOKUP($A50,平滑数据导入!$A$1:$AN$61,COLUMN(平滑数据导入!AB$1),0)</f>
        <v>6533.5153968267732</v>
      </c>
      <c r="AX50" s="90">
        <f>VLOOKUP($A50,平滑数据导入!$A$1:$AN$61,COLUMN(平滑数据导入!AC$1),0)</f>
        <v>6673.2739941943546</v>
      </c>
      <c r="AY50" s="133">
        <f>VLOOKUP(A50,情景假设!$B$48:$S$88,17,0)/情景假设!R$47*AY$13</f>
        <v>6801.380208311969</v>
      </c>
      <c r="AZ50" s="89">
        <f>VLOOKUP($A50,平滑数据导入!$A$1:$AN$61,COLUMN(平滑数据导入!AE$1),0)</f>
        <v>6917.8321665378526</v>
      </c>
      <c r="BA50" s="90">
        <f>VLOOKUP($A50,平滑数据导入!$A$1:$AN$61,COLUMN(平滑数据导入!AF$1),0)</f>
        <v>7022.7413510315901</v>
      </c>
      <c r="BB50" s="90">
        <f>VLOOKUP($A50,平滑数据导入!$A$1:$AN$61,COLUMN(平滑数据导入!AG$1),0)</f>
        <v>7116.325794245824</v>
      </c>
      <c r="BC50" s="90">
        <f>VLOOKUP($A50,平滑数据导入!$A$1:$AN$61,COLUMN(平滑数据导入!AH$1),0)</f>
        <v>7198.9023162868398</v>
      </c>
      <c r="BD50" s="101">
        <f>VLOOKUP($A50,平滑数据导入!$A$1:$AN$61,COLUMN(平滑数据导入!AI$1),0)</f>
        <v>7270.8780508981436</v>
      </c>
      <c r="BE50" s="90">
        <f>VLOOKUP($A50,平滑数据导入!$A$1:$AN$61,COLUMN(平滑数据导入!AJ$1),0)</f>
        <v>7332.7415002871867</v>
      </c>
      <c r="BF50" s="90">
        <f>VLOOKUP($A50,平滑数据导入!$A$1:$AN$61,COLUMN(平滑数据导入!AK$1),0)</f>
        <v>7385.0533471274484</v>
      </c>
      <c r="BG50" s="90">
        <f>VLOOKUP($A50,平滑数据导入!$A$1:$AN$61,COLUMN(平滑数据导入!AL$1),0)</f>
        <v>7428.4372358900418</v>
      </c>
      <c r="BH50" s="90">
        <f>VLOOKUP($A50,平滑数据导入!$A$1:$AN$61,COLUMN(平滑数据导入!AM$1),0)</f>
        <v>7463.5707162655353</v>
      </c>
      <c r="BI50" s="133">
        <f>VLOOKUP(A50,情景假设!$B$48:$S$88,18,0)/情景假设!S$47*BI$13</f>
        <v>7491.1765198765706</v>
      </c>
    </row>
    <row r="51" spans="1:61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f>'增加值 (2001-2022, 当年价) '!I51*I$77</f>
        <v>163.00121187963498</v>
      </c>
      <c r="J51" s="20">
        <f>'增加值 (2001-2022, 当年价) '!J51*J$77</f>
        <v>169.9672234422103</v>
      </c>
      <c r="K51" s="21">
        <f>'增加值 (2001-2022, 当年价) '!K51*K$77</f>
        <v>196.4186255294118</v>
      </c>
      <c r="L51" s="19">
        <f>'增加值 (2001-2022, 当年价) '!L51*L$77</f>
        <v>222.32964722611601</v>
      </c>
      <c r="M51" s="20">
        <f>'增加值 (2001-2022, 当年价) '!M51*M$77</f>
        <v>236.20857147082742</v>
      </c>
      <c r="N51" s="20">
        <f>'增加值 (2001-2022, 当年价) '!N51*N$77</f>
        <v>259.16922848586364</v>
      </c>
      <c r="O51" s="20">
        <f>'增加值 (2001-2022, 当年价) '!O51*O$77</f>
        <v>278.53808139535778</v>
      </c>
      <c r="P51" s="20">
        <f>'增加值 (2001-2022, 当年价) '!P51*P$77</f>
        <v>287.50526069023118</v>
      </c>
      <c r="Q51" s="19">
        <f>'增加值 (2001-2022, 当年价) '!Q51*Q$77</f>
        <v>298.80928044207468</v>
      </c>
      <c r="R51" s="20">
        <f>'增加值 (2001-2022, 当年价) '!R51*R$77</f>
        <v>332.09867260573429</v>
      </c>
      <c r="S51" s="20">
        <f>'增加值 (2001-2022, 当年价) '!S51*S$77</f>
        <v>369.0279075690683</v>
      </c>
      <c r="T51" s="20">
        <f>'增加值 (2001-2022, 当年价) '!T51*T$77</f>
        <v>405.26130946507971</v>
      </c>
      <c r="U51" s="21">
        <f>'增加值 (2001-2022, 当年价) '!U51*U$77</f>
        <v>379.09823240746709</v>
      </c>
      <c r="V51" s="20">
        <f>'增加值 (2001-2022, 当年价) '!V51*V$77</f>
        <v>416.42224208501489</v>
      </c>
      <c r="W51" s="20">
        <f>'增加值 (2001-2022, 当年价) '!W51*W$77</f>
        <v>474.62286420659473</v>
      </c>
      <c r="X51" s="90">
        <f>VLOOKUP($A51,平滑数据导入!$A$1:$AN$61,COLUMN(平滑数据导入!C$1),0)</f>
        <v>494.34136985147211</v>
      </c>
      <c r="Y51" s="90">
        <f>VLOOKUP($A51,平滑数据导入!$A$1:$AN$61,COLUMN(平滑数据导入!D$1),0)</f>
        <v>513.84394901120299</v>
      </c>
      <c r="Z51" s="141">
        <f>VLOOKUP(A51,情景假设!$B$48:$S$88,14,0)/情景假设!O$47*Z$13</f>
        <v>533.05517909710932</v>
      </c>
      <c r="AA51" s="89">
        <f>VLOOKUP($A51,平滑数据导入!$A$1:$AN$61,COLUMN(平滑数据导入!F$1),0)</f>
        <v>551.89995665166816</v>
      </c>
      <c r="AB51" s="90">
        <f>VLOOKUP($A51,平滑数据导入!$A$1:$AN$61,COLUMN(平滑数据导入!G$1),0)</f>
        <v>570.30406383939101</v>
      </c>
      <c r="AC51" s="90">
        <f>VLOOKUP($A51,平滑数据导入!$A$1:$AN$61,COLUMN(平滑数据导入!H$1),0)</f>
        <v>588.19472813207665</v>
      </c>
      <c r="AD51" s="90">
        <f>VLOOKUP($A51,平滑数据导入!$A$1:$AN$61,COLUMN(平滑数据导入!I$1),0)</f>
        <v>605.50116872786668</v>
      </c>
      <c r="AE51" s="133">
        <f>VLOOKUP(A51,情景假设!$B$48:$S$88,15,0)/情景假设!P$47*AE$13</f>
        <v>622.15512349254641</v>
      </c>
      <c r="AF51" s="90">
        <f>VLOOKUP($A51,平滑数据导入!$A$1:$AN$61,COLUMN(平滑数据导入!K$1),0)</f>
        <v>638.07321223507779</v>
      </c>
      <c r="AG51" s="90">
        <f>VLOOKUP($A51,平滑数据导入!$A$1:$AN$61,COLUMN(平滑数据导入!L$1),0)</f>
        <v>653.09956058345017</v>
      </c>
      <c r="AH51" s="90">
        <f>VLOOKUP($A51,平滑数据导入!$A$1:$AN$61,COLUMN(平滑数据导入!M$1),0)</f>
        <v>667.05537623807356</v>
      </c>
      <c r="AI51" s="90">
        <f>VLOOKUP($A51,平滑数据导入!$A$1:$AN$61,COLUMN(平滑数据导入!N$1),0)</f>
        <v>679.75838462682748</v>
      </c>
      <c r="AJ51" s="141">
        <f>VLOOKUP(A51,情景假设!$B$48:$S$88,16,0)/情景假设!Q$47*AJ$13</f>
        <v>691.02540470037002</v>
      </c>
      <c r="AK51" s="89">
        <f>VLOOKUP($A51,平滑数据导入!$A$1:$AN$61,COLUMN(平滑数据导入!P$1),0)</f>
        <v>700.70392780405496</v>
      </c>
      <c r="AL51" s="90">
        <f>VLOOKUP($A51,平滑数据导入!$A$1:$AN$61,COLUMN(平滑数据导入!Q$1),0)</f>
        <v>708.76394124913259</v>
      </c>
      <c r="AM51" s="90">
        <f>VLOOKUP($A51,平滑数据导入!$A$1:$AN$61,COLUMN(平滑数据导入!R$1),0)</f>
        <v>715.21794183416887</v>
      </c>
      <c r="AN51" s="90">
        <f>VLOOKUP($A51,平滑数据导入!$A$1:$AN$61,COLUMN(平滑数据导入!S$1),0)</f>
        <v>720.09220417109475</v>
      </c>
      <c r="AO51" s="101">
        <f>VLOOKUP($A51,平滑数据导入!$A$1:$AN$61,COLUMN(平滑数据导入!T$1),0)</f>
        <v>723.42571036134643</v>
      </c>
      <c r="AP51" s="90">
        <f>VLOOKUP($A51,平滑数据导入!$A$1:$AN$61,COLUMN(平滑数据导入!U$1),0)</f>
        <v>725.26895869097712</v>
      </c>
      <c r="AQ51" s="90">
        <f>VLOOKUP($A51,平滑数据导入!$A$1:$AN$61,COLUMN(平滑数据导入!V$1),0)</f>
        <v>725.68268447876414</v>
      </c>
      <c r="AR51" s="90">
        <f>VLOOKUP($A51,平滑数据导入!$A$1:$AN$61,COLUMN(平滑数据导入!W$1),0)</f>
        <v>724.73652517259779</v>
      </c>
      <c r="AS51" s="90">
        <f>VLOOKUP($A51,平滑数据导入!$A$1:$AN$61,COLUMN(平滑数据导入!X$1),0)</f>
        <v>722.50766000017427</v>
      </c>
      <c r="AT51" s="90">
        <f>VLOOKUP($A51,平滑数据导入!$A$1:$AN$61,COLUMN(平滑数据导入!Y$1),0)</f>
        <v>719.07945208209867</v>
      </c>
      <c r="AU51" s="89">
        <f>VLOOKUP($A51,平滑数据导入!$A$1:$AN$61,COLUMN(平滑数据导入!Z$1),0)</f>
        <v>714.5401180538513</v>
      </c>
      <c r="AV51" s="90">
        <f>VLOOKUP($A51,平滑数据导入!$A$1:$AN$61,COLUMN(平滑数据导入!AA$1),0)</f>
        <v>708.98144706039477</v>
      </c>
      <c r="AW51" s="90">
        <f>VLOOKUP($A51,平滑数据导入!$A$1:$AN$61,COLUMN(平滑数据导入!AB$1),0)</f>
        <v>702.49758761819851</v>
      </c>
      <c r="AX51" s="90">
        <f>VLOOKUP($A51,平滑数据导入!$A$1:$AN$61,COLUMN(平滑数据导入!AC$1),0)</f>
        <v>695.18391740735296</v>
      </c>
      <c r="AY51" s="133">
        <f>VLOOKUP(A51,情景假设!$B$48:$S$88,17,0)/情景假设!R$47*AY$13</f>
        <v>687.13600766971911</v>
      </c>
      <c r="AZ51" s="89">
        <f>VLOOKUP($A51,平滑数据导入!$A$1:$AN$61,COLUMN(平滑数据导入!AE$1),0)</f>
        <v>678.44869063986391</v>
      </c>
      <c r="BA51" s="90">
        <f>VLOOKUP($A51,平滑数据导入!$A$1:$AN$61,COLUMN(平滑数据导入!AF$1),0)</f>
        <v>669.21523539855787</v>
      </c>
      <c r="BB51" s="90">
        <f>VLOOKUP($A51,平滑数据导入!$A$1:$AN$61,COLUMN(平滑数据导入!AG$1),0)</f>
        <v>659.52663477129215</v>
      </c>
      <c r="BC51" s="90">
        <f>VLOOKUP($A51,平滑数据导入!$A$1:$AN$61,COLUMN(平滑数据导入!AH$1),0)</f>
        <v>649.47100343716068</v>
      </c>
      <c r="BD51" s="101">
        <f>VLOOKUP($A51,平滑数据导入!$A$1:$AN$61,COLUMN(平滑数据导入!AI$1),0)</f>
        <v>639.13308529173673</v>
      </c>
      <c r="BE51" s="90">
        <f>VLOOKUP($A51,平滑数据导入!$A$1:$AN$61,COLUMN(平滑数据导入!AJ$1),0)</f>
        <v>628.59386633240342</v>
      </c>
      <c r="BF51" s="90">
        <f>VLOOKUP($A51,平滑数据导入!$A$1:$AN$61,COLUMN(平滑数据导入!AK$1),0)</f>
        <v>617.93028790529695</v>
      </c>
      <c r="BG51" s="90">
        <f>VLOOKUP($A51,平滑数据导入!$A$1:$AN$61,COLUMN(平滑数据导入!AL$1),0)</f>
        <v>607.21505405881931</v>
      </c>
      <c r="BH51" s="90">
        <f>VLOOKUP($A51,平滑数据导入!$A$1:$AN$61,COLUMN(平滑数据导入!AM$1),0)</f>
        <v>596.51652597097882</v>
      </c>
      <c r="BI51" s="133">
        <f>VLOOKUP(A51,情景假设!$B$48:$S$88,18,0)/情景假设!S$47*BI$13</f>
        <v>585.89869593228048</v>
      </c>
    </row>
    <row r="52" spans="1:61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f>'增加值 (2001-2022, 当年价) '!I52*I$77</f>
        <v>10649.638711539816</v>
      </c>
      <c r="J52" s="20">
        <f>'增加值 (2001-2022, 当年价) '!J52*J$77</f>
        <v>10700.951638142691</v>
      </c>
      <c r="K52" s="21">
        <f>'增加值 (2001-2022, 当年价) '!K52*K$77</f>
        <v>11534.955049889852</v>
      </c>
      <c r="L52" s="19">
        <f>'增加值 (2001-2022, 当年价) '!L52*L$77</f>
        <v>12203.169573535575</v>
      </c>
      <c r="M52" s="20">
        <f>'增加值 (2001-2022, 当年价) '!M52*M$77</f>
        <v>12198.207729660531</v>
      </c>
      <c r="N52" s="20">
        <f>'增加值 (2001-2022, 当年价) '!N52*N$77</f>
        <v>12306.267191958539</v>
      </c>
      <c r="O52" s="20">
        <f>'增加值 (2001-2022, 当年价) '!O52*O$77</f>
        <v>12057.930249434579</v>
      </c>
      <c r="P52" s="20">
        <f>'增加值 (2001-2022, 当年价) '!P52*P$77</f>
        <v>11496.645752598572</v>
      </c>
      <c r="Q52" s="19">
        <f>'增加值 (2001-2022, 当年价) '!Q52*Q$77</f>
        <v>11757.936502161634</v>
      </c>
      <c r="R52" s="20">
        <f>'增加值 (2001-2022, 当年价) '!R52*R$77</f>
        <v>12829.820765210363</v>
      </c>
      <c r="S52" s="20">
        <f>'增加值 (2001-2022, 当年价) '!S52*S$77</f>
        <v>14000.998845353402</v>
      </c>
      <c r="T52" s="20">
        <f>'增加值 (2001-2022, 当年价) '!T52*T$77</f>
        <v>14376.753818674912</v>
      </c>
      <c r="U52" s="21">
        <f>'增加值 (2001-2022, 当年价) '!U52*U$77</f>
        <v>14171.804811655176</v>
      </c>
      <c r="V52" s="20">
        <f>'增加值 (2001-2022, 当年价) '!V52*V$77</f>
        <v>16363.884569742619</v>
      </c>
      <c r="W52" s="20">
        <f>'增加值 (2001-2022, 当年价) '!W52*W$77</f>
        <v>17470.728074872739</v>
      </c>
      <c r="X52" s="90">
        <f>VLOOKUP($A52,平滑数据导入!$A$1:$AN$61,COLUMN(平滑数据导入!C$1),0)</f>
        <v>18240.846627361869</v>
      </c>
      <c r="Y52" s="90">
        <f>VLOOKUP($A52,平滑数据导入!$A$1:$AN$61,COLUMN(平滑数据导入!D$1),0)</f>
        <v>19154.329700701492</v>
      </c>
      <c r="Z52" s="141">
        <f>VLOOKUP(A52,情景假设!$B$48:$S$88,14,0)/情景假设!O$47*Z$13</f>
        <v>20200.806313632031</v>
      </c>
      <c r="AA52" s="89">
        <f>VLOOKUP($A52,平滑数据导入!$A$1:$AN$61,COLUMN(平滑数据导入!F$1),0)</f>
        <v>21366.925200717531</v>
      </c>
      <c r="AB52" s="90">
        <f>VLOOKUP($A52,平滑数据导入!$A$1:$AN$61,COLUMN(平滑数据导入!G$1),0)</f>
        <v>22634.907999544979</v>
      </c>
      <c r="AC52" s="90">
        <f>VLOOKUP($A52,平滑数据导入!$A$1:$AN$61,COLUMN(平滑数据导入!H$1),0)</f>
        <v>23981.183726598902</v>
      </c>
      <c r="AD52" s="90">
        <f>VLOOKUP($A52,平滑数据导入!$A$1:$AN$61,COLUMN(平滑数据导入!I$1),0)</f>
        <v>25375.200220979539</v>
      </c>
      <c r="AE52" s="133">
        <f>VLOOKUP(A52,情景假设!$B$48:$S$88,15,0)/情景假设!P$47*AE$13</f>
        <v>26778.553721003525</v>
      </c>
      <c r="AF52" s="90">
        <f>VLOOKUP($A52,平滑数据导入!$A$1:$AN$61,COLUMN(平滑数据导入!K$1),0)</f>
        <v>28150.89535265891</v>
      </c>
      <c r="AG52" s="90">
        <f>VLOOKUP($A52,平滑数据导入!$A$1:$AN$61,COLUMN(平滑数据导入!L$1),0)</f>
        <v>29471.412062559772</v>
      </c>
      <c r="AH52" s="90">
        <f>VLOOKUP($A52,平滑数据导入!$A$1:$AN$61,COLUMN(平滑数据导入!M$1),0)</f>
        <v>30724.609632691288</v>
      </c>
      <c r="AI52" s="90">
        <f>VLOOKUP($A52,平滑数据导入!$A$1:$AN$61,COLUMN(平滑数据导入!N$1),0)</f>
        <v>31894.923045574771</v>
      </c>
      <c r="AJ52" s="141">
        <f>VLOOKUP(A52,情景假设!$B$48:$S$88,16,0)/情景假设!Q$47*AJ$13</f>
        <v>32967.009906501284</v>
      </c>
      <c r="AK52" s="89">
        <f>VLOOKUP($A52,平滑数据导入!$A$1:$AN$61,COLUMN(平滑数据导入!P$1),0)</f>
        <v>33928.017734946407</v>
      </c>
      <c r="AL52" s="90">
        <f>VLOOKUP($A52,平滑数据导入!$A$1:$AN$61,COLUMN(平滑数据导入!Q$1),0)</f>
        <v>34774.161743893957</v>
      </c>
      <c r="AM52" s="90">
        <f>VLOOKUP($A52,平滑数据导入!$A$1:$AN$61,COLUMN(平滑数据导入!R$1),0)</f>
        <v>35505.651818840692</v>
      </c>
      <c r="AN52" s="90">
        <f>VLOOKUP($A52,平滑数据导入!$A$1:$AN$61,COLUMN(平滑数据导入!S$1),0)</f>
        <v>36124.706562004671</v>
      </c>
      <c r="AO52" s="101">
        <f>VLOOKUP($A52,平滑数据导入!$A$1:$AN$61,COLUMN(平滑数据导入!T$1),0)</f>
        <v>36635.368600329377</v>
      </c>
      <c r="AP52" s="90">
        <f>VLOOKUP($A52,平滑数据导入!$A$1:$AN$61,COLUMN(平滑数据导入!U$1),0)</f>
        <v>37043.292720533253</v>
      </c>
      <c r="AQ52" s="90">
        <f>VLOOKUP($A52,平滑数据导入!$A$1:$AN$61,COLUMN(平滑数据导入!V$1),0)</f>
        <v>37355.518025884463</v>
      </c>
      <c r="AR52" s="90">
        <f>VLOOKUP($A52,平滑数据导入!$A$1:$AN$61,COLUMN(平滑数据导入!W$1),0)</f>
        <v>37580.23454891282</v>
      </c>
      <c r="AS52" s="90">
        <f>VLOOKUP($A52,平滑数据导入!$A$1:$AN$61,COLUMN(平滑数据导入!X$1),0)</f>
        <v>37726.553635459233</v>
      </c>
      <c r="AT52" s="90">
        <f>VLOOKUP($A52,平滑数据导入!$A$1:$AN$61,COLUMN(平滑数据导入!Y$1),0)</f>
        <v>37804.290064226232</v>
      </c>
      <c r="AU52" s="89">
        <f>VLOOKUP($A52,平滑数据导入!$A$1:$AN$61,COLUMN(平滑数据导入!Z$1),0)</f>
        <v>37823.762400695719</v>
      </c>
      <c r="AV52" s="90">
        <f>VLOOKUP($A52,平滑数据导入!$A$1:$AN$61,COLUMN(平滑数据导入!AA$1),0)</f>
        <v>37795.616609535391</v>
      </c>
      <c r="AW52" s="90">
        <f>VLOOKUP($A52,平滑数据导入!$A$1:$AN$61,COLUMN(平滑数据导入!AB$1),0)</f>
        <v>37730.676552317113</v>
      </c>
      <c r="AX52" s="90">
        <f>VLOOKUP($A52,平滑数据导入!$A$1:$AN$61,COLUMN(平滑数据导入!AC$1),0)</f>
        <v>37639.823745138572</v>
      </c>
      <c r="AY52" s="133">
        <f>VLOOKUP(A52,情景假设!$B$48:$S$88,17,0)/情景假设!R$47*AY$13</f>
        <v>37533.907692131157</v>
      </c>
      <c r="AZ52" s="89">
        <f>VLOOKUP($A52,平滑数据导入!$A$1:$AN$61,COLUMN(平滑数据导入!AE$1),0)</f>
        <v>37423.687277093421</v>
      </c>
      <c r="BA52" s="90">
        <f>VLOOKUP($A52,平滑数据导入!$A$1:$AN$61,COLUMN(平滑数据导入!AF$1),0)</f>
        <v>37319.80310333649</v>
      </c>
      <c r="BB52" s="90">
        <f>VLOOKUP($A52,平滑数据导入!$A$1:$AN$61,COLUMN(平滑数据导入!AG$1),0)</f>
        <v>37232.780326866159</v>
      </c>
      <c r="BC52" s="90">
        <f>VLOOKUP($A52,平滑数据导入!$A$1:$AN$61,COLUMN(平滑数据导入!AH$1),0)</f>
        <v>37173.061428538771</v>
      </c>
      <c r="BD52" s="101">
        <f>VLOOKUP($A52,平滑数据导入!$A$1:$AN$61,COLUMN(平滑数据导入!AI$1),0)</f>
        <v>37151.068511599638</v>
      </c>
      <c r="BE52" s="90">
        <f>VLOOKUP($A52,平滑数据导入!$A$1:$AN$61,COLUMN(平滑数据导入!AJ$1),0)</f>
        <v>37177.295087135033</v>
      </c>
      <c r="BF52" s="90">
        <f>VLOOKUP($A52,平滑数据导入!$A$1:$AN$61,COLUMN(平滑数据导入!AK$1),0)</f>
        <v>37262.427920565271</v>
      </c>
      <c r="BG52" s="90">
        <f>VLOOKUP($A52,平滑数据导入!$A$1:$AN$61,COLUMN(平滑数据导入!AL$1),0)</f>
        <v>37417.500364182109</v>
      </c>
      <c r="BH52" s="90">
        <f>VLOOKUP($A52,平滑数据导入!$A$1:$AN$61,COLUMN(平滑数据导入!AM$1),0)</f>
        <v>37654.079712185492</v>
      </c>
      <c r="BI52" s="133">
        <f>VLOOKUP(A52,情景假设!$B$48:$S$88,18,0)/情景假设!S$47*BI$13</f>
        <v>37984.49251963252</v>
      </c>
    </row>
    <row r="53" spans="1:61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f>'增加值 (2001-2022, 当年价) '!I53*I$77</f>
        <v>635.44685597040052</v>
      </c>
      <c r="J53" s="20">
        <f>'增加值 (2001-2022, 当年价) '!J53*J$77</f>
        <v>690.31214519662922</v>
      </c>
      <c r="K53" s="21">
        <f>'增加值 (2001-2022, 当年价) '!K53*K$77</f>
        <v>790.36890513133335</v>
      </c>
      <c r="L53" s="19">
        <f>'增加值 (2001-2022, 当年价) '!L53*L$77</f>
        <v>858.93810846948372</v>
      </c>
      <c r="M53" s="20">
        <f>'增加值 (2001-2022, 当年价) '!M53*M$77</f>
        <v>913.37500817935734</v>
      </c>
      <c r="N53" s="20">
        <f>'增加值 (2001-2022, 当年价) '!N53*N$77</f>
        <v>1018.6453797166182</v>
      </c>
      <c r="O53" s="20">
        <f>'增加值 (2001-2022, 当年价) '!O53*O$77</f>
        <v>1137.7437969036205</v>
      </c>
      <c r="P53" s="20">
        <f>'增加值 (2001-2022, 当年价) '!P53*P$77</f>
        <v>1199.1978904190339</v>
      </c>
      <c r="Q53" s="19">
        <f>'增加值 (2001-2022, 当年价) '!Q53*Q$77</f>
        <v>1337.6292732244519</v>
      </c>
      <c r="R53" s="20">
        <f>'增加值 (2001-2022, 当年价) '!R53*R$77</f>
        <v>1523.2072734394874</v>
      </c>
      <c r="S53" s="20">
        <f>'增加值 (2001-2022, 当年价) '!S53*S$77</f>
        <v>1785.1032639547602</v>
      </c>
      <c r="T53" s="20">
        <f>'增加值 (2001-2022, 当年价) '!T53*T$77</f>
        <v>1919.0682487030381</v>
      </c>
      <c r="U53" s="21">
        <f>'增加值 (2001-2022, 当年价) '!U53*U$77</f>
        <v>1856.4384809055559</v>
      </c>
      <c r="V53" s="20">
        <f>'增加值 (2001-2022, 当年价) '!V53*V$77</f>
        <v>2282.7594992660579</v>
      </c>
      <c r="W53" s="20">
        <f>'增加值 (2001-2022, 当年价) '!W53*W$77</f>
        <v>2464.9908072284757</v>
      </c>
      <c r="X53" s="90">
        <f>VLOOKUP($A53,平滑数据导入!$A$1:$AN$61,COLUMN(平滑数据导入!C$1),0)</f>
        <v>2665.639810747904</v>
      </c>
      <c r="Y53" s="90">
        <f>VLOOKUP($A53,平滑数据导入!$A$1:$AN$61,COLUMN(平滑数据导入!D$1),0)</f>
        <v>2902.2716072083222</v>
      </c>
      <c r="Z53" s="141">
        <f>VLOOKUP(A53,情景假设!$B$48:$S$88,14,0)/情景假设!O$47*Z$13</f>
        <v>3175.7290989752405</v>
      </c>
      <c r="AA53" s="89">
        <f>VLOOKUP($A53,平滑数据导入!$A$1:$AN$61,COLUMN(平滑数据导入!F$1),0)</f>
        <v>3486.0694450325068</v>
      </c>
      <c r="AB53" s="90">
        <f>VLOOKUP($A53,平滑数据导入!$A$1:$AN$61,COLUMN(平滑数据导入!G$1),0)</f>
        <v>3832.0767026235922</v>
      </c>
      <c r="AC53" s="90">
        <f>VLOOKUP($A53,平滑数据导入!$A$1:$AN$61,COLUMN(平滑数据导入!H$1),0)</f>
        <v>4210.7194654358591</v>
      </c>
      <c r="AD53" s="90">
        <f>VLOOKUP($A53,平滑数据导入!$A$1:$AN$61,COLUMN(平滑数据导入!I$1),0)</f>
        <v>4616.5842005751674</v>
      </c>
      <c r="AE53" s="133">
        <f>VLOOKUP(A53,情景假设!$B$48:$S$88,15,0)/情景假设!P$47*AE$13</f>
        <v>5041.3393783976444</v>
      </c>
      <c r="AF53" s="90">
        <f>VLOOKUP($A53,平滑数据导入!$A$1:$AN$61,COLUMN(平滑数据导入!K$1),0)</f>
        <v>5474.9522231977944</v>
      </c>
      <c r="AG53" s="90">
        <f>VLOOKUP($A53,平滑数据导入!$A$1:$AN$61,COLUMN(平滑数据导入!L$1),0)</f>
        <v>5911.4354159548911</v>
      </c>
      <c r="AH53" s="90">
        <f>VLOOKUP($A53,平滑数据导入!$A$1:$AN$61,COLUMN(平滑数据导入!M$1),0)</f>
        <v>6345.7490623415006</v>
      </c>
      <c r="AI53" s="90">
        <f>VLOOKUP($A53,平滑数据导入!$A$1:$AN$61,COLUMN(平滑数据导入!N$1),0)</f>
        <v>6772.5041858342802</v>
      </c>
      <c r="AJ53" s="141">
        <f>VLOOKUP(A53,情景假设!$B$48:$S$88,16,0)/情景假设!Q$47*AJ$13</f>
        <v>7186.0664005257422</v>
      </c>
      <c r="AK53" s="89">
        <f>VLOOKUP($A53,平滑数据导入!$A$1:$AN$61,COLUMN(平滑数据导入!P$1),0)</f>
        <v>7581.1713896112151</v>
      </c>
      <c r="AL53" s="90">
        <f>VLOOKUP($A53,平滑数据导入!$A$1:$AN$61,COLUMN(平滑数据导入!Q$1),0)</f>
        <v>7954.741014529216</v>
      </c>
      <c r="AM53" s="90">
        <f>VLOOKUP($A53,平滑数据导入!$A$1:$AN$61,COLUMN(平滑数据导入!R$1),0)</f>
        <v>8304.823114532237</v>
      </c>
      <c r="AN53" s="90">
        <f>VLOOKUP($A53,平滑数据导入!$A$1:$AN$61,COLUMN(平滑数据导入!S$1),0)</f>
        <v>8630.1692479699359</v>
      </c>
      <c r="AO53" s="101">
        <f>VLOOKUP($A53,平滑数据导入!$A$1:$AN$61,COLUMN(平滑数据导入!T$1),0)</f>
        <v>8930.2330871398754</v>
      </c>
      <c r="AP53" s="90">
        <f>VLOOKUP($A53,平滑数据导入!$A$1:$AN$61,COLUMN(平滑数据导入!U$1),0)</f>
        <v>9205.148594182956</v>
      </c>
      <c r="AQ53" s="90">
        <f>VLOOKUP($A53,平滑数据导入!$A$1:$AN$61,COLUMN(平滑数据导入!V$1),0)</f>
        <v>9455.69186823981</v>
      </c>
      <c r="AR53" s="90">
        <f>VLOOKUP($A53,平滑数据导入!$A$1:$AN$61,COLUMN(平滑数据导入!W$1),0)</f>
        <v>9683.2309482743258</v>
      </c>
      <c r="AS53" s="90">
        <f>VLOOKUP($A53,平滑数据导入!$A$1:$AN$61,COLUMN(平滑数据导入!X$1),0)</f>
        <v>9889.6679665264783</v>
      </c>
      <c r="AT53" s="90">
        <f>VLOOKUP($A53,平滑数据导入!$A$1:$AN$61,COLUMN(平滑数据导入!Y$1),0)</f>
        <v>10077.37792228057</v>
      </c>
      <c r="AU53" s="89">
        <f>VLOOKUP($A53,平滑数据导入!$A$1:$AN$61,COLUMN(平滑数据导入!Z$1),0)</f>
        <v>10249.148042608171</v>
      </c>
      <c r="AV53" s="90">
        <f>VLOOKUP($A53,平滑数据导入!$A$1:$AN$61,COLUMN(平滑数据导入!AA$1),0)</f>
        <v>10408.121277902979</v>
      </c>
      <c r="AW53" s="90">
        <f>VLOOKUP($A53,平滑数据导入!$A$1:$AN$61,COLUMN(平滑数据导入!AB$1),0)</f>
        <v>10557.747006000071</v>
      </c>
      <c r="AX53" s="90">
        <f>VLOOKUP($A53,平滑数据导入!$A$1:$AN$61,COLUMN(平滑数据导入!AC$1),0)</f>
        <v>10701.74154506533</v>
      </c>
      <c r="AY53" s="133">
        <f>VLOOKUP(A53,情景假设!$B$48:$S$88,17,0)/情景假设!R$47*AY$13</f>
        <v>10844.060650714662</v>
      </c>
      <c r="AZ53" s="89">
        <f>VLOOKUP($A53,平滑数据导入!$A$1:$AN$61,COLUMN(平滑数据导入!AE$1),0)</f>
        <v>10988.885837626251</v>
      </c>
      <c r="BA53" s="90">
        <f>VLOOKUP($A53,平滑数据导入!$A$1:$AN$61,COLUMN(平滑数据导入!AF$1),0)</f>
        <v>11140.62615376031</v>
      </c>
      <c r="BB53" s="90">
        <f>VLOOKUP($A53,平滑数据导入!$A$1:$AN$61,COLUMN(平滑数据导入!AG$1),0)</f>
        <v>11303.93697431179</v>
      </c>
      <c r="BC53" s="90">
        <f>VLOOKUP($A53,平滑数据导入!$A$1:$AN$61,COLUMN(平滑数据导入!AH$1),0)</f>
        <v>11483.75749806724</v>
      </c>
      <c r="BD53" s="101">
        <f>VLOOKUP($A53,平滑数据导入!$A$1:$AN$61,COLUMN(平滑数据导入!AI$1),0)</f>
        <v>11685.36894695137</v>
      </c>
      <c r="BE53" s="90">
        <f>VLOOKUP($A53,平滑数据导入!$A$1:$AN$61,COLUMN(平滑数据导入!AJ$1),0)</f>
        <v>11914.47602107588</v>
      </c>
      <c r="BF53" s="90">
        <f>VLOOKUP($A53,平滑数据导入!$A$1:$AN$61,COLUMN(平滑数据导入!AK$1),0)</f>
        <v>12177.314987174541</v>
      </c>
      <c r="BG53" s="90">
        <f>VLOOKUP($A53,平滑数据导入!$A$1:$AN$61,COLUMN(平滑数据导入!AL$1),0)</f>
        <v>12480.79293442255</v>
      </c>
      <c r="BH53" s="90">
        <f>VLOOKUP($A53,平滑数据导入!$A$1:$AN$61,COLUMN(平滑数据导入!AM$1),0)</f>
        <v>12832.664298342141</v>
      </c>
      <c r="BI53" s="133">
        <f>VLOOKUP(A53,情景假设!$B$48:$S$88,18,0)/情景假设!S$47*BI$13</f>
        <v>13241.752844398045</v>
      </c>
    </row>
    <row r="54" spans="1:61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f>'增加值 (2001-2022, 当年价) '!I54*I$77</f>
        <v>772.52531059024352</v>
      </c>
      <c r="J54" s="20">
        <f>'增加值 (2001-2022, 当年价) '!J54*J$77</f>
        <v>769.65677167553315</v>
      </c>
      <c r="K54" s="21">
        <f>'增加值 (2001-2022, 当年价) '!K54*K$77</f>
        <v>789.2808019013371</v>
      </c>
      <c r="L54" s="25">
        <f>'增加值 (2001-2022, 当年价) '!L54*L$77</f>
        <v>813.7681388479034</v>
      </c>
      <c r="M54" s="26">
        <f>'增加值 (2001-2022, 当年价) '!M54*M$77</f>
        <v>809.56374762604992</v>
      </c>
      <c r="N54" s="26">
        <f>'增加值 (2001-2022, 当年价) '!N54*N$77</f>
        <v>820.58064700482055</v>
      </c>
      <c r="O54" s="26">
        <f>'增加值 (2001-2022, 当年价) '!O54*O$77</f>
        <v>844.93068560736822</v>
      </c>
      <c r="P54" s="26">
        <f>'增加值 (2001-2022, 当年价) '!P54*P$77</f>
        <v>846.48120875534187</v>
      </c>
      <c r="Q54" s="25">
        <f>'增加值 (2001-2022, 当年价) '!Q54*Q$77</f>
        <v>883.89316881893217</v>
      </c>
      <c r="R54" s="26">
        <f>'增加值 (2001-2022, 当年价) '!R54*R$77</f>
        <v>972.5233546006923</v>
      </c>
      <c r="S54" s="26">
        <f>'增加值 (2001-2022, 当年价) '!S54*S$77</f>
        <v>1034.1872244828596</v>
      </c>
      <c r="T54" s="26">
        <f>'增加值 (2001-2022, 当年价) '!T54*T$77</f>
        <v>1075.902264997181</v>
      </c>
      <c r="U54" s="27">
        <f>'增加值 (2001-2022, 当年价) '!U54*U$77</f>
        <v>1091.7883404123318</v>
      </c>
      <c r="V54" s="26">
        <f>'增加值 (2001-2022, 当年价) '!V54*V$77</f>
        <v>1244.7503877019715</v>
      </c>
      <c r="W54" s="26">
        <f>'增加值 (2001-2022, 当年价) '!W54*W$77</f>
        <v>1298.5975960878834</v>
      </c>
      <c r="X54" s="92">
        <f>VLOOKUP($A54,平滑数据导入!$A$1:$AN$61,COLUMN(平滑数据导入!C$1),0)</f>
        <v>1353.358237928918</v>
      </c>
      <c r="Y54" s="92">
        <f>VLOOKUP($A54,平滑数据导入!$A$1:$AN$61,COLUMN(平滑数据导入!D$1),0)</f>
        <v>1418.4510559999389</v>
      </c>
      <c r="Z54" s="142">
        <f>VLOOKUP(A54,情景假设!$B$48:$S$88,14,0)/情景假设!O$47*Z$13</f>
        <v>1493.0706591018359</v>
      </c>
      <c r="AA54" s="91">
        <f>VLOOKUP($A54,平滑数据导入!$A$1:$AN$61,COLUMN(平滑数据导入!F$1),0)</f>
        <v>1576.201742686643</v>
      </c>
      <c r="AB54" s="92">
        <f>VLOOKUP($A54,平滑数据导入!$A$1:$AN$61,COLUMN(平滑数据导入!G$1),0)</f>
        <v>1666.51679937672</v>
      </c>
      <c r="AC54" s="92">
        <f>VLOOKUP($A54,平滑数据导入!$A$1:$AN$61,COLUMN(平滑数据导入!H$1),0)</f>
        <v>1762.2805703498341</v>
      </c>
      <c r="AD54" s="92">
        <f>VLOOKUP($A54,平滑数据导入!$A$1:$AN$61,COLUMN(平滑数据导入!I$1),0)</f>
        <v>1861.2679057207481</v>
      </c>
      <c r="AE54" s="134">
        <f>VLOOKUP(A54,情景假设!$B$48:$S$88,15,0)/情景假设!P$47*AE$13</f>
        <v>1960.7048238592988</v>
      </c>
      <c r="AF54" s="92">
        <f>VLOOKUP($A54,平滑数据导入!$A$1:$AN$61,COLUMN(平滑数据导入!K$1),0)</f>
        <v>2057.695692688967</v>
      </c>
      <c r="AG54" s="92">
        <f>VLOOKUP($A54,平滑数据导入!$A$1:$AN$61,COLUMN(平滑数据导入!L$1),0)</f>
        <v>2150.7611082536082</v>
      </c>
      <c r="AH54" s="92">
        <f>VLOOKUP($A54,平滑数据导入!$A$1:$AN$61,COLUMN(平滑数据导入!M$1),0)</f>
        <v>2238.808173344677</v>
      </c>
      <c r="AI54" s="92">
        <f>VLOOKUP($A54,平滑数据导入!$A$1:$AN$61,COLUMN(平滑数据导入!N$1),0)</f>
        <v>2320.7420096262872</v>
      </c>
      <c r="AJ54" s="142">
        <f>VLOOKUP(A54,情景假设!$B$48:$S$88,16,0)/情景假设!Q$47*AJ$13</f>
        <v>2395.4863633948648</v>
      </c>
      <c r="AK54" s="91">
        <f>VLOOKUP($A54,平滑数据导入!$A$1:$AN$61,COLUMN(平滑数据导入!P$1),0)</f>
        <v>2462.1464457360039</v>
      </c>
      <c r="AL54" s="92">
        <f>VLOOKUP($A54,平滑数据导入!$A$1:$AN$61,COLUMN(平滑数据导入!Q$1),0)</f>
        <v>2520.4810919427869</v>
      </c>
      <c r="AM54" s="92">
        <f>VLOOKUP($A54,平滑数据导入!$A$1:$AN$61,COLUMN(平滑数据导入!R$1),0)</f>
        <v>2570.5338694625539</v>
      </c>
      <c r="AN54" s="92">
        <f>VLOOKUP($A54,平滑数据导入!$A$1:$AN$61,COLUMN(平滑数据导入!S$1),0)</f>
        <v>2612.489052098806</v>
      </c>
      <c r="AO54" s="102">
        <f>VLOOKUP($A54,平滑数据导入!$A$1:$AN$61,COLUMN(平滑数据导入!T$1),0)</f>
        <v>2646.6580150990271</v>
      </c>
      <c r="AP54" s="92">
        <f>VLOOKUP($A54,平滑数据导入!$A$1:$AN$61,COLUMN(平滑数据导入!U$1),0)</f>
        <v>2673.4638467626069</v>
      </c>
      <c r="AQ54" s="92">
        <f>VLOOKUP($A54,平滑数据导入!$A$1:$AN$61,COLUMN(平滑数据导入!V$1),0)</f>
        <v>2693.4249564633951</v>
      </c>
      <c r="AR54" s="92">
        <f>VLOOKUP($A54,平滑数据导入!$A$1:$AN$61,COLUMN(平滑数据导入!W$1),0)</f>
        <v>2707.1384007412212</v>
      </c>
      <c r="AS54" s="92">
        <f>VLOOKUP($A54,平滑数据导入!$A$1:$AN$61,COLUMN(平滑数据导入!X$1),0)</f>
        <v>2715.2635672790202</v>
      </c>
      <c r="AT54" s="92">
        <f>VLOOKUP($A54,平滑数据导入!$A$1:$AN$61,COLUMN(平滑数据导入!Y$1),0)</f>
        <v>2718.5067598151932</v>
      </c>
      <c r="AU54" s="91">
        <f>VLOOKUP($A54,平滑数据导入!$A$1:$AN$61,COLUMN(平滑数据导入!Z$1),0)</f>
        <v>2717.6071234208212</v>
      </c>
      <c r="AV54" s="92">
        <f>VLOOKUP($A54,平滑数据导入!$A$1:$AN$61,COLUMN(平滑数据导入!AA$1),0)</f>
        <v>2713.324246169117</v>
      </c>
      <c r="AW54" s="92">
        <f>VLOOKUP($A54,平滑数据导入!$A$1:$AN$61,COLUMN(平滑数据导入!AB$1),0)</f>
        <v>2706.4276758657861</v>
      </c>
      <c r="AX54" s="92">
        <f>VLOOKUP($A54,平滑数据导入!$A$1:$AN$61,COLUMN(平滑数据导入!AC$1),0)</f>
        <v>2697.688503676784</v>
      </c>
      <c r="AY54" s="134">
        <f>VLOOKUP(A54,情景假设!$B$48:$S$88,17,0)/情景假设!R$47*AY$13</f>
        <v>2687.8730933572319</v>
      </c>
      <c r="AZ54" s="91">
        <f>VLOOKUP($A54,平滑数据导入!$A$1:$AN$61,COLUMN(平滑数据导入!AE$1),0)</f>
        <v>2677.7389773417008</v>
      </c>
      <c r="BA54" s="92">
        <f>VLOOKUP($A54,平滑数据导入!$A$1:$AN$61,COLUMN(平滑数据导入!AF$1),0)</f>
        <v>2668.0329002027502</v>
      </c>
      <c r="BB54" s="92">
        <f>VLOOKUP($A54,平滑数据导入!$A$1:$AN$61,COLUMN(平滑数据导入!AG$1),0)</f>
        <v>2659.4909661709548</v>
      </c>
      <c r="BC54" s="92">
        <f>VLOOKUP($A54,平滑数据导入!$A$1:$AN$61,COLUMN(平滑数据导入!AH$1),0)</f>
        <v>2652.8408402871428</v>
      </c>
      <c r="BD54" s="102">
        <f>VLOOKUP($A54,平滑数据导入!$A$1:$AN$61,COLUMN(平滑数据导入!AI$1),0)</f>
        <v>2648.8059618394191</v>
      </c>
      <c r="BE54" s="92">
        <f>VLOOKUP($A54,平滑数据导入!$A$1:$AN$61,COLUMN(平滑数据导入!AJ$1),0)</f>
        <v>2648.1117535511662</v>
      </c>
      <c r="BF54" s="92">
        <f>VLOOKUP($A54,平滑数据导入!$A$1:$AN$61,COLUMN(平滑数据导入!AK$1),0)</f>
        <v>2651.4938503160829</v>
      </c>
      <c r="BG54" s="92">
        <f>VLOOKUP($A54,平滑数据导入!$A$1:$AN$61,COLUMN(平滑数据导入!AL$1),0)</f>
        <v>2659.7084274039189</v>
      </c>
      <c r="BH54" s="92">
        <f>VLOOKUP($A54,平滑数据导入!$A$1:$AN$61,COLUMN(平滑数据导入!AM$1),0)</f>
        <v>2673.5447810054552</v>
      </c>
      <c r="BI54" s="134">
        <f>VLOOKUP(A54,情景假设!$B$48:$S$88,18,0)/情景假设!S$47*BI$13</f>
        <v>2693.8404057679045</v>
      </c>
    </row>
    <row r="55" spans="1:61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6"/>
      <c r="X55" s="26"/>
      <c r="Y55" s="26"/>
      <c r="Z55" s="27"/>
      <c r="AA55" s="25"/>
      <c r="AB55" s="26"/>
      <c r="AC55" s="26"/>
      <c r="AD55" s="26"/>
      <c r="AE55" s="27"/>
      <c r="AF55" s="25"/>
      <c r="AG55" s="26"/>
      <c r="AH55" s="26"/>
      <c r="AI55" s="26"/>
      <c r="AJ55" s="27"/>
      <c r="AK55" s="25"/>
      <c r="AL55" s="26"/>
      <c r="AM55" s="26"/>
      <c r="AN55" s="26"/>
      <c r="AO55" s="27"/>
      <c r="AP55" s="25"/>
      <c r="AQ55" s="26"/>
      <c r="AR55" s="26"/>
      <c r="AS55" s="26"/>
      <c r="AT55" s="27"/>
      <c r="AU55" s="25"/>
      <c r="AV55" s="26"/>
      <c r="AW55" s="26"/>
      <c r="AX55" s="26"/>
      <c r="AY55" s="27"/>
      <c r="AZ55" s="25"/>
      <c r="BA55" s="26"/>
      <c r="BB55" s="26"/>
      <c r="BC55" s="26"/>
      <c r="BD55" s="27"/>
      <c r="BE55" s="25"/>
      <c r="BF55" s="26"/>
      <c r="BG55" s="26"/>
      <c r="BH55" s="26"/>
      <c r="BI55" s="27"/>
    </row>
    <row r="56" spans="1:61" s="9" customFormat="1" x14ac:dyDescent="0.2">
      <c r="A56" s="4" t="s">
        <v>35</v>
      </c>
      <c r="B56" s="6">
        <f>B2-B3-B4-B5</f>
        <v>85159.972603165224</v>
      </c>
      <c r="C56" s="7">
        <f t="shared" ref="C56:Z56" si="9">C2-C3-C4-C5</f>
        <v>95166.703516711757</v>
      </c>
      <c r="D56" s="7">
        <f t="shared" si="9"/>
        <v>104088.24150810447</v>
      </c>
      <c r="E56" s="7">
        <f t="shared" si="9"/>
        <v>112231.0158089881</v>
      </c>
      <c r="F56" s="8">
        <f t="shared" si="9"/>
        <v>125401.69192976059</v>
      </c>
      <c r="G56" s="6">
        <f t="shared" si="9"/>
        <v>142978.37226587938</v>
      </c>
      <c r="H56" s="7">
        <f t="shared" si="9"/>
        <v>167541.49267001179</v>
      </c>
      <c r="I56" s="7">
        <f t="shared" si="9"/>
        <v>183610.20739593869</v>
      </c>
      <c r="J56" s="7">
        <f t="shared" si="9"/>
        <v>208205.9118021396</v>
      </c>
      <c r="K56" s="8">
        <f t="shared" si="9"/>
        <v>229127.61075000683</v>
      </c>
      <c r="L56" s="6">
        <f t="shared" si="9"/>
        <v>251708.3636572689</v>
      </c>
      <c r="M56" s="7">
        <f t="shared" si="9"/>
        <v>278805.76639792533</v>
      </c>
      <c r="N56" s="7">
        <f t="shared" si="9"/>
        <v>310001.39344416757</v>
      </c>
      <c r="O56" s="7">
        <f t="shared" si="9"/>
        <v>342958.0095287055</v>
      </c>
      <c r="P56" s="8">
        <f t="shared" si="9"/>
        <v>386077.17871781316</v>
      </c>
      <c r="Q56" s="6">
        <f t="shared" si="9"/>
        <v>425343.01125934906</v>
      </c>
      <c r="R56" s="7">
        <f t="shared" si="9"/>
        <v>457751.78044071991</v>
      </c>
      <c r="S56" s="7">
        <f t="shared" si="9"/>
        <v>493758.45247992256</v>
      </c>
      <c r="T56" s="7">
        <f t="shared" si="9"/>
        <v>533245.36875375663</v>
      </c>
      <c r="U56" s="8">
        <f t="shared" si="9"/>
        <v>546822.9</v>
      </c>
      <c r="V56" s="6">
        <f>V2-V3-V4-V5</f>
        <v>582938.40935426694</v>
      </c>
      <c r="W56" s="7">
        <f t="shared" si="9"/>
        <v>591543.43563865288</v>
      </c>
      <c r="X56" s="85">
        <f>SUM(X57:X70)</f>
        <v>632599.2082189091</v>
      </c>
      <c r="Y56" s="85">
        <f>SUM(Y57:Y70)</f>
        <v>676177.83810888638</v>
      </c>
      <c r="Z56" s="131">
        <f t="shared" si="9"/>
        <v>722166.44282457931</v>
      </c>
      <c r="AA56" s="87">
        <f>SUM(AA57:AA70)</f>
        <v>770379.26630273357</v>
      </c>
      <c r="AB56" s="85">
        <f t="shared" ref="AB56:AI56" si="10">SUM(AB57:AB70)</f>
        <v>820541.6189750894</v>
      </c>
      <c r="AC56" s="85">
        <f t="shared" si="10"/>
        <v>872273.40688720974</v>
      </c>
      <c r="AD56" s="85">
        <f t="shared" si="10"/>
        <v>925073.26307559025</v>
      </c>
      <c r="AE56" s="131">
        <f>AE2*情景假设!F16</f>
        <v>978304.66133518296</v>
      </c>
      <c r="AF56" s="87">
        <f t="shared" si="10"/>
        <v>1031382.6199446048</v>
      </c>
      <c r="AG56" s="85">
        <f t="shared" si="10"/>
        <v>1084443.8464775253</v>
      </c>
      <c r="AH56" s="85">
        <f t="shared" si="10"/>
        <v>1137902.2151079299</v>
      </c>
      <c r="AI56" s="85">
        <f t="shared" si="10"/>
        <v>1192272.4051367436</v>
      </c>
      <c r="AJ56" s="88">
        <f>AJ2*情景假设!F17</f>
        <v>1248171.7024808694</v>
      </c>
      <c r="AK56" s="87">
        <f>SUM(AK57:AK70)</f>
        <v>1306163.0323733333</v>
      </c>
      <c r="AL56" s="85">
        <f t="shared" ref="AL56:AX56" si="11">SUM(AL57:AL70)</f>
        <v>1366227.7505286175</v>
      </c>
      <c r="AM56" s="85">
        <f t="shared" si="11"/>
        <v>1428171.0674170423</v>
      </c>
      <c r="AN56" s="85">
        <f t="shared" si="11"/>
        <v>1491771.4564553029</v>
      </c>
      <c r="AO56" s="88">
        <f t="shared" si="11"/>
        <v>1556779.9807367532</v>
      </c>
      <c r="AP56" s="87">
        <f t="shared" si="11"/>
        <v>1622920.0912048889</v>
      </c>
      <c r="AQ56" s="85">
        <f t="shared" si="11"/>
        <v>1689887.947687974</v>
      </c>
      <c r="AR56" s="85">
        <f t="shared" si="11"/>
        <v>1757353.3120341173</v>
      </c>
      <c r="AS56" s="85">
        <f t="shared" si="11"/>
        <v>1824961.0578532249</v>
      </c>
      <c r="AT56" s="88">
        <f t="shared" si="11"/>
        <v>1892333.3338070924</v>
      </c>
      <c r="AU56" s="87">
        <f t="shared" si="11"/>
        <v>1959072.406761074</v>
      </c>
      <c r="AV56" s="85">
        <f t="shared" si="11"/>
        <v>2024764.1972726607</v>
      </c>
      <c r="AW56" s="85">
        <f t="shared" si="11"/>
        <v>2088982.5028157609</v>
      </c>
      <c r="AX56" s="85">
        <f t="shared" si="11"/>
        <v>2151293.8839544985</v>
      </c>
      <c r="AY56" s="131">
        <f>AY2*情景假设!F18</f>
        <v>2211263.1657124464</v>
      </c>
      <c r="AZ56" s="87">
        <f>SUM(AZ57:AZ70)</f>
        <v>2268459.4811836518</v>
      </c>
      <c r="BA56" s="85">
        <f t="shared" ref="BA56:BH56" si="12">SUM(BA57:BA70)</f>
        <v>2322462.7578015765</v>
      </c>
      <c r="BB56" s="85">
        <f t="shared" si="12"/>
        <v>2372870.5196774388</v>
      </c>
      <c r="BC56" s="85">
        <f t="shared" si="12"/>
        <v>2419304.8533423971</v>
      </c>
      <c r="BD56" s="88">
        <f t="shared" si="12"/>
        <v>2461419.3605908202</v>
      </c>
      <c r="BE56" s="87">
        <f t="shared" si="12"/>
        <v>2498905.9025862254</v>
      </c>
      <c r="BF56" s="85">
        <f t="shared" si="12"/>
        <v>2531500.9256802783</v>
      </c>
      <c r="BG56" s="85">
        <f t="shared" si="12"/>
        <v>2558991.1531786751</v>
      </c>
      <c r="BH56" s="85">
        <f t="shared" si="12"/>
        <v>2581218.4300460345</v>
      </c>
      <c r="BI56" s="131">
        <f>BI2*情景假设!F19</f>
        <v>2598083.5204181699</v>
      </c>
    </row>
    <row r="57" spans="1:61" s="9" customFormat="1" x14ac:dyDescent="0.2">
      <c r="A57" s="10" t="s">
        <v>4</v>
      </c>
      <c r="B57" s="22">
        <f>B$77*'增加值 (2001-2022, 当年价) '!B57</f>
        <v>12922.19691913198</v>
      </c>
      <c r="C57" s="23">
        <f>C$77*'增加值 (2001-2022, 当年价) '!C57</f>
        <v>14005.145364926902</v>
      </c>
      <c r="D57" s="23">
        <f>D$77*'增加值 (2001-2022, 当年价) '!D57</f>
        <v>14410.716652702284</v>
      </c>
      <c r="E57" s="23">
        <f>E$77*'增加值 (2001-2022, 当年价) '!E57</f>
        <v>15841.240702858573</v>
      </c>
      <c r="F57" s="24">
        <f>F$77*'增加值 (2001-2022, 当年价) '!F57</f>
        <v>17478.670029358709</v>
      </c>
      <c r="G57" s="22">
        <f>G$77*'增加值 (2001-2022, 当年价) '!G57</f>
        <v>19206.903926131014</v>
      </c>
      <c r="H57" s="23">
        <f>H$77*'增加值 (2001-2022, 当年价) '!H57</f>
        <v>21357.812046410043</v>
      </c>
      <c r="I57" s="23">
        <f>I$77*'增加值 (2001-2022, 当年价) '!I57</f>
        <v>22214.293173693201</v>
      </c>
      <c r="J57" s="23">
        <f>J$77*'增加值 (2001-2022, 当年价) '!J57</f>
        <v>22471.738420302012</v>
      </c>
      <c r="K57" s="24">
        <f>K$77*'增加值 (2001-2022, 当年价) '!K57</f>
        <v>23894.578991226455</v>
      </c>
      <c r="L57" s="22">
        <f>L$77*'增加值 (2001-2022, 当年价) '!L57</f>
        <v>25720.526961160911</v>
      </c>
      <c r="M57" s="23">
        <f>M$77*'增加值 (2001-2022, 当年价) '!M57</f>
        <v>27354.589707269035</v>
      </c>
      <c r="N57" s="23">
        <f>N$77*'增加值 (2001-2022, 当年价) '!N57</f>
        <v>29353.002496532965</v>
      </c>
      <c r="O57" s="23">
        <f>O$77*'增加值 (2001-2022, 当年价) '!O57</f>
        <v>31825.567469102905</v>
      </c>
      <c r="P57" s="24">
        <f>P$77*'增加值 (2001-2022, 当年价) '!P57</f>
        <v>34027.489263973992</v>
      </c>
      <c r="Q57" s="22">
        <f>Q$77*'增加值 (2001-2022, 当年价) '!Q57</f>
        <v>36297.463499736106</v>
      </c>
      <c r="R57" s="23">
        <f>R$77*'增加值 (2001-2022, 当年价) '!R57</f>
        <v>39121.852645308427</v>
      </c>
      <c r="S57" s="23">
        <f>S$77*'增加值 (2001-2022, 当年价) '!S57</f>
        <v>41053.77693860625</v>
      </c>
      <c r="T57" s="23">
        <f>T$77*'增加值 (2001-2022, 当年价) '!T57</f>
        <v>42691.5780889854</v>
      </c>
      <c r="U57" s="23">
        <f>U$77*'增加值 (2001-2022, 当年价) '!U57</f>
        <v>40582.9</v>
      </c>
      <c r="V57" s="22">
        <f>V$77*'增加值 (2001-2022, 当年价) '!V57</f>
        <v>44991.98369146973</v>
      </c>
      <c r="W57" s="23">
        <f>W$77*'增加值 (2001-2022, 当年价) '!W57</f>
        <v>46450.003049149032</v>
      </c>
      <c r="X57" s="98">
        <f>VLOOKUP($A57,平滑数据导入!$A$1:$AN$61,COLUMN(平滑数据导入!C$1),0)</f>
        <v>48488.395867085768</v>
      </c>
      <c r="Y57" s="98">
        <f>VLOOKUP($A57,平滑数据导入!$A$1:$AN$61,COLUMN(平滑数据导入!D$1),0)</f>
        <v>50475.608187655132</v>
      </c>
      <c r="Z57" s="132">
        <f>VLOOKUP(A57,情景假设!$B$29:$S$42,14,0)/情景假设!O$28*Z$56</f>
        <v>52394.72297559138</v>
      </c>
      <c r="AA57" s="98">
        <f>VLOOKUP($A57,平滑数据导入!$A$1:$AN$61,COLUMN(平滑数据导入!F$1),0)</f>
        <v>54228.345027771058</v>
      </c>
      <c r="AB57" s="98">
        <f>VLOOKUP($A57,平滑数据导入!$A$1:$AN$61,COLUMN(平滑数据导入!G$1),0)</f>
        <v>55958.818576533893</v>
      </c>
      <c r="AC57" s="98">
        <f>VLOOKUP($A57,平滑数据导入!$A$1:$AN$61,COLUMN(平滑数据导入!H$1),0)</f>
        <v>57568.468704691972</v>
      </c>
      <c r="AD57" s="98">
        <f>VLOOKUP($A57,平滑数据导入!$A$1:$AN$61,COLUMN(平滑数据导入!I$1),0)</f>
        <v>59039.863207858609</v>
      </c>
      <c r="AE57" s="140">
        <f>VLOOKUP(A57,情景假设!$B$29:$S$42,15,0)/情景假设!P$28*AE$56</f>
        <v>60356.090633259213</v>
      </c>
      <c r="AF57" s="100">
        <f>VLOOKUP($A57,平滑数据导入!$A$1:$AN$61,COLUMN(平滑数据导入!K$1),0)</f>
        <v>61509.555168305262</v>
      </c>
      <c r="AG57" s="98">
        <f>VLOOKUP($A57,平滑数据导入!$A$1:$AN$61,COLUMN(平滑数据导入!L$1),0)</f>
        <v>62528.8824494855</v>
      </c>
      <c r="AH57" s="98">
        <f>VLOOKUP($A57,平滑数据导入!$A$1:$AN$61,COLUMN(平滑数据导入!M$1),0)</f>
        <v>63455.06239218454</v>
      </c>
      <c r="AI57" s="98">
        <f>VLOOKUP($A57,平滑数据导入!$A$1:$AN$61,COLUMN(平滑数据导入!N$1),0)</f>
        <v>64332.487465975777</v>
      </c>
      <c r="AJ57" s="132">
        <f>VLOOKUP(A57,情景假设!$B$29:$S$42,16,0)/情景假设!Q$28*AJ$56</f>
        <v>65208.439071092638</v>
      </c>
      <c r="AK57" s="98">
        <f>VLOOKUP($A57,平滑数据导入!$A$1:$AN$61,COLUMN(平滑数据导入!P$1),0)</f>
        <v>66121.855853919566</v>
      </c>
      <c r="AL57" s="98">
        <f>VLOOKUP($A57,平滑数据导入!$A$1:$AN$61,COLUMN(平滑数据导入!Q$1),0)</f>
        <v>67069.056549451372</v>
      </c>
      <c r="AM57" s="98">
        <f>VLOOKUP($A57,平滑数据导入!$A$1:$AN$61,COLUMN(平滑数据导入!R$1),0)</f>
        <v>68034.766985159265</v>
      </c>
      <c r="AN57" s="98">
        <f>VLOOKUP($A57,平滑数据导入!$A$1:$AN$61,COLUMN(平滑数据导入!S$1),0)</f>
        <v>69002.80684169165</v>
      </c>
      <c r="AO57" s="98">
        <f>VLOOKUP($A57,平滑数据导入!$A$1:$AN$61,COLUMN(平滑数据导入!T$1),0)</f>
        <v>69956.064932717825</v>
      </c>
      <c r="AP57" s="100">
        <f>VLOOKUP($A57,平滑数据导入!$A$1:$AN$61,COLUMN(平滑数据导入!U$1),0)</f>
        <v>70876.515206681084</v>
      </c>
      <c r="AQ57" s="98">
        <f>VLOOKUP($A57,平滑数据导入!$A$1:$AN$61,COLUMN(平滑数据导入!V$1),0)</f>
        <v>71745.277333349601</v>
      </c>
      <c r="AR57" s="98">
        <f>VLOOKUP($A57,平滑数据导入!$A$1:$AN$61,COLUMN(平滑数据导入!W$1),0)</f>
        <v>72542.72546542123</v>
      </c>
      <c r="AS57" s="98">
        <f>VLOOKUP($A57,平滑数据导入!$A$1:$AN$61,COLUMN(平滑数据导入!X$1),0)</f>
        <v>73248.648160439698</v>
      </c>
      <c r="AT57" s="99">
        <f>VLOOKUP($A57,平滑数据导入!$A$1:$AN$61,COLUMN(平滑数据导入!Y$1),0)</f>
        <v>73842.461481970662</v>
      </c>
      <c r="AU57" s="98">
        <f>VLOOKUP($A57,平滑数据导入!$A$1:$AN$61,COLUMN(平滑数据导入!Z$1),0)</f>
        <v>74303.47595349366</v>
      </c>
      <c r="AV57" s="98">
        <f>VLOOKUP($A57,平滑数据导入!$A$1:$AN$61,COLUMN(平滑数据导入!AA$1),0)</f>
        <v>74611.216312101809</v>
      </c>
      <c r="AW57" s="98">
        <f>VLOOKUP($A57,平滑数据导入!$A$1:$AN$61,COLUMN(平滑数据导入!AB$1),0)</f>
        <v>74745.790921537715</v>
      </c>
      <c r="AX57" s="98">
        <f>VLOOKUP($A57,平滑数据导入!$A$1:$AN$61,COLUMN(平滑数据导入!AC$1),0)</f>
        <v>74688.305301258893</v>
      </c>
      <c r="AY57" s="140">
        <f>VLOOKUP(A57,情景假设!$B$29:$S$42,17,0)/情景假设!R$28*AY$56</f>
        <v>74421.311585954041</v>
      </c>
      <c r="AZ57" s="100">
        <f>VLOOKUP($A57,平滑数据导入!$A$1:$AN$61,COLUMN(平滑数据导入!AE$1),0)</f>
        <v>73929.282956390365</v>
      </c>
      <c r="BA57" s="98">
        <f>VLOOKUP($A57,平滑数据导入!$A$1:$AN$61,COLUMN(平滑数据导入!AF$1),0)</f>
        <v>73199.099318076507</v>
      </c>
      <c r="BB57" s="98">
        <f>VLOOKUP($A57,平滑数据导入!$A$1:$AN$61,COLUMN(平滑数据导入!AG$1),0)</f>
        <v>72220.527918918873</v>
      </c>
      <c r="BC57" s="98">
        <f>VLOOKUP($A57,平滑数据导入!$A$1:$AN$61,COLUMN(平滑数据导入!AH$1),0)</f>
        <v>70986.680384241583</v>
      </c>
      <c r="BD57" s="99">
        <f>VLOOKUP($A57,平滑数据导入!$A$1:$AN$61,COLUMN(平滑数据导入!AI$1),0)</f>
        <v>69494.426014380209</v>
      </c>
      <c r="BE57" s="98">
        <f>VLOOKUP($A57,平滑数据导入!$A$1:$AN$61,COLUMN(平滑数据导入!AJ$1),0)</f>
        <v>67744.740344266567</v>
      </c>
      <c r="BF57" s="98">
        <f>VLOOKUP($A57,平滑数据导入!$A$1:$AN$61,COLUMN(平滑数据导入!AK$1),0)</f>
        <v>65742.968097878693</v>
      </c>
      <c r="BG57" s="98">
        <f>VLOOKUP($A57,平滑数据导入!$A$1:$AN$61,COLUMN(平滑数据导入!AL$1),0)</f>
        <v>63498.980940534377</v>
      </c>
      <c r="BH57" s="98">
        <f>VLOOKUP($A57,平滑数据导入!$A$1:$AN$61,COLUMN(平滑数据导入!AM$1),0)</f>
        <v>61027.212942117141</v>
      </c>
      <c r="BI57" s="132">
        <f>VLOOKUP(A57,情景假设!$B$29:$S$42,18,0)/情景假设!S$28*BI$56</f>
        <v>58346.560445000279</v>
      </c>
    </row>
    <row r="58" spans="1:61" s="9" customFormat="1" x14ac:dyDescent="0.2">
      <c r="A58" s="14" t="s">
        <v>5</v>
      </c>
      <c r="B58" s="19">
        <f>B$77*'增加值 (2001-2022, 当年价) '!B58</f>
        <v>17152.616485966111</v>
      </c>
      <c r="C58" s="20">
        <f>C$77*'增加值 (2001-2022, 当年价) '!C58</f>
        <v>18681.749754360146</v>
      </c>
      <c r="D58" s="20">
        <f>D$77*'增加值 (2001-2022, 当年价) '!D58</f>
        <v>20339.742996748846</v>
      </c>
      <c r="E58" s="20">
        <f>E$77*'增加值 (2001-2022, 当年价) '!E58</f>
        <v>21201.883194183185</v>
      </c>
      <c r="F58" s="21">
        <f>F$77*'增加值 (2001-2022, 当年价) '!F58</f>
        <v>22884.560803942069</v>
      </c>
      <c r="G58" s="19">
        <f>G$77*'增加值 (2001-2022, 当年价) '!G58</f>
        <v>26058.395523850108</v>
      </c>
      <c r="H58" s="20">
        <f>H$77*'增加值 (2001-2022, 当年价) '!H58</f>
        <v>30623.280761177761</v>
      </c>
      <c r="I58" s="20">
        <f>I$77*'增加值 (2001-2022, 当年价) '!I58</f>
        <v>35540.208943581521</v>
      </c>
      <c r="J58" s="20">
        <f>J$77*'增加值 (2001-2022, 当年价) '!J58</f>
        <v>39448.493208340893</v>
      </c>
      <c r="K58" s="21">
        <f>K$77*'增加值 (2001-2022, 当年价) '!K58</f>
        <v>45678.365859529622</v>
      </c>
      <c r="L58" s="19">
        <f>L$77*'增加值 (2001-2022, 当年价) '!L58</f>
        <v>51500.521306789298</v>
      </c>
      <c r="M58" s="20">
        <f>M$77*'增加值 (2001-2022, 当年价) '!M58</f>
        <v>57367.259264602661</v>
      </c>
      <c r="N58" s="20">
        <f>N$77*'增加值 (2001-2022, 当年价) '!N58</f>
        <v>63443.814282969681</v>
      </c>
      <c r="O58" s="20">
        <f>O$77*'增加值 (2001-2022, 当年价) '!O58</f>
        <v>70456.495572018976</v>
      </c>
      <c r="P58" s="21">
        <f>P$77*'增加值 (2001-2022, 当年价) '!P58</f>
        <v>75503.463751392177</v>
      </c>
      <c r="Q58" s="19">
        <f>Q$77*'增加值 (2001-2022, 当年价) '!Q58</f>
        <v>81020.819704871668</v>
      </c>
      <c r="R58" s="20">
        <f>R$77*'增加值 (2001-2022, 当年价) '!R58</f>
        <v>85528.934305470306</v>
      </c>
      <c r="S58" s="20">
        <f>S$77*'增加值 (2001-2022, 当年价) '!S58</f>
        <v>90483.044653986115</v>
      </c>
      <c r="T58" s="20">
        <f>T$77*'增加值 (2001-2022, 当年价) '!T58</f>
        <v>96158.315337849839</v>
      </c>
      <c r="U58" s="20">
        <f>U$77*'增加值 (2001-2022, 当年价) '!U58</f>
        <v>96086.1</v>
      </c>
      <c r="V58" s="19">
        <f>V$77*'增加值 (2001-2022, 当年价) '!V58</f>
        <v>105634.48778242921</v>
      </c>
      <c r="W58" s="20">
        <f>W$77*'增加值 (2001-2022, 当年价) '!W58</f>
        <v>107085.79216328831</v>
      </c>
      <c r="X58" s="90">
        <f>VLOOKUP($A58,平滑数据导入!$A$1:$AN$61,COLUMN(平滑数据导入!C$1),0)</f>
        <v>112033.83841205599</v>
      </c>
      <c r="Y58" s="90">
        <f>VLOOKUP($A58,平滑数据导入!$A$1:$AN$61,COLUMN(平滑数据导入!D$1),0)</f>
        <v>116875.4734098927</v>
      </c>
      <c r="Z58" s="133">
        <f>VLOOKUP(A58,情景假设!$B$29:$S$42,14,0)/情景假设!O$28*Z$56</f>
        <v>121569.86917203684</v>
      </c>
      <c r="AA58" s="90">
        <f>VLOOKUP($A58,平滑数据导入!$A$1:$AN$61,COLUMN(平滑数据导入!F$1),0)</f>
        <v>126074.8639587099</v>
      </c>
      <c r="AB58" s="90">
        <f>VLOOKUP($A58,平滑数据导入!$A$1:$AN$61,COLUMN(平滑数据导入!G$1),0)</f>
        <v>130347.4841530798</v>
      </c>
      <c r="AC58" s="90">
        <f>VLOOKUP($A58,平滑数据导入!$A$1:$AN$61,COLUMN(平滑数据导入!H$1),0)</f>
        <v>134344.5268146072</v>
      </c>
      <c r="AD58" s="90">
        <f>VLOOKUP($A58,平滑数据导入!$A$1:$AN$61,COLUMN(平滑数据导入!I$1),0)</f>
        <v>138023.19492312489</v>
      </c>
      <c r="AE58" s="141">
        <f>VLOOKUP(A58,情景假设!$B$29:$S$42,15,0)/情景假设!P$28*AE$56</f>
        <v>141341.77505798792</v>
      </c>
      <c r="AF58" s="89">
        <f>VLOOKUP($A58,平滑数据导入!$A$1:$AN$61,COLUMN(平滑数据导入!K$1),0)</f>
        <v>144280.4101931288</v>
      </c>
      <c r="AG58" s="90">
        <f>VLOOKUP($A58,平滑数据导入!$A$1:$AN$61,COLUMN(平滑数据导入!L$1),0)</f>
        <v>146904.85862489871</v>
      </c>
      <c r="AH58" s="90">
        <f>VLOOKUP($A58,平滑数据导入!$A$1:$AN$61,COLUMN(平滑数据导入!M$1),0)</f>
        <v>149310.69543947541</v>
      </c>
      <c r="AI58" s="90">
        <f>VLOOKUP($A58,平滑数据导入!$A$1:$AN$61,COLUMN(平滑数据导入!N$1),0)</f>
        <v>151602.25035860209</v>
      </c>
      <c r="AJ58" s="133">
        <f>VLOOKUP(A58,情景假设!$B$29:$S$42,16,0)/情景假设!Q$28*AJ$56</f>
        <v>153891.40052524977</v>
      </c>
      <c r="AK58" s="90">
        <f>VLOOKUP($A58,平滑数据导入!$A$1:$AN$61,COLUMN(平滑数据导入!P$1),0)</f>
        <v>156270.85554332391</v>
      </c>
      <c r="AL58" s="90">
        <f>VLOOKUP($A58,平滑数据导入!$A$1:$AN$61,COLUMN(平滑数据导入!Q$1),0)</f>
        <v>158732.3123797169</v>
      </c>
      <c r="AM58" s="90">
        <f>VLOOKUP($A58,平滑数据导入!$A$1:$AN$61,COLUMN(平滑数据导入!R$1),0)</f>
        <v>161239.7622768181</v>
      </c>
      <c r="AN58" s="90">
        <f>VLOOKUP($A58,平滑数据导入!$A$1:$AN$61,COLUMN(平滑数据导入!S$1),0)</f>
        <v>163754.8403061195</v>
      </c>
      <c r="AO58" s="90">
        <f>VLOOKUP($A58,平滑数据导入!$A$1:$AN$61,COLUMN(平滑数据导入!T$1),0)</f>
        <v>166236.7618053534</v>
      </c>
      <c r="AP58" s="89">
        <f>VLOOKUP($A58,平滑数据导入!$A$1:$AN$61,COLUMN(平滑数据导入!U$1),0)</f>
        <v>168642.35593205161</v>
      </c>
      <c r="AQ58" s="90">
        <f>VLOOKUP($A58,平滑数据导入!$A$1:$AN$61,COLUMN(平滑数据导入!V$1),0)</f>
        <v>170926.20640937111</v>
      </c>
      <c r="AR58" s="90">
        <f>VLOOKUP($A58,平滑数据导入!$A$1:$AN$61,COLUMN(平滑数据导入!W$1),0)</f>
        <v>173040.90891292191</v>
      </c>
      <c r="AS58" s="90">
        <f>VLOOKUP($A58,平滑数据导入!$A$1:$AN$61,COLUMN(平滑数据导入!X$1),0)</f>
        <v>174937.45311273049</v>
      </c>
      <c r="AT58" s="101">
        <f>VLOOKUP($A58,平滑数据导入!$A$1:$AN$61,COLUMN(平滑数据导入!Y$1),0)</f>
        <v>176565.73506482181</v>
      </c>
      <c r="AU58" s="90">
        <f>VLOOKUP($A58,平滑数据导入!$A$1:$AN$61,COLUMN(平滑数据导入!Z$1),0)</f>
        <v>177875.202391158</v>
      </c>
      <c r="AV58" s="90">
        <f>VLOOKUP($A58,平滑数据导入!$A$1:$AN$61,COLUMN(平滑数据导入!AA$1),0)</f>
        <v>178815.63048314161</v>
      </c>
      <c r="AW58" s="90">
        <f>VLOOKUP($A58,平滑数据导入!$A$1:$AN$61,COLUMN(平滑数据导入!AB$1),0)</f>
        <v>179338.02285328621</v>
      </c>
      <c r="AX58" s="90">
        <f>VLOOKUP($A58,平滑数据导入!$A$1:$AN$61,COLUMN(平滑数据导入!AC$1),0)</f>
        <v>179395.62284719769</v>
      </c>
      <c r="AY58" s="141">
        <f>VLOOKUP(A58,情景假设!$B$29:$S$42,17,0)/情景假设!R$28*AY$56</f>
        <v>178945.01739331632</v>
      </c>
      <c r="AZ58" s="89">
        <f>VLOOKUP($A58,平滑数据导入!$A$1:$AN$61,COLUMN(平滑数据导入!AE$1),0)</f>
        <v>177947.30657100771</v>
      </c>
      <c r="BA58" s="90">
        <f>VLOOKUP($A58,平滑数据导入!$A$1:$AN$61,COLUMN(平滑数据导入!AF$1),0)</f>
        <v>176369.30585987229</v>
      </c>
      <c r="BB58" s="90">
        <f>VLOOKUP($A58,平滑数据导入!$A$1:$AN$61,COLUMN(平滑数据导入!AG$1),0)</f>
        <v>174184.74141097441</v>
      </c>
      <c r="BC58" s="90">
        <f>VLOOKUP($A58,平滑数据导入!$A$1:$AN$61,COLUMN(平滑数据导入!AH$1),0)</f>
        <v>171375.3930310396</v>
      </c>
      <c r="BD58" s="101">
        <f>VLOOKUP($A58,平滑数据导入!$A$1:$AN$61,COLUMN(平滑数据导入!AI$1),0)</f>
        <v>167932.1353080204</v>
      </c>
      <c r="BE58" s="90">
        <f>VLOOKUP($A58,平滑数据导入!$A$1:$AN$61,COLUMN(平滑数据导入!AJ$1),0)</f>
        <v>163855.82495021031</v>
      </c>
      <c r="BF58" s="90">
        <f>VLOOKUP($A58,平滑数据导入!$A$1:$AN$61,COLUMN(平滑数据导入!AK$1),0)</f>
        <v>159157.98244559011</v>
      </c>
      <c r="BG58" s="90">
        <f>VLOOKUP($A58,平滑数据导入!$A$1:$AN$61,COLUMN(平滑数据导入!AL$1),0)</f>
        <v>153861.21897621141</v>
      </c>
      <c r="BH58" s="90">
        <f>VLOOKUP($A58,平滑数据导入!$A$1:$AN$61,COLUMN(平滑数据导入!AM$1),0)</f>
        <v>147999.3654166031</v>
      </c>
      <c r="BI58" s="133">
        <f>VLOOKUP(A58,情景假设!$B$29:$S$42,18,0)/情景假设!S$28*BI$56</f>
        <v>141617.26930056512</v>
      </c>
    </row>
    <row r="59" spans="1:61" s="9" customFormat="1" x14ac:dyDescent="0.2">
      <c r="A59" s="14" t="s">
        <v>6</v>
      </c>
      <c r="B59" s="19">
        <f>B$77*'增加值 (2001-2022, 当年价) '!B59</f>
        <v>4513.6385874010248</v>
      </c>
      <c r="C59" s="20">
        <f>C$77*'增加值 (2001-2022, 当年价) '!C59</f>
        <v>5092.0326235075754</v>
      </c>
      <c r="D59" s="20">
        <f>D$77*'增加值 (2001-2022, 当年价) '!D59</f>
        <v>5691.7851781488607</v>
      </c>
      <c r="E59" s="20">
        <f>E$77*'增加值 (2001-2022, 当年价) '!E59</f>
        <v>6238.1108824838657</v>
      </c>
      <c r="F59" s="21">
        <f>F$77*'增加值 (2001-2022, 当年价) '!F59</f>
        <v>6873.8054741095848</v>
      </c>
      <c r="G59" s="19">
        <f>G$77*'增加值 (2001-2022, 当年价) '!G59</f>
        <v>7553.6469442222424</v>
      </c>
      <c r="H59" s="20">
        <f>H$77*'增加值 (2001-2022, 当年价) '!H59</f>
        <v>8113.2807727908448</v>
      </c>
      <c r="I59" s="20">
        <f>I$77*'增加值 (2001-2022, 当年价) '!I59</f>
        <v>8979.4462881834588</v>
      </c>
      <c r="J59" s="20">
        <f>J$77*'增加值 (2001-2022, 当年价) '!J59</f>
        <v>9462.0566134484743</v>
      </c>
      <c r="K59" s="21">
        <f>K$77*'增加值 (2001-2022, 当年价) '!K59</f>
        <v>9810.4193647830252</v>
      </c>
      <c r="L59" s="19">
        <f>L$77*'增加值 (2001-2022, 当年价) '!L59</f>
        <v>10086.374948865838</v>
      </c>
      <c r="M59" s="20">
        <f>M$77*'增加值 (2001-2022, 当年价) '!M59</f>
        <v>10978.23468974103</v>
      </c>
      <c r="N59" s="20">
        <f>N$77*'增加值 (2001-2022, 当年价) '!N59</f>
        <v>11528.425064808491</v>
      </c>
      <c r="O59" s="20">
        <f>O$77*'增加值 (2001-2022, 当年价) '!O59</f>
        <v>12523.822103857652</v>
      </c>
      <c r="P59" s="21">
        <f>P$77*'增加值 (2001-2022, 当年价) '!P59</f>
        <v>13720.594558606477</v>
      </c>
      <c r="Q59" s="19">
        <f>Q$77*'增加值 (2001-2022, 当年价) '!Q59</f>
        <v>14954.528147087502</v>
      </c>
      <c r="R59" s="20">
        <f>R$77*'增加值 (2001-2022, 当年价) '!R59</f>
        <v>15867.146170529086</v>
      </c>
      <c r="S59" s="20">
        <f>S$77*'增加值 (2001-2022, 当年价) '!S59</f>
        <v>16814.082962921035</v>
      </c>
      <c r="T59" s="20">
        <f>T$77*'增加值 (2001-2022, 当年价) '!T59</f>
        <v>17998.073570923636</v>
      </c>
      <c r="U59" s="20">
        <f>U$77*'增加值 (2001-2022, 当年价) '!U59</f>
        <v>15285.4</v>
      </c>
      <c r="V59" s="19">
        <f>V$77*'增加值 (2001-2022, 当年价) '!V59</f>
        <v>17067.645704961466</v>
      </c>
      <c r="W59" s="20">
        <f>W$77*'增加值 (2001-2022, 当年价) '!W59</f>
        <v>16696.536385320014</v>
      </c>
      <c r="X59" s="90">
        <f>VLOOKUP($A59,平滑数据导入!$A$1:$AN$61,COLUMN(平滑数据导入!C$1),0)</f>
        <v>17528.172811370201</v>
      </c>
      <c r="Y59" s="90">
        <f>VLOOKUP($A59,平滑数据导入!$A$1:$AN$61,COLUMN(平滑数据导入!D$1),0)</f>
        <v>18346.360758450119</v>
      </c>
      <c r="Z59" s="133">
        <f>VLOOKUP(A59,情景假设!$B$29:$S$42,14,0)/情景假设!O$28*Z$56</f>
        <v>19144.295990420516</v>
      </c>
      <c r="AA59" s="90">
        <f>VLOOKUP($A59,平滑数据导入!$A$1:$AN$61,COLUMN(平滑数据导入!F$1),0)</f>
        <v>19914.90428677345</v>
      </c>
      <c r="AB59" s="90">
        <f>VLOOKUP($A59,平滑数据导入!$A$1:$AN$61,COLUMN(平滑数据导入!G$1),0)</f>
        <v>20650.9275154924</v>
      </c>
      <c r="AC59" s="90">
        <f>VLOOKUP($A59,平滑数据导入!$A$1:$AN$61,COLUMN(平滑数据导入!H$1),0)</f>
        <v>21345.020707842621</v>
      </c>
      <c r="AD59" s="90">
        <f>VLOOKUP($A59,平滑数据导入!$A$1:$AN$61,COLUMN(平滑数据导入!I$1),0)</f>
        <v>21989.8588431754</v>
      </c>
      <c r="AE59" s="141">
        <f>VLOOKUP(A59,情景假设!$B$29:$S$42,15,0)/情景假设!P$28*AE$56</f>
        <v>22578.251649442162</v>
      </c>
      <c r="AF59" s="89">
        <f>VLOOKUP($A59,平滑数据导入!$A$1:$AN$61,COLUMN(平滑数据导入!K$1),0)</f>
        <v>23106.505893294609</v>
      </c>
      <c r="AG59" s="90">
        <f>VLOOKUP($A59,平滑数据导入!$A$1:$AN$61,COLUMN(平滑数据导入!L$1),0)</f>
        <v>23584.79806982385</v>
      </c>
      <c r="AH59" s="90">
        <f>VLOOKUP($A59,平滑数据导入!$A$1:$AN$61,COLUMN(平滑数据导入!M$1),0)</f>
        <v>24028.281398759991</v>
      </c>
      <c r="AI59" s="90">
        <f>VLOOKUP($A59,平滑数据导入!$A$1:$AN$61,COLUMN(平滑数据导入!N$1),0)</f>
        <v>24453.704799924781</v>
      </c>
      <c r="AJ59" s="133">
        <f>VLOOKUP(A59,情景假设!$B$29:$S$42,16,0)/情景假设!Q$28*AJ$56</f>
        <v>24879.220875290674</v>
      </c>
      <c r="AK59" s="90">
        <f>VLOOKUP($A59,平滑数据导入!$A$1:$AN$61,COLUMN(平滑数据导入!P$1),0)</f>
        <v>25320.01655536818</v>
      </c>
      <c r="AL59" s="90">
        <f>VLOOKUP($A59,平滑数据导入!$A$1:$AN$61,COLUMN(平滑数据导入!Q$1),0)</f>
        <v>25774.843120200279</v>
      </c>
      <c r="AM59" s="90">
        <f>VLOOKUP($A59,平滑数据导入!$A$1:$AN$61,COLUMN(平滑数据导入!R$1),0)</f>
        <v>26237.88634549957</v>
      </c>
      <c r="AN59" s="90">
        <f>VLOOKUP($A59,平滑数据导入!$A$1:$AN$61,COLUMN(平滑数据导入!S$1),0)</f>
        <v>26702.89621662621</v>
      </c>
      <c r="AO59" s="90">
        <f>VLOOKUP($A59,平滑数据导入!$A$1:$AN$61,COLUMN(平滑数据导入!T$1),0)</f>
        <v>27163.174865440211</v>
      </c>
      <c r="AP59" s="89">
        <f>VLOOKUP($A59,平滑数据导入!$A$1:$AN$61,COLUMN(平滑数据导入!U$1),0)</f>
        <v>27611.58047671667</v>
      </c>
      <c r="AQ59" s="90">
        <f>VLOOKUP($A59,平滑数据导入!$A$1:$AN$61,COLUMN(平滑数据导入!V$1),0)</f>
        <v>28040.54903957959</v>
      </c>
      <c r="AR59" s="90">
        <f>VLOOKUP($A59,平滑数据导入!$A$1:$AN$61,COLUMN(平滑数据导入!W$1),0)</f>
        <v>28442.135725009339</v>
      </c>
      <c r="AS59" s="90">
        <f>VLOOKUP($A59,平滑数据导入!$A$1:$AN$61,COLUMN(平滑数据导入!X$1),0)</f>
        <v>28808.077439474539</v>
      </c>
      <c r="AT59" s="101">
        <f>VLOOKUP($A59,平滑数据导入!$A$1:$AN$61,COLUMN(平滑数据导入!Y$1),0)</f>
        <v>29129.877722114659</v>
      </c>
      <c r="AU59" s="90">
        <f>VLOOKUP($A59,平滑数据导入!$A$1:$AN$61,COLUMN(平滑数据导入!Z$1),0)</f>
        <v>29398.914608042742</v>
      </c>
      <c r="AV59" s="90">
        <f>VLOOKUP($A59,平滑数据导入!$A$1:$AN$61,COLUMN(平滑数据导入!AA$1),0)</f>
        <v>29606.571369255598</v>
      </c>
      <c r="AW59" s="90">
        <f>VLOOKUP($A59,平滑数据导入!$A$1:$AN$61,COLUMN(平滑数据导入!AB$1),0)</f>
        <v>29744.389172301839</v>
      </c>
      <c r="AX59" s="90">
        <f>VLOOKUP($A59,平滑数据导入!$A$1:$AN$61,COLUMN(平滑数据导入!AC$1),0)</f>
        <v>29804.239674331031</v>
      </c>
      <c r="AY59" s="141">
        <f>VLOOKUP(A59,情景假设!$B$29:$S$42,17,0)/情景假设!R$28*AY$56</f>
        <v>29778.514445480832</v>
      </c>
      <c r="AZ59" s="89">
        <f>VLOOKUP($A59,平滑数据导入!$A$1:$AN$61,COLUMN(平滑数据导入!AE$1),0)</f>
        <v>29660.326898931118</v>
      </c>
      <c r="BA59" s="90">
        <f>VLOOKUP($A59,平滑数据导入!$A$1:$AN$61,COLUMN(平滑数据导入!AF$1),0)</f>
        <v>29443.72118803121</v>
      </c>
      <c r="BB59" s="90">
        <f>VLOOKUP($A59,平滑数据导入!$A$1:$AN$61,COLUMN(平滑数据导入!AG$1),0)</f>
        <v>29123.881363894088</v>
      </c>
      <c r="BC59" s="90">
        <f>VLOOKUP($A59,平滑数据导入!$A$1:$AN$61,COLUMN(平滑数据导入!AH$1),0)</f>
        <v>28697.333059245611</v>
      </c>
      <c r="BD59" s="101">
        <f>VLOOKUP($A59,平滑数据导入!$A$1:$AN$61,COLUMN(平滑数据导入!AI$1),0)</f>
        <v>28162.129164957889</v>
      </c>
      <c r="BE59" s="90">
        <f>VLOOKUP($A59,平滑数据导入!$A$1:$AN$61,COLUMN(平滑数据导入!AJ$1),0)</f>
        <v>27518.0104863247</v>
      </c>
      <c r="BF59" s="90">
        <f>VLOOKUP($A59,平滑数据导入!$A$1:$AN$61,COLUMN(平滑数据导入!AK$1),0)</f>
        <v>26766.53229344881</v>
      </c>
      <c r="BG59" s="90">
        <f>VLOOKUP($A59,平滑数据导入!$A$1:$AN$61,COLUMN(平滑数据导入!AL$1),0)</f>
        <v>25911.148087676171</v>
      </c>
      <c r="BH59" s="90">
        <f>VLOOKUP($A59,平滑数据导入!$A$1:$AN$61,COLUMN(平滑数据导入!AM$1),0)</f>
        <v>24957.242845712339</v>
      </c>
      <c r="BI59" s="133">
        <f>VLOOKUP(A59,情景假设!$B$29:$S$42,18,0)/情景假设!S$28*BI$56</f>
        <v>23912.109496612862</v>
      </c>
    </row>
    <row r="60" spans="1:61" s="9" customFormat="1" x14ac:dyDescent="0.2">
      <c r="A60" s="14" t="s">
        <v>7</v>
      </c>
      <c r="B60" s="19">
        <f>B$77*'增加值 (2001-2022, 当年价) '!B60</f>
        <v>9784.408500699994</v>
      </c>
      <c r="C60" s="20">
        <f>C$77*'增加值 (2001-2022, 当年价) '!C60</f>
        <v>10382.528937787503</v>
      </c>
      <c r="D60" s="20">
        <f>D$77*'增加值 (2001-2022, 当年价) '!D60</f>
        <v>11007.589536974048</v>
      </c>
      <c r="E60" s="20">
        <f>E$77*'增加值 (2001-2022, 当年价) '!E60</f>
        <v>11234.659311987014</v>
      </c>
      <c r="F60" s="21">
        <f>F$77*'增加值 (2001-2022, 当年价) '!F60</f>
        <v>12264.296250729163</v>
      </c>
      <c r="G60" s="19">
        <f>G$77*'增加值 (2001-2022, 当年价) '!G60</f>
        <v>15717.404628357772</v>
      </c>
      <c r="H60" s="20">
        <f>H$77*'增加值 (2001-2022, 当年价) '!H60</f>
        <v>22227.765856134683</v>
      </c>
      <c r="I60" s="20">
        <f>I$77*'增加值 (2001-2022, 当年价) '!I60</f>
        <v>24898.85730634338</v>
      </c>
      <c r="J60" s="20">
        <f>J$77*'增加值 (2001-2022, 当年价) '!J60</f>
        <v>29699.732335281249</v>
      </c>
      <c r="K60" s="21">
        <f>K$77*'增加值 (2001-2022, 当年价) '!K60</f>
        <v>32735.023671667281</v>
      </c>
      <c r="L60" s="19">
        <f>L$77*'增加值 (2001-2022, 当年价) '!L60</f>
        <v>36207.040865314841</v>
      </c>
      <c r="M60" s="20">
        <f>M$77*'增加值 (2001-2022, 当年价) '!M60</f>
        <v>40602.972624593269</v>
      </c>
      <c r="N60" s="20">
        <f>N$77*'增加值 (2001-2022, 当年价) '!N60</f>
        <v>46542.227698753755</v>
      </c>
      <c r="O60" s="20">
        <f>O$77*'增加值 (2001-2022, 当年价) '!O60</f>
        <v>52257.487203405923</v>
      </c>
      <c r="P60" s="21">
        <f>P$77*'增加值 (2001-2022, 当年价) '!P60</f>
        <v>62771.042778023329</v>
      </c>
      <c r="Q60" s="19">
        <f>Q$77*'增加值 (2001-2022, 当年价) '!Q60</f>
        <v>65898.479240726272</v>
      </c>
      <c r="R60" s="20">
        <f>R$77*'增加值 (2001-2022, 当年价) '!R60</f>
        <v>68337.804624444689</v>
      </c>
      <c r="S60" s="20">
        <f>S$77*'增加值 (2001-2022, 当年价) '!S60</f>
        <v>71864.668488840805</v>
      </c>
      <c r="T60" s="20">
        <f>T$77*'增加值 (2001-2022, 当年价) '!T60</f>
        <v>76655.099319507237</v>
      </c>
      <c r="U60" s="20">
        <f>U$77*'增加值 (2001-2022, 当年价) '!U60</f>
        <v>83617.7</v>
      </c>
      <c r="V60" s="19">
        <f>V$77*'增加值 (2001-2022, 当年价) '!V60</f>
        <v>87195.415071666503</v>
      </c>
      <c r="W60" s="20">
        <f>W$77*'增加值 (2001-2022, 当年价) '!W60</f>
        <v>90528.212015436089</v>
      </c>
      <c r="X60" s="90">
        <f>VLOOKUP($A60,平滑数据导入!$A$1:$AN$61,COLUMN(平滑数据导入!C$1),0)</f>
        <v>95394.858794102664</v>
      </c>
      <c r="Y60" s="90">
        <f>VLOOKUP($A60,平滑数据导入!$A$1:$AN$61,COLUMN(平滑数据导入!D$1),0)</f>
        <v>100548.2743168114</v>
      </c>
      <c r="Z60" s="133">
        <f>VLOOKUP(A60,情景假设!$B$29:$S$42,14,0)/情景假设!O$28*Z$56</f>
        <v>105932.20039135663</v>
      </c>
      <c r="AA60" s="90">
        <f>VLOOKUP($A60,平滑数据导入!$A$1:$AN$61,COLUMN(平滑数据导入!F$1),0)</f>
        <v>111475.6929844199</v>
      </c>
      <c r="AB60" s="90">
        <f>VLOOKUP($A60,平滑数据导入!$A$1:$AN$61,COLUMN(平滑数据导入!G$1),0)</f>
        <v>117091.7450733156</v>
      </c>
      <c r="AC60" s="90">
        <f>VLOOKUP($A60,平滑数据导入!$A$1:$AN$61,COLUMN(平滑数据导入!H$1),0)</f>
        <v>122676.5013383295</v>
      </c>
      <c r="AD60" s="90">
        <f>VLOOKUP($A60,平滑数据导入!$A$1:$AN$61,COLUMN(平滑数据导入!I$1),0)</f>
        <v>128109.2784743755</v>
      </c>
      <c r="AE60" s="141">
        <f>VLOOKUP(A60,情景假设!$B$29:$S$42,15,0)/情景假设!P$28*AE$56</f>
        <v>133253.61024118628</v>
      </c>
      <c r="AF60" s="89">
        <f>VLOOKUP($A60,平滑数据导入!$A$1:$AN$61,COLUMN(平滑数据导入!K$1),0)</f>
        <v>137992.68774006801</v>
      </c>
      <c r="AG60" s="90">
        <f>VLOOKUP($A60,平滑数据导入!$A$1:$AN$61,COLUMN(平滑数据导入!L$1),0)</f>
        <v>142340.6512200367</v>
      </c>
      <c r="AH60" s="90">
        <f>VLOOKUP($A60,平滑数据导入!$A$1:$AN$61,COLUMN(平滑数据导入!M$1),0)</f>
        <v>146358.88872698889</v>
      </c>
      <c r="AI60" s="90">
        <f>VLOOKUP($A60,平滑数据导入!$A$1:$AN$61,COLUMN(平滑数据导入!N$1),0)</f>
        <v>150123.27603322419</v>
      </c>
      <c r="AJ60" s="133">
        <f>VLOOKUP(A60,情景假设!$B$29:$S$42,16,0)/情景假设!Q$28*AJ$56</f>
        <v>153722.42705041473</v>
      </c>
      <c r="AK60" s="90">
        <f>VLOOKUP($A60,平滑数据导入!$A$1:$AN$61,COLUMN(平滑数据导入!P$1),0)</f>
        <v>157234.48965119969</v>
      </c>
      <c r="AL60" s="90">
        <f>VLOOKUP($A60,平滑数据导入!$A$1:$AN$61,COLUMN(平滑数据导入!Q$1),0)</f>
        <v>160656.8948082042</v>
      </c>
      <c r="AM60" s="90">
        <f>VLOOKUP($A60,平滑数据导入!$A$1:$AN$61,COLUMN(平滑数据导入!R$1),0)</f>
        <v>163964.9792716158</v>
      </c>
      <c r="AN60" s="90">
        <f>VLOOKUP($A60,平滑数据导入!$A$1:$AN$61,COLUMN(平滑数据导入!S$1),0)</f>
        <v>167133.00082888399</v>
      </c>
      <c r="AO60" s="90">
        <f>VLOOKUP($A60,平滑数据导入!$A$1:$AN$61,COLUMN(平滑数据导入!T$1),0)</f>
        <v>170134.3130768277</v>
      </c>
      <c r="AP60" s="89">
        <f>VLOOKUP($A60,平滑数据导入!$A$1:$AN$61,COLUMN(平滑数据导入!U$1),0)</f>
        <v>172941.57412882449</v>
      </c>
      <c r="AQ60" s="90">
        <f>VLOOKUP($A60,平滑数据导入!$A$1:$AN$61,COLUMN(平滑数据导入!V$1),0)</f>
        <v>175526.98940617981</v>
      </c>
      <c r="AR60" s="90">
        <f>VLOOKUP($A60,平滑数据导入!$A$1:$AN$61,COLUMN(平滑数据导入!W$1),0)</f>
        <v>177862.58789528391</v>
      </c>
      <c r="AS60" s="90">
        <f>VLOOKUP($A60,平滑数据导入!$A$1:$AN$61,COLUMN(平滑数据导入!X$1),0)</f>
        <v>179920.53038881641</v>
      </c>
      <c r="AT60" s="101">
        <f>VLOOKUP($A60,平滑数据导入!$A$1:$AN$61,COLUMN(平滑数据导入!Y$1),0)</f>
        <v>181673.44728329251</v>
      </c>
      <c r="AU60" s="90">
        <f>VLOOKUP($A60,平滑数据导入!$A$1:$AN$61,COLUMN(平滑数据导入!Z$1),0)</f>
        <v>183094.80249506721</v>
      </c>
      <c r="AV60" s="90">
        <f>VLOOKUP($A60,平滑数据导入!$A$1:$AN$61,COLUMN(平滑数据导入!AA$1),0)</f>
        <v>184159.2790064755</v>
      </c>
      <c r="AW60" s="90">
        <f>VLOOKUP($A60,平滑数据导入!$A$1:$AN$61,COLUMN(平滑数据导入!AB$1),0)</f>
        <v>184843.18049226259</v>
      </c>
      <c r="AX60" s="90">
        <f>VLOOKUP($A60,平滑数据导入!$A$1:$AN$61,COLUMN(平滑数据导入!AC$1),0)</f>
        <v>185124.84243807499</v>
      </c>
      <c r="AY60" s="141">
        <f>VLOOKUP(A60,情景假设!$B$29:$S$42,17,0)/情景假设!R$28*AY$56</f>
        <v>184985.04518608071</v>
      </c>
      <c r="AZ60" s="89">
        <f>VLOOKUP($A60,平滑数据导入!$A$1:$AN$61,COLUMN(平滑数据导入!AE$1),0)</f>
        <v>184407.42046956779</v>
      </c>
      <c r="BA60" s="90">
        <f>VLOOKUP($A60,平滑数据导入!$A$1:$AN$61,COLUMN(平滑数据导入!AF$1),0)</f>
        <v>183378.84227252749</v>
      </c>
      <c r="BB60" s="90">
        <f>VLOOKUP($A60,平滑数据导入!$A$1:$AN$61,COLUMN(平滑数据导入!AG$1),0)</f>
        <v>181889.79231590679</v>
      </c>
      <c r="BC60" s="90">
        <f>VLOOKUP($A60,平滑数据导入!$A$1:$AN$61,COLUMN(平滑数据导入!AH$1),0)</f>
        <v>179934.6901720833</v>
      </c>
      <c r="BD60" s="101">
        <f>VLOOKUP($A60,平滑数据导入!$A$1:$AN$61,COLUMN(平滑数据导入!AI$1),0)</f>
        <v>177512.17798202531</v>
      </c>
      <c r="BE60" s="90">
        <f>VLOOKUP($A60,平滑数据导入!$A$1:$AN$61,COLUMN(平滑数据导入!AJ$1),0)</f>
        <v>174625.35002840971</v>
      </c>
      <c r="BF60" s="90">
        <f>VLOOKUP($A60,平滑数据导入!$A$1:$AN$61,COLUMN(平滑数据导入!AK$1),0)</f>
        <v>171281.91802718121</v>
      </c>
      <c r="BG60" s="90">
        <f>VLOOKUP($A60,平滑数据导入!$A$1:$AN$61,COLUMN(平滑数据导入!AL$1),0)</f>
        <v>167494.303953494</v>
      </c>
      <c r="BH60" s="90">
        <f>VLOOKUP($A60,平滑数据导入!$A$1:$AN$61,COLUMN(平滑数据导入!AM$1),0)</f>
        <v>163279.65351692561</v>
      </c>
      <c r="BI60" s="133">
        <f>VLOOKUP(A60,情景假设!$B$29:$S$42,18,0)/情景假设!S$28*BI$56</f>
        <v>158659.76503227933</v>
      </c>
    </row>
    <row r="61" spans="1:61" s="9" customFormat="1" x14ac:dyDescent="0.2">
      <c r="A61" s="14" t="s">
        <v>8</v>
      </c>
      <c r="B61" s="19">
        <f>B$77*'增加值 (2001-2022, 当年价) '!B61</f>
        <v>8849.7481207415294</v>
      </c>
      <c r="C61" s="20">
        <f>C$77*'增加值 (2001-2022, 当年价) '!C61</f>
        <v>9968.9694766959637</v>
      </c>
      <c r="D61" s="20">
        <f>D$77*'增加值 (2001-2022, 当年价) '!D61</f>
        <v>11210.23682603325</v>
      </c>
      <c r="E61" s="20">
        <f>E$77*'增加值 (2001-2022, 当年价) '!E61</f>
        <v>12174.086673928416</v>
      </c>
      <c r="F61" s="21">
        <f>F$77*'增加值 (2001-2022, 当年价) '!F61</f>
        <v>13897.18752418652</v>
      </c>
      <c r="G61" s="19">
        <f>G$77*'增加值 (2001-2022, 当年价) '!G61</f>
        <v>16266.835276597949</v>
      </c>
      <c r="H61" s="20">
        <f>H$77*'增加值 (2001-2022, 当年价) '!H61</f>
        <v>20054.709273094148</v>
      </c>
      <c r="I61" s="20">
        <f>I$77*'增加值 (2001-2022, 当年价) '!I61</f>
        <v>19815.693481260099</v>
      </c>
      <c r="J61" s="20">
        <f>J$77*'增加值 (2001-2022, 当年价) '!J61</f>
        <v>25515.727051401482</v>
      </c>
      <c r="K61" s="21">
        <f>K$77*'增加值 (2001-2022, 当年价) '!K61</f>
        <v>29673.719962985957</v>
      </c>
      <c r="L61" s="19">
        <f>L$77*'增加值 (2001-2022, 当年价) '!L61</f>
        <v>32713.773617339204</v>
      </c>
      <c r="M61" s="20">
        <f>M$77*'增加值 (2001-2022, 当年价) '!M61</f>
        <v>35399.508787493542</v>
      </c>
      <c r="N61" s="20">
        <f>N$77*'增加值 (2001-2022, 当年价) '!N61</f>
        <v>39832.538462927179</v>
      </c>
      <c r="O61" s="20">
        <f>O$77*'增加值 (2001-2022, 当年价) '!O61</f>
        <v>42479.298420686639</v>
      </c>
      <c r="P61" s="21">
        <f>P$77*'增加值 (2001-2022, 当年价) '!P61</f>
        <v>47467.341287589115</v>
      </c>
      <c r="Q61" s="19">
        <f>Q$77*'增加值 (2001-2022, 当年价) '!Q61</f>
        <v>54914.739986851237</v>
      </c>
      <c r="R61" s="20">
        <f>R$77*'增加值 (2001-2022, 当年价) '!R61</f>
        <v>60161.524062886783</v>
      </c>
      <c r="S61" s="20">
        <f>S$77*'增加值 (2001-2022, 当年价) '!S61</f>
        <v>65771.006096197845</v>
      </c>
      <c r="T61" s="20">
        <f>T$77*'增加值 (2001-2022, 当年价) '!T61</f>
        <v>70818.500320559091</v>
      </c>
      <c r="U61" s="20">
        <f>U$77*'增加值 (2001-2022, 当年价) '!U61</f>
        <v>73425.3</v>
      </c>
      <c r="V61" s="19">
        <f>V$77*'增加值 (2001-2022, 当年价) '!V61</f>
        <v>74150.558181630418</v>
      </c>
      <c r="W61" s="20">
        <f>W$77*'增加值 (2001-2022, 当年价) '!W61</f>
        <v>69030.48514791824</v>
      </c>
      <c r="X61" s="90">
        <f>VLOOKUP($A61,平滑数据导入!$A$1:$AN$61,COLUMN(平滑数据导入!C$1),0)</f>
        <v>73092.815036197891</v>
      </c>
      <c r="Y61" s="90">
        <f>VLOOKUP($A61,平滑数据导入!$A$1:$AN$61,COLUMN(平滑数据导入!D$1),0)</f>
        <v>77128.309574413186</v>
      </c>
      <c r="Z61" s="133">
        <f>VLOOKUP(A61,情景假设!$B$29:$S$42,14,0)/情景假设!O$28*Z$56</f>
        <v>81098.17811667861</v>
      </c>
      <c r="AA61" s="90">
        <f>VLOOKUP($A61,平滑数据导入!$A$1:$AN$61,COLUMN(平滑数据导入!F$1),0)</f>
        <v>84960.946244032093</v>
      </c>
      <c r="AB61" s="90">
        <f>VLOOKUP($A61,平滑数据导入!$A$1:$AN$61,COLUMN(平滑数据导入!G$1),0)</f>
        <v>88672.987275190448</v>
      </c>
      <c r="AC61" s="90">
        <f>VLOOKUP($A61,平滑数据导入!$A$1:$AN$61,COLUMN(平滑数据导入!H$1),0)</f>
        <v>92189.167317818807</v>
      </c>
      <c r="AD61" s="90">
        <f>VLOOKUP($A61,平滑数据导入!$A$1:$AN$61,COLUMN(平滑数据导入!I$1),0)</f>
        <v>95463.597607615695</v>
      </c>
      <c r="AE61" s="141">
        <f>VLOOKUP(A61,情景假设!$B$29:$S$42,15,0)/情景假设!P$28*AE$56</f>
        <v>98450.483100471567</v>
      </c>
      <c r="AF61" s="89">
        <f>VLOOKUP($A61,平滑数据导入!$A$1:$AN$61,COLUMN(平滑数据导入!K$1),0)</f>
        <v>101125.555489711</v>
      </c>
      <c r="AG61" s="90">
        <f>VLOOKUP($A61,平滑数据导入!$A$1:$AN$61,COLUMN(平滑数据导入!L$1),0)</f>
        <v>103552.3912651089</v>
      </c>
      <c r="AH61" s="90">
        <f>VLOOKUP($A61,平滑数据导入!$A$1:$AN$61,COLUMN(平滑数据导入!M$1),0)</f>
        <v>105827.04828284431</v>
      </c>
      <c r="AI61" s="90">
        <f>VLOOKUP($A61,平滑数据导入!$A$1:$AN$61,COLUMN(平滑数据导入!N$1),0)</f>
        <v>108056.7168749166</v>
      </c>
      <c r="AJ61" s="133">
        <f>VLOOKUP(A61,情景假设!$B$29:$S$42,16,0)/情景假设!Q$28*AJ$56</f>
        <v>110358.7017801468</v>
      </c>
      <c r="AK61" s="90">
        <f>VLOOKUP($A61,平滑数据导入!$A$1:$AN$61,COLUMN(平滑数据导入!P$1),0)</f>
        <v>112834.74073614441</v>
      </c>
      <c r="AL61" s="90">
        <f>VLOOKUP($A61,平滑数据导入!$A$1:$AN$61,COLUMN(平滑数据导入!Q$1),0)</f>
        <v>115489.9735763557</v>
      </c>
      <c r="AM61" s="90">
        <f>VLOOKUP($A61,平滑数据导入!$A$1:$AN$61,COLUMN(平滑数据导入!R$1),0)</f>
        <v>118302.8458042634</v>
      </c>
      <c r="AN61" s="90">
        <f>VLOOKUP($A61,平滑数据导入!$A$1:$AN$61,COLUMN(平滑数据导入!S$1),0)</f>
        <v>121249.46578397541</v>
      </c>
      <c r="AO61" s="90">
        <f>VLOOKUP($A61,平滑数据导入!$A$1:$AN$61,COLUMN(平滑数据导入!T$1),0)</f>
        <v>124303.2480503288</v>
      </c>
      <c r="AP61" s="89">
        <f>VLOOKUP($A61,平滑数据导入!$A$1:$AN$61,COLUMN(平滑数据导入!U$1),0)</f>
        <v>127434.60881296769</v>
      </c>
      <c r="AQ61" s="90">
        <f>VLOOKUP($A61,平滑数据导入!$A$1:$AN$61,COLUMN(平滑数据导入!V$1),0)</f>
        <v>130610.72566557259</v>
      </c>
      <c r="AR61" s="90">
        <f>VLOOKUP($A61,平滑数据导入!$A$1:$AN$61,COLUMN(平滑数据导入!W$1),0)</f>
        <v>133795.3754639104</v>
      </c>
      <c r="AS61" s="90">
        <f>VLOOKUP($A61,平滑数据导入!$A$1:$AN$61,COLUMN(平滑数据导入!X$1),0)</f>
        <v>136948.86581312661</v>
      </c>
      <c r="AT61" s="101">
        <f>VLOOKUP($A61,平滑数据导入!$A$1:$AN$61,COLUMN(平滑数据导入!Y$1),0)</f>
        <v>140028.07645217021</v>
      </c>
      <c r="AU61" s="90">
        <f>VLOOKUP($A61,平滑数据导入!$A$1:$AN$61,COLUMN(平滑数据导入!Z$1),0)</f>
        <v>142986.62687115441</v>
      </c>
      <c r="AV61" s="90">
        <f>VLOOKUP($A61,平滑数据导入!$A$1:$AN$61,COLUMN(平滑数据导入!AA$1),0)</f>
        <v>145775.1855694261</v>
      </c>
      <c r="AW61" s="90">
        <f>VLOOKUP($A61,平滑数据导入!$A$1:$AN$61,COLUMN(平滑数据导入!AB$1),0)</f>
        <v>148341.9342898177</v>
      </c>
      <c r="AX61" s="90">
        <f>VLOOKUP($A61,平滑数据导入!$A$1:$AN$61,COLUMN(平滑数据导入!AC$1),0)</f>
        <v>150633.1972048484</v>
      </c>
      <c r="AY61" s="141">
        <f>VLOOKUP(A61,情景假设!$B$29:$S$42,17,0)/情景假设!R$28*AY$56</f>
        <v>152594.24028595633</v>
      </c>
      <c r="AZ61" s="89">
        <f>VLOOKUP($A61,平滑数据导入!$A$1:$AN$61,COLUMN(平滑数据导入!AE$1),0)</f>
        <v>154170.2399268935</v>
      </c>
      <c r="BA61" s="90">
        <f>VLOOKUP($A61,平滑数据导入!$A$1:$AN$61,COLUMN(平滑数据导入!AF$1),0)</f>
        <v>155307.41237685189</v>
      </c>
      <c r="BB61" s="90">
        <f>VLOOKUP($A61,平滑数据导入!$A$1:$AN$61,COLUMN(平滑数据导入!AG$1),0)</f>
        <v>155954.28683750899</v>
      </c>
      <c r="BC61" s="90">
        <f>VLOOKUP($A61,平滑数据导入!$A$1:$AN$61,COLUMN(平滑数据导入!AH$1),0)</f>
        <v>156063.09548740191</v>
      </c>
      <c r="BD61" s="101">
        <f>VLOOKUP($A61,平滑数据导入!$A$1:$AN$61,COLUMN(平滑数据导入!AI$1),0)</f>
        <v>155591.24364853781</v>
      </c>
      <c r="BE61" s="90">
        <f>VLOOKUP($A61,平滑数据导入!$A$1:$AN$61,COLUMN(平滑数据导入!AJ$1),0)</f>
        <v>154502.81336934911</v>
      </c>
      <c r="BF61" s="90">
        <f>VLOOKUP($A61,平滑数据导入!$A$1:$AN$61,COLUMN(平滑数据导入!AK$1),0)</f>
        <v>152770.04454935031</v>
      </c>
      <c r="BG61" s="90">
        <f>VLOOKUP($A61,平滑数据导入!$A$1:$AN$61,COLUMN(平滑数据导入!AL$1),0)</f>
        <v>150374.7301473009</v>
      </c>
      <c r="BH61" s="90">
        <f>VLOOKUP($A61,平滑数据导入!$A$1:$AN$61,COLUMN(平滑数据导入!AM$1),0)</f>
        <v>147309.4568117717</v>
      </c>
      <c r="BI61" s="133">
        <f>VLOOKUP(A61,情景假设!$B$29:$S$42,18,0)/情景假设!S$28*BI$56</f>
        <v>143578.62024664911</v>
      </c>
    </row>
    <row r="62" spans="1:61" x14ac:dyDescent="0.2">
      <c r="A62" s="33" t="s">
        <v>36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K$77*'增加值 (2001-2022, 当年价) '!K62</f>
        <v>11512.104788054585</v>
      </c>
      <c r="L62" s="19">
        <f>L$77*'增加值 (2001-2022, 当年价) '!L62</f>
        <v>12134.643632880272</v>
      </c>
      <c r="M62" s="20">
        <f>M$77*'增加值 (2001-2022, 当年价) '!M62</f>
        <v>13731.513190189038</v>
      </c>
      <c r="N62" s="20">
        <f>N$77*'增加值 (2001-2022, 当年价) '!N62</f>
        <v>15474.890022027235</v>
      </c>
      <c r="O62" s="20">
        <f>O$77*'增加值 (2001-2022, 当年价) '!O62</f>
        <v>17254.984302718942</v>
      </c>
      <c r="P62" s="21">
        <f>P$77*'增加值 (2001-2022, 当年价) '!P62</f>
        <v>19530.225722543935</v>
      </c>
      <c r="Q62" s="19">
        <f>Q$77*'增加值 (2001-2022, 当年价) '!Q62</f>
        <v>22115.729205661723</v>
      </c>
      <c r="R62" s="20">
        <f>R$77*'增加值 (2001-2022, 当年价) '!R62</f>
        <v>25091.611082592321</v>
      </c>
      <c r="S62" s="20">
        <f>S$77*'增加值 (2001-2022, 当年价) '!S62</f>
        <v>29243.941068429212</v>
      </c>
      <c r="T62" s="20">
        <f>T$77*'增加值 (2001-2022, 当年价) '!T62</f>
        <v>33568.93907008104</v>
      </c>
      <c r="U62" s="20">
        <f>U$77*'增加值 (2001-2022, 当年价) '!U62</f>
        <v>38244.1</v>
      </c>
      <c r="V62" s="89">
        <f>V$77*'增加值 (2001-2022, 当年价) '!V62</f>
        <v>40828.762535731257</v>
      </c>
      <c r="W62" s="90">
        <f>W$77*'增加值 (2001-2022, 当年价) '!W62</f>
        <v>42091.75905114122</v>
      </c>
      <c r="X62" s="90">
        <f>VLOOKUP($A62,平滑数据导入!$A$1:$AN$61,COLUMN(平滑数据导入!C$1),0)</f>
        <v>47824.424643317609</v>
      </c>
      <c r="Y62" s="90">
        <f>VLOOKUP($A62,平滑数据导入!$A$1:$AN$61,COLUMN(平滑数据导入!D$1),0)</f>
        <v>54370.76894861809</v>
      </c>
      <c r="Z62" s="133">
        <f>VLOOKUP(A62,情景假设!$B$29:$S$42,14,0)/情景假设!O$28*Z$56</f>
        <v>61798.997171101633</v>
      </c>
      <c r="AA62" s="90">
        <f>VLOOKUP($A62,平滑数据导入!$A$1:$AN$61,COLUMN(平滑数据导入!F$1),0)</f>
        <v>70167.305597385493</v>
      </c>
      <c r="AB62" s="90">
        <f>VLOOKUP($A62,平滑数据导入!$A$1:$AN$61,COLUMN(平滑数据导入!G$1),0)</f>
        <v>79517.511533470126</v>
      </c>
      <c r="AC62" s="90">
        <f>VLOOKUP($A62,平滑数据导入!$A$1:$AN$61,COLUMN(平滑数据导入!H$1),0)</f>
        <v>89867.478721291685</v>
      </c>
      <c r="AD62" s="90">
        <f>VLOOKUP($A62,平滑数据导入!$A$1:$AN$61,COLUMN(平滑数据导入!I$1),0)</f>
        <v>101202.5182580735</v>
      </c>
      <c r="AE62" s="141">
        <f>VLOOKUP(A62,情景假设!$B$29:$S$42,15,0)/情景假设!P$28*AE$56</f>
        <v>113466.13309228716</v>
      </c>
      <c r="AF62" s="89">
        <f>VLOOKUP($A62,平滑数据导入!$A$1:$AN$61,COLUMN(平滑数据导入!K$1),0)</f>
        <v>126578.7117271443</v>
      </c>
      <c r="AG62" s="90">
        <f>VLOOKUP($A62,平滑数据导入!$A$1:$AN$61,COLUMN(平滑数据导入!L$1),0)</f>
        <v>140537.54374784039</v>
      </c>
      <c r="AH62" s="90">
        <f>VLOOKUP($A62,平滑数据导入!$A$1:$AN$61,COLUMN(平滑数据导入!M$1),0)</f>
        <v>155372.88373159751</v>
      </c>
      <c r="AI62" s="90">
        <f>VLOOKUP($A62,平滑数据导入!$A$1:$AN$61,COLUMN(平滑数据导入!N$1),0)</f>
        <v>171128.8306875714</v>
      </c>
      <c r="AJ62" s="133">
        <f>VLOOKUP(A62,情景假设!$B$29:$S$42,16,0)/情景假设!Q$28*AJ$56</f>
        <v>187866.84306906653</v>
      </c>
      <c r="AK62" s="90">
        <f>VLOOKUP($A62,平滑数据导入!$A$1:$AN$61,COLUMN(平滑数据导入!P$1),0)</f>
        <v>205654.11773419971</v>
      </c>
      <c r="AL62" s="90">
        <f>VLOOKUP($A62,平滑数据导入!$A$1:$AN$61,COLUMN(平滑数据导入!Q$1),0)</f>
        <v>224510.13931927731</v>
      </c>
      <c r="AM62" s="90">
        <f>VLOOKUP($A62,平滑数据导入!$A$1:$AN$61,COLUMN(平滑数据导入!R$1),0)</f>
        <v>244435.4308539925</v>
      </c>
      <c r="AN62" s="90">
        <f>VLOOKUP($A62,平滑数据导入!$A$1:$AN$61,COLUMN(平滑数据导入!S$1),0)</f>
        <v>265424.11187627091</v>
      </c>
      <c r="AO62" s="90">
        <f>VLOOKUP($A62,平滑数据导入!$A$1:$AN$61,COLUMN(平滑数据导入!T$1),0)</f>
        <v>287463.67754118558</v>
      </c>
      <c r="AP62" s="89">
        <f>VLOOKUP($A62,平滑数据导入!$A$1:$AN$61,COLUMN(平滑数据导入!U$1),0)</f>
        <v>310534.84584226517</v>
      </c>
      <c r="AQ62" s="90">
        <f>VLOOKUP($A62,平滑数据导入!$A$1:$AN$61,COLUMN(平滑数据导入!V$1),0)</f>
        <v>334611.47688647901</v>
      </c>
      <c r="AR62" s="90">
        <f>VLOOKUP($A62,平滑数据导入!$A$1:$AN$61,COLUMN(平滑数据导入!W$1),0)</f>
        <v>359660.56702212448</v>
      </c>
      <c r="AS62" s="90">
        <f>VLOOKUP($A62,平滑数据导入!$A$1:$AN$61,COLUMN(平滑数据导入!X$1),0)</f>
        <v>385642.31941182399</v>
      </c>
      <c r="AT62" s="101">
        <f>VLOOKUP($A62,平滑数据导入!$A$1:$AN$61,COLUMN(平滑数据导入!Y$1),0)</f>
        <v>412510.29139803041</v>
      </c>
      <c r="AU62" s="90">
        <f>VLOOKUP($A62,平滑数据导入!$A$1:$AN$61,COLUMN(平滑数据导入!Z$1),0)</f>
        <v>440211.61775353702</v>
      </c>
      <c r="AV62" s="90">
        <f>VLOOKUP($A62,平滑数据导入!$A$1:$AN$61,COLUMN(平滑数据导入!AA$1),0)</f>
        <v>468687.30767242209</v>
      </c>
      <c r="AW62" s="90">
        <f>VLOOKUP($A62,平滑数据导入!$A$1:$AN$61,COLUMN(平滑数据导入!AB$1),0)</f>
        <v>497872.61216455261</v>
      </c>
      <c r="AX62" s="90">
        <f>VLOOKUP($A62,平滑数据导入!$A$1:$AN$61,COLUMN(平滑数据导入!AC$1),0)</f>
        <v>527697.45739460259</v>
      </c>
      <c r="AY62" s="141">
        <f>VLOOKUP(A62,情景假设!$B$29:$S$42,17,0)/情景假设!R$28*AY$56</f>
        <v>558086.93847794982</v>
      </c>
      <c r="AZ62" s="89">
        <f>VLOOKUP($A62,平滑数据导入!$A$1:$AN$61,COLUMN(平滑数据导入!AE$1),0)</f>
        <v>588961.86733093369</v>
      </c>
      <c r="BA62" s="90">
        <f>VLOOKUP($A62,平滑数据导入!$A$1:$AN$61,COLUMN(平滑数据导入!AF$1),0)</f>
        <v>620239.36738929211</v>
      </c>
      <c r="BB62" s="90">
        <f>VLOOKUP($A62,平滑数据导入!$A$1:$AN$61,COLUMN(平滑数据导入!AG$1),0)</f>
        <v>651833.50736947893</v>
      </c>
      <c r="BC62" s="90">
        <f>VLOOKUP($A62,平滑数据导入!$A$1:$AN$61,COLUMN(平滑数据导入!AH$1),0)</f>
        <v>683655.96576280834</v>
      </c>
      <c r="BD62" s="101">
        <f>VLOOKUP($A62,平滑数据导入!$A$1:$AN$61,COLUMN(平滑数据导入!AI$1),0)</f>
        <v>715616.71742778295</v>
      </c>
      <c r="BE62" s="90">
        <f>VLOOKUP($A62,平滑数据导入!$A$1:$AN$61,COLUMN(平滑数据导入!AJ$1),0)</f>
        <v>747624.73348323558</v>
      </c>
      <c r="BF62" s="90">
        <f>VLOOKUP($A62,平滑数据导入!$A$1:$AN$61,COLUMN(平滑数据导入!AK$1),0)</f>
        <v>779588.68570210168</v>
      </c>
      <c r="BG62" s="90">
        <f>VLOOKUP($A62,平滑数据导入!$A$1:$AN$61,COLUMN(平滑数据导入!AL$1),0)</f>
        <v>811417.64675713482</v>
      </c>
      <c r="BH62" s="90">
        <f>VLOOKUP($A62,平滑数据导入!$A$1:$AN$61,COLUMN(平滑数据导入!AM$1),0)</f>
        <v>843021.77796672937</v>
      </c>
      <c r="BI62" s="133">
        <f>VLOOKUP(A62,情景假设!$B$29:$S$42,18,0)/情景假设!S$28*BI$56</f>
        <v>874312.99661947705</v>
      </c>
    </row>
    <row r="63" spans="1:61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K$77*'增加值 (2001-2022, 当年价) '!K63</f>
        <v>9235.1766732951</v>
      </c>
      <c r="L63" s="19">
        <f>L$77*'增加值 (2001-2022, 当年价) '!L63</f>
        <v>10775.019036718917</v>
      </c>
      <c r="M63" s="20">
        <f>M$77*'增加值 (2001-2022, 当年价) '!M63</f>
        <v>12532.839010693882</v>
      </c>
      <c r="N63" s="20">
        <f>N$77*'增加值 (2001-2022, 当年价) '!N63</f>
        <v>14545.249222143182</v>
      </c>
      <c r="O63" s="20">
        <f>O$77*'增加值 (2001-2022, 当年价) '!O63</f>
        <v>17233.458234108643</v>
      </c>
      <c r="P63" s="21">
        <f>P$77*'增加值 (2001-2022, 当年价) '!P63</f>
        <v>20168.976311489714</v>
      </c>
      <c r="Q63" s="19">
        <f>Q$77*'增加值 (2001-2022, 当年价) '!Q63</f>
        <v>23659.228873689208</v>
      </c>
      <c r="R63" s="20">
        <f>R$77*'增加值 (2001-2022, 当年价) '!R63</f>
        <v>26634.906038232781</v>
      </c>
      <c r="S63" s="20">
        <f>S$77*'增加值 (2001-2022, 当年价) '!S63</f>
        <v>29991.998098909156</v>
      </c>
      <c r="T63" s="20">
        <f>T$77*'增加值 (2001-2022, 当年价) '!T63</f>
        <v>32811.140261061249</v>
      </c>
      <c r="U63" s="20">
        <f>U$77*'增加值 (2001-2022, 当年价) '!U63</f>
        <v>32467.599999999999</v>
      </c>
      <c r="V63" s="89">
        <f>V$77*'增加值 (2001-2022, 当年价) '!V63</f>
        <v>34661.867595396638</v>
      </c>
      <c r="W63" s="90">
        <f>W$77*'增加值 (2001-2022, 当年价) '!W63</f>
        <v>35734.097446895939</v>
      </c>
      <c r="X63" s="90">
        <f>VLOOKUP($A63,平滑数据导入!$A$1:$AN$61,COLUMN(平滑数据导入!C$1),0)</f>
        <v>39516.953275996137</v>
      </c>
      <c r="Y63" s="90">
        <f>VLOOKUP($A63,平滑数据导入!$A$1:$AN$61,COLUMN(平滑数据导入!D$1),0)</f>
        <v>43709.315532216191</v>
      </c>
      <c r="Z63" s="133">
        <f>VLOOKUP(A63,情景假设!$B$29:$S$42,14,0)/情景假设!O$28*Z$56</f>
        <v>48323.300044339034</v>
      </c>
      <c r="AA63" s="90">
        <f>VLOOKUP($A63,平滑数据导入!$A$1:$AN$61,COLUMN(平滑数据导入!F$1),0)</f>
        <v>53362.147919016134</v>
      </c>
      <c r="AB63" s="90">
        <f>VLOOKUP($A63,平滑数据导入!$A$1:$AN$61,COLUMN(平滑数据导入!G$1),0)</f>
        <v>58817.46039187671</v>
      </c>
      <c r="AC63" s="90">
        <f>VLOOKUP($A63,平滑数据导入!$A$1:$AN$61,COLUMN(平滑数据导入!H$1),0)</f>
        <v>64666.237795612418</v>
      </c>
      <c r="AD63" s="90">
        <f>VLOOKUP($A63,平滑数据导入!$A$1:$AN$61,COLUMN(平滑数据导入!I$1),0)</f>
        <v>70867.871994932488</v>
      </c>
      <c r="AE63" s="141">
        <f>VLOOKUP(A63,情景假设!$B$29:$S$42,15,0)/情景假设!P$28*AE$56</f>
        <v>77361.302106962146</v>
      </c>
      <c r="AF63" s="89">
        <f>VLOOKUP($A63,平滑数据导入!$A$1:$AN$61,COLUMN(平滑数据导入!K$1),0)</f>
        <v>84079.582392707278</v>
      </c>
      <c r="AG63" s="90">
        <f>VLOOKUP($A63,平滑数据导入!$A$1:$AN$61,COLUMN(平滑数据导入!L$1),0)</f>
        <v>91010.257841553539</v>
      </c>
      <c r="AH63" s="90">
        <f>VLOOKUP($A63,平滑数据导入!$A$1:$AN$61,COLUMN(平滑数据导入!M$1),0)</f>
        <v>98163.830853273772</v>
      </c>
      <c r="AI63" s="90">
        <f>VLOOKUP($A63,平滑数据导入!$A$1:$AN$61,COLUMN(平滑数据导入!N$1),0)</f>
        <v>105560.7186053027</v>
      </c>
      <c r="AJ63" s="133">
        <f>VLOOKUP(A63,情景假设!$B$29:$S$42,16,0)/情景假设!Q$28*AJ$56</f>
        <v>113232.52571060619</v>
      </c>
      <c r="AK63" s="90">
        <f>VLOOKUP($A63,平滑数据导入!$A$1:$AN$61,COLUMN(平滑数据导入!P$1),0)</f>
        <v>121212.38252888359</v>
      </c>
      <c r="AL63" s="90">
        <f>VLOOKUP($A63,平滑数据导入!$A$1:$AN$61,COLUMN(平滑数据导入!Q$1),0)</f>
        <v>129497.3827835237</v>
      </c>
      <c r="AM63" s="90">
        <f>VLOOKUP($A63,平滑数据导入!$A$1:$AN$61,COLUMN(平滑数据导入!R$1),0)</f>
        <v>138071.82559228741</v>
      </c>
      <c r="AN63" s="90">
        <f>VLOOKUP($A63,平滑数据导入!$A$1:$AN$61,COLUMN(平滑数据导入!S$1),0)</f>
        <v>146916.67062101219</v>
      </c>
      <c r="AO63" s="90">
        <f>VLOOKUP($A63,平滑数据导入!$A$1:$AN$61,COLUMN(平滑数据导入!T$1),0)</f>
        <v>156009.44281816349</v>
      </c>
      <c r="AP63" s="89">
        <f>VLOOKUP($A63,平滑数据导入!$A$1:$AN$61,COLUMN(平滑数据导入!U$1),0)</f>
        <v>165324.17072917221</v>
      </c>
      <c r="AQ63" s="90">
        <f>VLOOKUP($A63,平滑数据导入!$A$1:$AN$61,COLUMN(平滑数据导入!V$1),0)</f>
        <v>174831.3623132834</v>
      </c>
      <c r="AR63" s="90">
        <f>VLOOKUP($A63,平滑数据导入!$A$1:$AN$61,COLUMN(平滑数据导入!W$1),0)</f>
        <v>184498.0218985533</v>
      </c>
      <c r="AS63" s="90">
        <f>VLOOKUP($A63,平滑数据导入!$A$1:$AN$61,COLUMN(平滑数据导入!X$1),0)</f>
        <v>194287.7115233675</v>
      </c>
      <c r="AT63" s="101">
        <f>VLOOKUP($A63,平滑数据导入!$A$1:$AN$61,COLUMN(平滑数据导入!Y$1),0)</f>
        <v>204160.65942437129</v>
      </c>
      <c r="AU63" s="90">
        <f>VLOOKUP($A63,平滑数据导入!$A$1:$AN$61,COLUMN(平滑数据导入!Z$1),0)</f>
        <v>214073.91784234231</v>
      </c>
      <c r="AV63" s="90">
        <f>VLOOKUP($A63,平滑数据导入!$A$1:$AN$61,COLUMN(平滑数据导入!AA$1),0)</f>
        <v>223981.57163340109</v>
      </c>
      <c r="AW63" s="90">
        <f>VLOOKUP($A63,平滑数据导入!$A$1:$AN$61,COLUMN(平滑数据导入!AB$1),0)</f>
        <v>233834.99839989381</v>
      </c>
      <c r="AX63" s="90">
        <f>VLOOKUP($A63,平滑数据导入!$A$1:$AN$61,COLUMN(平滑数据导入!AC$1),0)</f>
        <v>243583.1800031598</v>
      </c>
      <c r="AY63" s="141">
        <f>VLOOKUP(A63,情景假设!$B$29:$S$42,17,0)/情景假设!R$28*AY$56</f>
        <v>253173.06440194041</v>
      </c>
      <c r="AZ63" s="89">
        <f>VLOOKUP($A63,平滑数据导入!$A$1:$AN$61,COLUMN(平滑数据导入!AE$1),0)</f>
        <v>262549.97579095681</v>
      </c>
      <c r="BA63" s="90">
        <f>VLOOKUP($A63,平滑数据导入!$A$1:$AN$61,COLUMN(平滑数据导入!AF$1),0)</f>
        <v>271658.0700124937</v>
      </c>
      <c r="BB63" s="90">
        <f>VLOOKUP($A63,平滑数据导入!$A$1:$AN$61,COLUMN(平滑数据导入!AG$1),0)</f>
        <v>280440.83120020549</v>
      </c>
      <c r="BC63" s="90">
        <f>VLOOKUP($A63,平滑数据导入!$A$1:$AN$61,COLUMN(平滑数据导入!AH$1),0)</f>
        <v>288841.6046114731</v>
      </c>
      <c r="BD63" s="101">
        <f>VLOOKUP($A63,平滑数据导入!$A$1:$AN$61,COLUMN(平滑数据导入!AI$1),0)</f>
        <v>296804.15963653981</v>
      </c>
      <c r="BE63" s="90">
        <f>VLOOKUP($A63,平滑数据导入!$A$1:$AN$61,COLUMN(平滑数据导入!AJ$1),0)</f>
        <v>304273.27606444422</v>
      </c>
      <c r="BF63" s="90">
        <f>VLOOKUP($A63,平滑数据导入!$A$1:$AN$61,COLUMN(平滑数据导入!AK$1),0)</f>
        <v>311195.34586265008</v>
      </c>
      <c r="BG63" s="90">
        <f>VLOOKUP($A63,平滑数据导入!$A$1:$AN$61,COLUMN(平滑数据导入!AL$1),0)</f>
        <v>317518.98201431357</v>
      </c>
      <c r="BH63" s="90">
        <f>VLOOKUP($A63,平滑数据导入!$A$1:$AN$61,COLUMN(平滑数据导入!AM$1),0)</f>
        <v>323195.62537785643</v>
      </c>
      <c r="BI63" s="133">
        <f>VLOOKUP(A63,情景假设!$B$29:$S$42,18,0)/情景假设!S$28*BI$56</f>
        <v>328180.14010985463</v>
      </c>
    </row>
    <row r="64" spans="1:61" x14ac:dyDescent="0.2">
      <c r="A64" s="33" t="s">
        <v>38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K$77*'增加值 (2001-2022, 当年价) '!K64</f>
        <v>8223.2227567125155</v>
      </c>
      <c r="L64" s="19">
        <f>L$77*'增加值 (2001-2022, 当年价) '!L64</f>
        <v>9355.5737844991854</v>
      </c>
      <c r="M64" s="20">
        <f>M$77*'增加值 (2001-2022, 当年价) '!M64</f>
        <v>10885.223190938372</v>
      </c>
      <c r="N64" s="20">
        <f>N$77*'增加值 (2001-2022, 当年价) '!N64</f>
        <v>12424.365258586176</v>
      </c>
      <c r="O64" s="20">
        <f>O$77*'增加值 (2001-2022, 当年价) '!O64</f>
        <v>13914.986113061001</v>
      </c>
      <c r="P64" s="21">
        <f>P$77*'增加值 (2001-2022, 当年价) '!P64</f>
        <v>15483.430230071255</v>
      </c>
      <c r="Q64" s="19">
        <f>Q$77*'增加值 (2001-2022, 当年价) '!Q64</f>
        <v>16917.723452864859</v>
      </c>
      <c r="R64" s="20">
        <f>R$77*'增加值 (2001-2022, 当年价) '!R64</f>
        <v>18384.538044701698</v>
      </c>
      <c r="S64" s="20">
        <f>S$77*'增加值 (2001-2022, 当年价) '!S64</f>
        <v>20533.707492574169</v>
      </c>
      <c r="T64" s="20">
        <f>T$77*'增加值 (2001-2022, 当年价) '!T64</f>
        <v>22744.318910727616</v>
      </c>
      <c r="U64" s="20">
        <f>U$77*'增加值 (2001-2022, 当年价) '!U64</f>
        <v>24166.2</v>
      </c>
      <c r="V64" s="89">
        <f>V$77*'增加值 (2001-2022, 当年价) '!V64</f>
        <v>25799.431577445641</v>
      </c>
      <c r="W64" s="90">
        <f>W$77*'增加值 (2001-2022, 当年价) '!W64</f>
        <v>26597.51092538951</v>
      </c>
      <c r="X64" s="90">
        <f>VLOOKUP($A64,平滑数据导入!$A$1:$AN$61,COLUMN(平滑数据导入!C$1),0)</f>
        <v>29141.198014604441</v>
      </c>
      <c r="Y64" s="90">
        <f>VLOOKUP($A64,平滑数据导入!$A$1:$AN$61,COLUMN(平滑数据导入!D$1),0)</f>
        <v>31930.311839734499</v>
      </c>
      <c r="Z64" s="133">
        <f>VLOOKUP(A64,情景假设!$B$29:$S$42,14,0)/情景假设!O$28*Z$56</f>
        <v>34966.574809007609</v>
      </c>
      <c r="AA64" s="90">
        <f>VLOOKUP($A64,平滑数据导入!$A$1:$AN$61,COLUMN(平滑数据导入!F$1),0)</f>
        <v>38245.64787299915</v>
      </c>
      <c r="AB64" s="90">
        <f>VLOOKUP($A64,平滑数据导入!$A$1:$AN$61,COLUMN(平滑数据导入!G$1),0)</f>
        <v>41755.604102959842</v>
      </c>
      <c r="AC64" s="90">
        <f>VLOOKUP($A64,平滑数据导入!$A$1:$AN$61,COLUMN(平滑数据导入!H$1),0)</f>
        <v>45475.361730141849</v>
      </c>
      <c r="AD64" s="90">
        <f>VLOOKUP($A64,平滑数据导入!$A$1:$AN$61,COLUMN(平滑数据导入!I$1),0)</f>
        <v>49373.170664649188</v>
      </c>
      <c r="AE64" s="141">
        <f>VLOOKUP(A64,情景假设!$B$29:$S$42,15,0)/情景假设!P$28*AE$56</f>
        <v>53405.27555128526</v>
      </c>
      <c r="AF64" s="89">
        <f>VLOOKUP($A64,平滑数据导入!$A$1:$AN$61,COLUMN(平滑数据导入!K$1),0)</f>
        <v>57526.126966715463</v>
      </c>
      <c r="AG64" s="90">
        <f>VLOOKUP($A64,平滑数据导入!$A$1:$AN$61,COLUMN(平滑数据导入!L$1),0)</f>
        <v>61728.025230026273</v>
      </c>
      <c r="AH64" s="90">
        <f>VLOOKUP($A64,平滑数据导入!$A$1:$AN$61,COLUMN(平滑数据导入!M$1),0)</f>
        <v>66019.019123062841</v>
      </c>
      <c r="AI64" s="90">
        <f>VLOOKUP($A64,平滑数据导入!$A$1:$AN$61,COLUMN(平滑数据导入!N$1),0)</f>
        <v>70413.892181251664</v>
      </c>
      <c r="AJ64" s="133">
        <f>VLOOKUP(A64,情景假设!$B$29:$S$42,16,0)/情景假设!Q$28*AJ$56</f>
        <v>74934.773177728945</v>
      </c>
      <c r="AK64" s="90">
        <f>VLOOKUP($A64,平滑数据导入!$A$1:$AN$61,COLUMN(平滑数据导入!P$1),0)</f>
        <v>79604.133646057657</v>
      </c>
      <c r="AL64" s="90">
        <f>VLOOKUP($A64,平滑数据导入!$A$1:$AN$61,COLUMN(平滑数据导入!Q$1),0)</f>
        <v>84418.8512709567</v>
      </c>
      <c r="AM64" s="90">
        <f>VLOOKUP($A64,平滑数据导入!$A$1:$AN$61,COLUMN(平滑数据导入!R$1),0)</f>
        <v>89367.070153351669</v>
      </c>
      <c r="AN64" s="90">
        <f>VLOOKUP($A64,平滑数据导入!$A$1:$AN$61,COLUMN(平滑数据导入!S$1),0)</f>
        <v>94434.90216197673</v>
      </c>
      <c r="AO64" s="90">
        <f>VLOOKUP($A64,平滑数据导入!$A$1:$AN$61,COLUMN(平滑数据导入!T$1),0)</f>
        <v>99606.378669114711</v>
      </c>
      <c r="AP64" s="89">
        <f>VLOOKUP($A64,平滑数据导入!$A$1:$AN$61,COLUMN(平滑数据导入!U$1),0)</f>
        <v>104863.4248807102</v>
      </c>
      <c r="AQ64" s="90">
        <f>VLOOKUP($A64,平滑数据导入!$A$1:$AN$61,COLUMN(平滑数据导入!V$1),0)</f>
        <v>110185.8596109291</v>
      </c>
      <c r="AR64" s="90">
        <f>VLOOKUP($A64,平滑数据导入!$A$1:$AN$61,COLUMN(平滑数据导入!W$1),0)</f>
        <v>115551.4231840865</v>
      </c>
      <c r="AS64" s="90">
        <f>VLOOKUP($A64,平滑数据导入!$A$1:$AN$61,COLUMN(平滑数据导入!X$1),0)</f>
        <v>120935.83589901299</v>
      </c>
      <c r="AT64" s="101">
        <f>VLOOKUP($A64,平滑数据导入!$A$1:$AN$61,COLUMN(平滑数据导入!Y$1),0)</f>
        <v>126312.88915862401</v>
      </c>
      <c r="AU64" s="90">
        <f>VLOOKUP($A64,平滑数据导入!$A$1:$AN$61,COLUMN(平滑数据导入!Z$1),0)</f>
        <v>131654.5709488811</v>
      </c>
      <c r="AV64" s="90">
        <f>VLOOKUP($A64,平滑数据导入!$A$1:$AN$61,COLUMN(平滑数据导入!AA$1),0)</f>
        <v>136931.22684703261</v>
      </c>
      <c r="AW64" s="90">
        <f>VLOOKUP($A64,平滑数据导入!$A$1:$AN$61,COLUMN(平滑数据导入!AB$1),0)</f>
        <v>142111.7571520723</v>
      </c>
      <c r="AX64" s="90">
        <f>VLOOKUP($A64,平滑数据导入!$A$1:$AN$61,COLUMN(平滑数据导入!AC$1),0)</f>
        <v>147163.85006676751</v>
      </c>
      <c r="AY64" s="141">
        <f>VLOOKUP(A64,情景假设!$B$29:$S$42,17,0)/情景假设!R$28*AY$56</f>
        <v>152054.25012933437</v>
      </c>
      <c r="AZ64" s="89">
        <f>VLOOKUP($A64,平滑数据导入!$A$1:$AN$61,COLUMN(平滑数据导入!AE$1),0)</f>
        <v>156749.06030595</v>
      </c>
      <c r="BA64" s="90">
        <f>VLOOKUP($A64,平滑数据导入!$A$1:$AN$61,COLUMN(平滑数据导入!AF$1),0)</f>
        <v>161214.0753279643</v>
      </c>
      <c r="BB64" s="90">
        <f>VLOOKUP($A64,平滑数据导入!$A$1:$AN$61,COLUMN(平滑数据导入!AG$1),0)</f>
        <v>165415.1430079526</v>
      </c>
      <c r="BC64" s="90">
        <f>VLOOKUP($A64,平滑数据导入!$A$1:$AN$61,COLUMN(平滑数据导入!AH$1),0)</f>
        <v>169318.5494174099</v>
      </c>
      <c r="BD64" s="101">
        <f>VLOOKUP($A64,平滑数据导入!$A$1:$AN$61,COLUMN(平滑数据导入!AI$1),0)</f>
        <v>172891.42297891731</v>
      </c>
      <c r="BE64" s="90">
        <f>VLOOKUP($A64,平滑数据导入!$A$1:$AN$61,COLUMN(平滑数据导入!AJ$1),0)</f>
        <v>176102.15174174629</v>
      </c>
      <c r="BF64" s="90">
        <f>VLOOKUP($A64,平滑数据导入!$A$1:$AN$61,COLUMN(平滑数据导入!AK$1),0)</f>
        <v>178920.8073979411</v>
      </c>
      <c r="BG64" s="90">
        <f>VLOOKUP($A64,平滑数据导入!$A$1:$AN$61,COLUMN(平滑数据导入!AL$1),0)</f>
        <v>181319.56898196461</v>
      </c>
      <c r="BH64" s="90">
        <f>VLOOKUP($A64,平滑数据导入!$A$1:$AN$61,COLUMN(平滑数据导入!AM$1),0)</f>
        <v>183273.13870658851</v>
      </c>
      <c r="BI64" s="133">
        <f>VLOOKUP(A64,情景假设!$B$29:$S$42,18,0)/情景假设!S$28*BI$56</f>
        <v>184759.1420447604</v>
      </c>
    </row>
    <row r="65" spans="1:61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K$77*'增加值 (2001-2022, 当年价) '!K65</f>
        <v>2588.8465312850017</v>
      </c>
      <c r="L65" s="19">
        <f>L$77*'增加值 (2001-2022, 当年价) '!L65</f>
        <v>2943.1056237537528</v>
      </c>
      <c r="M65" s="20">
        <f>M$77*'增加值 (2001-2022, 当年价) '!M65</f>
        <v>3481.8302033218015</v>
      </c>
      <c r="N65" s="20">
        <f>N$77*'增加值 (2001-2022, 当年价) '!N65</f>
        <v>4130.9729578746819</v>
      </c>
      <c r="O65" s="20">
        <f>O$77*'增加值 (2001-2022, 当年价) '!O65</f>
        <v>4395.4447557680423</v>
      </c>
      <c r="P65" s="21">
        <f>P$77*'增加值 (2001-2022, 当年价) '!P65</f>
        <v>4603.151826708925</v>
      </c>
      <c r="Q65" s="19">
        <f>Q$77*'增加值 (2001-2022, 当年价) '!Q65</f>
        <v>4785.5632996742488</v>
      </c>
      <c r="R65" s="20">
        <f>R$77*'增加值 (2001-2022, 当年价) '!R65</f>
        <v>4850.5663499254233</v>
      </c>
      <c r="S65" s="20">
        <f>S$77*'增加值 (2001-2022, 当年价) '!S65</f>
        <v>5186.6305211276767</v>
      </c>
      <c r="T65" s="20">
        <f>T$77*'增加值 (2001-2022, 当年价) '!T65</f>
        <v>5892.3934190869013</v>
      </c>
      <c r="U65" s="20">
        <f>U$77*'增加值 (2001-2022, 当年价) '!U65</f>
        <v>5863.1</v>
      </c>
      <c r="V65" s="89">
        <f>V$77*'增加值 (2001-2022, 当年价) '!V65</f>
        <v>6259.3476542328353</v>
      </c>
      <c r="W65" s="90">
        <f>W$77*'增加值 (2001-2022, 当年价) '!W65</f>
        <v>6452.974249433144</v>
      </c>
      <c r="X65" s="90">
        <f>VLOOKUP($A65,平滑数据导入!$A$1:$AN$61,COLUMN(平滑数据导入!C$1),0)</f>
        <v>6887.0635791104469</v>
      </c>
      <c r="Y65" s="90">
        <f>VLOOKUP($A65,平滑数据导入!$A$1:$AN$61,COLUMN(平滑数据导入!D$1),0)</f>
        <v>7347.9024873862099</v>
      </c>
      <c r="Z65" s="133">
        <f>VLOOKUP(A65,情景假设!$B$29:$S$42,14,0)/情景假设!O$28*Z$56</f>
        <v>7833.1774146182579</v>
      </c>
      <c r="AA65" s="90">
        <f>VLOOKUP($A65,平滑数据导入!$A$1:$AN$61,COLUMN(平滑数据导入!F$1),0)</f>
        <v>8339.6530594699052</v>
      </c>
      <c r="AB65" s="90">
        <f>VLOOKUP($A65,平滑数据导入!$A$1:$AN$61,COLUMN(平滑数据导入!G$1),0)</f>
        <v>8863.0582086163122</v>
      </c>
      <c r="AC65" s="90">
        <f>VLOOKUP($A65,平滑数据导入!$A$1:$AN$61,COLUMN(平滑数据导入!H$1),0)</f>
        <v>9397.9898459956803</v>
      </c>
      <c r="AD65" s="90">
        <f>VLOOKUP($A65,平滑数据导入!$A$1:$AN$61,COLUMN(平滑数据导入!I$1),0)</f>
        <v>9937.8456808860992</v>
      </c>
      <c r="AE65" s="141">
        <f>VLOOKUP(A65,情景假设!$B$29:$S$42,15,0)/情景假设!P$28*AE$56</f>
        <v>10474.796343584265</v>
      </c>
      <c r="AF65" s="89">
        <f>VLOOKUP($A65,平滑数据导入!$A$1:$AN$61,COLUMN(平滑数据导入!K$1),0)</f>
        <v>11001.73539732849</v>
      </c>
      <c r="AG65" s="90">
        <f>VLOOKUP($A65,平滑数据导入!$A$1:$AN$61,COLUMN(平滑数据导入!L$1),0)</f>
        <v>11518.85948352961</v>
      </c>
      <c r="AH65" s="90">
        <f>VLOOKUP($A65,平滑数据导入!$A$1:$AN$61,COLUMN(平滑数据导入!M$1),0)</f>
        <v>12029.20434798212</v>
      </c>
      <c r="AI65" s="90">
        <f>VLOOKUP($A65,平滑数据导入!$A$1:$AN$61,COLUMN(平滑数据导入!N$1),0)</f>
        <v>12536.89307770031</v>
      </c>
      <c r="AJ65" s="133">
        <f>VLOOKUP(A65,情景假设!$B$29:$S$42,16,0)/情景假设!Q$28*AJ$56</f>
        <v>13047.130263611671</v>
      </c>
      <c r="AK65" s="90">
        <f>VLOOKUP($A65,平滑数据导入!$A$1:$AN$61,COLUMN(平滑数据导入!P$1),0)</f>
        <v>13564.70198916739</v>
      </c>
      <c r="AL65" s="90">
        <f>VLOOKUP($A65,平滑数据导入!$A$1:$AN$61,COLUMN(平滑数据导入!Q$1),0)</f>
        <v>14089.010152348021</v>
      </c>
      <c r="AM65" s="90">
        <f>VLOOKUP($A65,平滑数据导入!$A$1:$AN$61,COLUMN(平滑数据导入!R$1),0)</f>
        <v>14617.80362989885</v>
      </c>
      <c r="AN65" s="90">
        <f>VLOOKUP($A65,平滑数据导入!$A$1:$AN$61,COLUMN(平滑数据导入!S$1),0)</f>
        <v>15148.569738679031</v>
      </c>
      <c r="AO65" s="90">
        <f>VLOOKUP($A65,平滑数据导入!$A$1:$AN$61,COLUMN(平滑数据导入!T$1),0)</f>
        <v>15678.534036281309</v>
      </c>
      <c r="AP65" s="89">
        <f>VLOOKUP($A65,平滑数据导入!$A$1:$AN$61,COLUMN(平滑数据导入!U$1),0)</f>
        <v>16204.664379197189</v>
      </c>
      <c r="AQ65" s="90">
        <f>VLOOKUP($A65,平滑数据导入!$A$1:$AN$61,COLUMN(平滑数据导入!V$1),0)</f>
        <v>16723.679758083919</v>
      </c>
      <c r="AR65" s="90">
        <f>VLOOKUP($A65,平滑数据导入!$A$1:$AN$61,COLUMN(平滑数据导入!W$1),0)</f>
        <v>17232.064390719159</v>
      </c>
      <c r="AS65" s="90">
        <f>VLOOKUP($A65,平滑数据导入!$A$1:$AN$61,COLUMN(平滑数据导入!X$1),0)</f>
        <v>17726.087493438929</v>
      </c>
      <c r="AT65" s="101">
        <f>VLOOKUP($A65,平滑数据导入!$A$1:$AN$61,COLUMN(平滑数据导入!Y$1),0)</f>
        <v>18201.82906964617</v>
      </c>
      <c r="AU65" s="90">
        <f>VLOOKUP($A65,平滑数据导入!$A$1:$AN$61,COLUMN(平滑数据导入!Z$1),0)</f>
        <v>18655.21194835729</v>
      </c>
      <c r="AV65" s="90">
        <f>VLOOKUP($A65,平滑数据导入!$A$1:$AN$61,COLUMN(平滑数据导入!AA$1),0)</f>
        <v>19082.040176483599</v>
      </c>
      <c r="AW65" s="90">
        <f>VLOOKUP($A65,平滑数据导入!$A$1:$AN$61,COLUMN(平滑数据导入!AB$1),0)</f>
        <v>19478.04371631188</v>
      </c>
      <c r="AX65" s="90">
        <f>VLOOKUP($A65,平滑数据导入!$A$1:$AN$61,COLUMN(平滑数据导入!AC$1),0)</f>
        <v>19838.92922618959</v>
      </c>
      <c r="AY65" s="141">
        <f>VLOOKUP(A65,情景假设!$B$29:$S$42,17,0)/情景假设!R$28*AY$56</f>
        <v>20160.436510673186</v>
      </c>
      <c r="AZ65" s="89">
        <f>VLOOKUP($A65,平滑数据导入!$A$1:$AN$61,COLUMN(平滑数据导入!AE$1),0)</f>
        <v>20438.400020527992</v>
      </c>
      <c r="BA65" s="90">
        <f>VLOOKUP($A65,平滑数据导入!$A$1:$AN$61,COLUMN(平滑数据导入!AF$1),0)</f>
        <v>20668.814568457699</v>
      </c>
      <c r="BB65" s="90">
        <f>VLOOKUP($A65,平滑数据导入!$A$1:$AN$61,COLUMN(平滑数据导入!AG$1),0)</f>
        <v>20847.90420998535</v>
      </c>
      <c r="BC65" s="90">
        <f>VLOOKUP($A65,平滑数据导入!$A$1:$AN$61,COLUMN(平滑数据导入!AH$1),0)</f>
        <v>20972.193028375041</v>
      </c>
      <c r="BD65" s="101">
        <f>VLOOKUP($A65,平滑数据导入!$A$1:$AN$61,COLUMN(平滑数据导入!AI$1),0)</f>
        <v>21038.576366654881</v>
      </c>
      <c r="BE65" s="90">
        <f>VLOOKUP($A65,平滑数据导入!$A$1:$AN$61,COLUMN(平滑数据导入!AJ$1),0)</f>
        <v>21044.390878163649</v>
      </c>
      <c r="BF65" s="90">
        <f>VLOOKUP($A65,平滑数据导入!$A$1:$AN$61,COLUMN(平滑数据导入!AK$1),0)</f>
        <v>20987.481629371439</v>
      </c>
      <c r="BG65" s="90">
        <f>VLOOKUP($A65,平滑数据导入!$A$1:$AN$61,COLUMN(平滑数据导入!AL$1),0)</f>
        <v>20866.264394686259</v>
      </c>
      <c r="BH65" s="90">
        <f>VLOOKUP($A65,平滑数据导入!$A$1:$AN$61,COLUMN(平滑数据导入!AM$1),0)</f>
        <v>20679.781241598579</v>
      </c>
      <c r="BI65" s="133">
        <f>VLOOKUP(A65,情景假设!$B$29:$S$42,18,0)/情景假设!S$28*BI$56</f>
        <v>20427.747523714912</v>
      </c>
    </row>
    <row r="66" spans="1:61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K$77*'增加值 (2001-2022, 当年价) '!K66</f>
        <v>8215.2085396484417</v>
      </c>
      <c r="L66" s="19">
        <f>L$77*'增加值 (2001-2022, 当年价) '!L66</f>
        <v>8919.7543985306074</v>
      </c>
      <c r="M66" s="20">
        <f>M$77*'增加值 (2001-2022, 当年价) '!M66</f>
        <v>9471.2872506004296</v>
      </c>
      <c r="N66" s="20">
        <f>N$77*'增加值 (2001-2022, 当年价) '!N66</f>
        <v>9814.5407288437873</v>
      </c>
      <c r="O66" s="20">
        <f>O$77*'增加值 (2001-2022, 当年价) '!O66</f>
        <v>10744.631189497688</v>
      </c>
      <c r="P66" s="21">
        <f>P$77*'增加值 (2001-2022, 当年价) '!P66</f>
        <v>11803.562331981635</v>
      </c>
      <c r="Q66" s="19">
        <f>Q$77*'增加值 (2001-2022, 当年价) '!Q66</f>
        <v>13389.26892517825</v>
      </c>
      <c r="R66" s="20">
        <f>R$77*'增加值 (2001-2022, 当年价) '!R66</f>
        <v>14464.859726951376</v>
      </c>
      <c r="S66" s="20">
        <f>S$77*'增加值 (2001-2022, 当年价) '!S66</f>
        <v>15056.098053059803</v>
      </c>
      <c r="T66" s="20">
        <f>T$77*'增加值 (2001-2022, 当年价) '!T66</f>
        <v>17073.494684407979</v>
      </c>
      <c r="U66" s="20">
        <f>U$77*'增加值 (2001-2022, 当年价) '!U66</f>
        <v>16353.2</v>
      </c>
      <c r="V66" s="89">
        <f>V$77*'增加值 (2001-2022, 当年价) '!V66</f>
        <v>17458.40324388129</v>
      </c>
      <c r="W66" s="90">
        <f>W$77*'增加值 (2001-2022, 当年价) '!W66</f>
        <v>17998.461308152702</v>
      </c>
      <c r="X66" s="90">
        <f>VLOOKUP($A66,平滑数据导入!$A$1:$AN$61,COLUMN(平滑数据导入!C$1),0)</f>
        <v>19410.81259828051</v>
      </c>
      <c r="Y66" s="90">
        <f>VLOOKUP($A66,平滑数据导入!$A$1:$AN$61,COLUMN(平滑数据导入!D$1),0)</f>
        <v>20930.379214019311</v>
      </c>
      <c r="Z66" s="133">
        <f>VLOOKUP(A66,情景假设!$B$29:$S$42,14,0)/情景假设!O$28*Z$56</f>
        <v>22552.74752125239</v>
      </c>
      <c r="AA66" s="90">
        <f>VLOOKUP($A66,平滑数据导入!$A$1:$AN$61,COLUMN(平滑数据导入!F$1),0)</f>
        <v>24270.277314047351</v>
      </c>
      <c r="AB66" s="90">
        <f>VLOOKUP($A66,平滑数据导入!$A$1:$AN$61,COLUMN(平滑数据导入!G$1),0)</f>
        <v>26071.55156029285</v>
      </c>
      <c r="AC66" s="90">
        <f>VLOOKUP($A66,平滑数据导入!$A$1:$AN$61,COLUMN(平滑数据导入!H$1),0)</f>
        <v>27940.862829439269</v>
      </c>
      <c r="AD66" s="90">
        <f>VLOOKUP($A66,平滑数据导入!$A$1:$AN$61,COLUMN(平滑数据导入!I$1),0)</f>
        <v>29857.777991610761</v>
      </c>
      <c r="AE66" s="141">
        <f>VLOOKUP(A66,情景假设!$B$29:$S$42,15,0)/情景假设!P$28*AE$56</f>
        <v>31796.830366340906</v>
      </c>
      <c r="AF66" s="89">
        <f>VLOOKUP($A66,平滑数据导入!$A$1:$AN$61,COLUMN(平滑数据导入!K$1),0)</f>
        <v>33733.572508873483</v>
      </c>
      <c r="AG66" s="90">
        <f>VLOOKUP($A66,平滑数据导入!$A$1:$AN$61,COLUMN(平滑数据导入!L$1),0)</f>
        <v>35666.023230278654</v>
      </c>
      <c r="AH66" s="90">
        <f>VLOOKUP($A66,平滑数据导入!$A$1:$AN$61,COLUMN(平滑数据导入!M$1),0)</f>
        <v>37601.235437757248</v>
      </c>
      <c r="AI66" s="90">
        <f>VLOOKUP($A66,平滑数据导入!$A$1:$AN$61,COLUMN(平滑数据导入!N$1),0)</f>
        <v>39549.941670940309</v>
      </c>
      <c r="AJ66" s="133">
        <f>VLOOKUP(A66,情景假设!$B$29:$S$42,16,0)/情景假设!Q$28*AJ$56</f>
        <v>41526.671070579665</v>
      </c>
      <c r="AK66" s="90">
        <f>VLOOKUP($A66,平滑数据导入!$A$1:$AN$61,COLUMN(平滑数据导入!P$1),0)</f>
        <v>43545.315407133377</v>
      </c>
      <c r="AL66" s="90">
        <f>VLOOKUP($A66,平滑数据导入!$A$1:$AN$61,COLUMN(平滑数据导入!Q$1),0)</f>
        <v>45603.845206830811</v>
      </c>
      <c r="AM66" s="90">
        <f>VLOOKUP($A66,平滑数据导入!$A$1:$AN$61,COLUMN(平滑数据导入!R$1),0)</f>
        <v>47695.138632646092</v>
      </c>
      <c r="AN66" s="90">
        <f>VLOOKUP($A66,平滑数据导入!$A$1:$AN$61,COLUMN(平滑数据导入!S$1),0)</f>
        <v>49811.122534517592</v>
      </c>
      <c r="AO66" s="90">
        <f>VLOOKUP($A66,平滑数据导入!$A$1:$AN$61,COLUMN(平滑数据导入!T$1),0)</f>
        <v>51942.761426681027</v>
      </c>
      <c r="AP66" s="89">
        <f>VLOOKUP($A66,平滑数据导入!$A$1:$AN$61,COLUMN(平滑数据导入!U$1),0)</f>
        <v>54080.059634222147</v>
      </c>
      <c r="AQ66" s="90">
        <f>VLOOKUP($A66,平滑数据导入!$A$1:$AN$61,COLUMN(平滑数据导入!V$1),0)</f>
        <v>56212.078289623627</v>
      </c>
      <c r="AR66" s="90">
        <f>VLOOKUP($A66,平滑数据导入!$A$1:$AN$61,COLUMN(平滑数据导入!W$1),0)</f>
        <v>58326.968757659997</v>
      </c>
      <c r="AS66" s="90">
        <f>VLOOKUP($A66,平滑数据导入!$A$1:$AN$61,COLUMN(平滑数据导入!X$1),0)</f>
        <v>60412.023906438728</v>
      </c>
      <c r="AT66" s="101">
        <f>VLOOKUP($A66,平滑数据导入!$A$1:$AN$61,COLUMN(平滑数据导入!Y$1),0)</f>
        <v>62453.748419455413</v>
      </c>
      <c r="AU66" s="90">
        <f>VLOOKUP($A66,平滑数据导入!$A$1:$AN$61,COLUMN(平滑数据导入!Z$1),0)</f>
        <v>64437.949055470148</v>
      </c>
      <c r="AV66" s="90">
        <f>VLOOKUP($A66,平滑数据导入!$A$1:$AN$61,COLUMN(平滑数据导入!AA$1),0)</f>
        <v>66349.845409011366</v>
      </c>
      <c r="AW66" s="90">
        <f>VLOOKUP($A66,平滑数据导入!$A$1:$AN$61,COLUMN(平滑数据导入!AB$1),0)</f>
        <v>68174.201305796756</v>
      </c>
      <c r="AX66" s="90">
        <f>VLOOKUP($A66,平滑数据导入!$A$1:$AN$61,COLUMN(平滑数据导入!AC$1),0)</f>
        <v>69895.476488380489</v>
      </c>
      <c r="AY66" s="141">
        <f>VLOOKUP(A66,情景假设!$B$29:$S$42,17,0)/情景假设!R$28*AY$56</f>
        <v>71497.997714800949</v>
      </c>
      <c r="AZ66" s="89">
        <f>VLOOKUP($A66,平滑数据导入!$A$1:$AN$61,COLUMN(平滑数据导入!AE$1),0)</f>
        <v>72966.147816861499</v>
      </c>
      <c r="BA66" s="90">
        <f>VLOOKUP($A66,平滑数据导入!$A$1:$AN$61,COLUMN(平滑数据导入!AF$1),0)</f>
        <v>74284.570658033583</v>
      </c>
      <c r="BB66" s="90">
        <f>VLOOKUP($A66,平滑数据导入!$A$1:$AN$61,COLUMN(平滑数据导入!AG$1),0)</f>
        <v>75438.389309941558</v>
      </c>
      <c r="BC66" s="90">
        <f>VLOOKUP($A66,平滑数据导入!$A$1:$AN$61,COLUMN(平滑数据导入!AH$1),0)</f>
        <v>76413.434149964742</v>
      </c>
      <c r="BD66" s="101">
        <f>VLOOKUP($A66,平滑数据导入!$A$1:$AN$61,COLUMN(平滑数据导入!AI$1),0)</f>
        <v>77196.476992100128</v>
      </c>
      <c r="BE66" s="90">
        <f>VLOOKUP($A66,平滑数据导入!$A$1:$AN$61,COLUMN(平滑数据导入!AJ$1),0)</f>
        <v>77775.466822165763</v>
      </c>
      <c r="BF66" s="90">
        <f>VLOOKUP($A66,平滑数据导入!$A$1:$AN$61,COLUMN(平滑数据导入!AK$1),0)</f>
        <v>78139.76224113116</v>
      </c>
      <c r="BG66" s="90">
        <f>VLOOKUP($A66,平滑数据导入!$A$1:$AN$61,COLUMN(平滑数据导入!AL$1),0)</f>
        <v>78280.355351509555</v>
      </c>
      <c r="BH66" s="90">
        <f>VLOOKUP($A66,平滑数据导入!$A$1:$AN$61,COLUMN(平滑数据导入!AM$1),0)</f>
        <v>78190.081575130011</v>
      </c>
      <c r="BI66" s="133">
        <f>VLOOKUP(A66,情景假设!$B$29:$S$42,18,0)/情景假设!S$28*BI$56</f>
        <v>77863.809788076353</v>
      </c>
    </row>
    <row r="67" spans="1:61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K$77*'增加值 (2001-2022, 当年价) '!K67</f>
        <v>15733.180194722509</v>
      </c>
      <c r="L67" s="19">
        <f>L$77*'增加值 (2001-2022, 当年价) '!L67</f>
        <v>17398.154822835269</v>
      </c>
      <c r="M67" s="20">
        <f>M$77*'增加值 (2001-2022, 当年价) '!M67</f>
        <v>19161.404772517511</v>
      </c>
      <c r="N67" s="20">
        <f>N$77*'增加值 (2001-2022, 当年价) '!N67</f>
        <v>21360.323296462921</v>
      </c>
      <c r="O67" s="20">
        <f>O$77*'增加值 (2001-2022, 当年价) '!O67</f>
        <v>23657.484004820206</v>
      </c>
      <c r="P67" s="21">
        <f>P$77*'增加值 (2001-2022, 当年价) '!P67</f>
        <v>27171.707502012752</v>
      </c>
      <c r="Q67" s="19">
        <f>Q$77*'增加值 (2001-2022, 当年价) '!Q67</f>
        <v>29633.545175076048</v>
      </c>
      <c r="R67" s="20">
        <f>R$77*'增加值 (2001-2022, 当年价) '!R67</f>
        <v>31835.885917761083</v>
      </c>
      <c r="S67" s="20">
        <f>S$77*'增加值 (2001-2022, 当年价) '!S67</f>
        <v>34605.423559402407</v>
      </c>
      <c r="T67" s="20">
        <f>T$77*'增加值 (2001-2022, 当年价) '!T67</f>
        <v>38135.335369113411</v>
      </c>
      <c r="U67" s="20">
        <f>U$77*'增加值 (2001-2022, 当年价) '!U67</f>
        <v>40091.9</v>
      </c>
      <c r="V67" s="89">
        <f>V$77*'增加值 (2001-2022, 当年价) '!V67</f>
        <v>42801.442959993416</v>
      </c>
      <c r="W67" s="90">
        <f>W$77*'增加值 (2001-2022, 当年价) '!W67</f>
        <v>44125.462351119488</v>
      </c>
      <c r="X67" s="90">
        <f>VLOOKUP($A67,平滑数据导入!$A$1:$AN$61,COLUMN(平滑数据导入!C$1),0)</f>
        <v>47718.276868680427</v>
      </c>
      <c r="Y67" s="90">
        <f>VLOOKUP($A67,平滑数据导入!$A$1:$AN$61,COLUMN(平滑数据导入!D$1),0)</f>
        <v>51596.881962466628</v>
      </c>
      <c r="Z67" s="133">
        <f>VLOOKUP(A67,情景假设!$B$29:$S$42,14,0)/情景假设!O$28*Z$56</f>
        <v>55752.263679294956</v>
      </c>
      <c r="AA67" s="90">
        <f>VLOOKUP($A67,平滑数据导入!$A$1:$AN$61,COLUMN(平滑数据导入!F$1),0)</f>
        <v>60167.091445994964</v>
      </c>
      <c r="AB67" s="90">
        <f>VLOOKUP($A67,平滑数据导入!$A$1:$AN$61,COLUMN(平滑数据导入!G$1),0)</f>
        <v>64814.192644181152</v>
      </c>
      <c r="AC67" s="90">
        <f>VLOOKUP($A67,平滑数据导入!$A$1:$AN$61,COLUMN(平滑数据导入!H$1),0)</f>
        <v>69655.100142150375</v>
      </c>
      <c r="AD67" s="90">
        <f>VLOOKUP($A67,平滑数据导入!$A$1:$AN$61,COLUMN(平滑数据导入!I$1),0)</f>
        <v>74638.783954894432</v>
      </c>
      <c r="AE67" s="141">
        <f>VLOOKUP(A67,情景假设!$B$29:$S$42,15,0)/情景假设!P$28*AE$56</f>
        <v>79700.700704699295</v>
      </c>
      <c r="AF67" s="89">
        <f>VLOOKUP($A67,平滑数据导入!$A$1:$AN$61,COLUMN(平滑数据导入!K$1),0)</f>
        <v>84778.016300787844</v>
      </c>
      <c r="AG67" s="90">
        <f>VLOOKUP($A67,平滑数据导入!$A$1:$AN$61,COLUMN(平滑数据导入!L$1),0)</f>
        <v>89864.317699773237</v>
      </c>
      <c r="AH67" s="90">
        <f>VLOOKUP($A67,平滑数据导入!$A$1:$AN$61,COLUMN(平滑数据导入!M$1),0)</f>
        <v>94976.044919049746</v>
      </c>
      <c r="AI67" s="90">
        <f>VLOOKUP($A67,平滑数据导入!$A$1:$AN$61,COLUMN(平滑数据导入!N$1),0)</f>
        <v>100139.0566418846</v>
      </c>
      <c r="AJ67" s="133">
        <f>VLOOKUP(A67,情景假设!$B$29:$S$42,16,0)/情景假设!Q$28*AJ$56</f>
        <v>105389.02238725977</v>
      </c>
      <c r="AK67" s="90">
        <f>VLOOKUP($A67,平滑数据导入!$A$1:$AN$61,COLUMN(平滑数据导入!P$1),0)</f>
        <v>110760.4058065284</v>
      </c>
      <c r="AL67" s="90">
        <f>VLOOKUP($A67,平滑数据导入!$A$1:$AN$61,COLUMN(平滑数据导入!Q$1),0)</f>
        <v>116248.0504609983</v>
      </c>
      <c r="AM67" s="90">
        <f>VLOOKUP($A67,平滑数据导入!$A$1:$AN$61,COLUMN(平滑数据导入!R$1),0)</f>
        <v>121833.9881871517</v>
      </c>
      <c r="AN67" s="90">
        <f>VLOOKUP($A67,平滑数据导入!$A$1:$AN$61,COLUMN(平滑数据导入!S$1),0)</f>
        <v>127497.7589007559</v>
      </c>
      <c r="AO67" s="90">
        <f>VLOOKUP($A67,平滑数据导入!$A$1:$AN$61,COLUMN(平滑数据导入!T$1),0)</f>
        <v>133216.3755369625</v>
      </c>
      <c r="AP67" s="89">
        <f>VLOOKUP($A67,平滑数据导入!$A$1:$AN$61,COLUMN(平滑数据导入!U$1),0)</f>
        <v>138964.32212369121</v>
      </c>
      <c r="AQ67" s="90">
        <f>VLOOKUP($A67,平滑数据导入!$A$1:$AN$61,COLUMN(平滑数据导入!V$1),0)</f>
        <v>144713.58924116939</v>
      </c>
      <c r="AR67" s="90">
        <f>VLOOKUP($A67,平滑数据导入!$A$1:$AN$61,COLUMN(平滑数据导入!W$1),0)</f>
        <v>150433.75087067869</v>
      </c>
      <c r="AS67" s="90">
        <f>VLOOKUP($A67,平滑数据导入!$A$1:$AN$61,COLUMN(平滑数据导入!X$1),0)</f>
        <v>156092.08624393801</v>
      </c>
      <c r="AT67" s="101">
        <f>VLOOKUP($A67,平滑数据导入!$A$1:$AN$61,COLUMN(平滑数据导入!Y$1),0)</f>
        <v>161653.74976110519</v>
      </c>
      <c r="AU67" s="90">
        <f>VLOOKUP($A67,平滑数据导入!$A$1:$AN$61,COLUMN(平滑数据导入!Z$1),0)</f>
        <v>167081.99134368991</v>
      </c>
      <c r="AV67" s="90">
        <f>VLOOKUP($A67,平滑数据导入!$A$1:$AN$61,COLUMN(平滑数据导入!AA$1),0)</f>
        <v>172338.42872689289</v>
      </c>
      <c r="AW67" s="90">
        <f>VLOOKUP($A67,平滑数据导入!$A$1:$AN$61,COLUMN(平滑数据导入!AB$1),0)</f>
        <v>177383.37217749169</v>
      </c>
      <c r="AX67" s="90">
        <f>VLOOKUP($A67,平滑数据导入!$A$1:$AN$61,COLUMN(平滑数据导入!AC$1),0)</f>
        <v>182176.2009579833</v>
      </c>
      <c r="AY67" s="141">
        <f>VLOOKUP(A67,情景假设!$B$29:$S$42,17,0)/情景假设!R$28*AY$56</f>
        <v>186675.78956161614</v>
      </c>
      <c r="AZ67" s="89">
        <f>VLOOKUP($A67,平滑数据导入!$A$1:$AN$61,COLUMN(平滑数据导入!AE$1),0)</f>
        <v>190840.98033958519</v>
      </c>
      <c r="BA67" s="90">
        <f>VLOOKUP($A67,平滑数据导入!$A$1:$AN$61,COLUMN(平滑数据导入!AF$1),0)</f>
        <v>194631.0976618159</v>
      </c>
      <c r="BB67" s="90">
        <f>VLOOKUP($A67,平滑数据导入!$A$1:$AN$61,COLUMN(平滑数据导入!AG$1),0)</f>
        <v>198006.4972341742</v>
      </c>
      <c r="BC67" s="90">
        <f>VLOOKUP($A67,平滑数据导入!$A$1:$AN$61,COLUMN(平滑数据导入!AH$1),0)</f>
        <v>200929.14268216601</v>
      </c>
      <c r="BD67" s="101">
        <f>VLOOKUP($A67,平滑数据导入!$A$1:$AN$61,COLUMN(平滑数据导入!AI$1),0)</f>
        <v>203363.20005430869</v>
      </c>
      <c r="BE67" s="90">
        <f>VLOOKUP($A67,平滑数据导入!$A$1:$AN$61,COLUMN(平滑数据导入!AJ$1),0)</f>
        <v>205275.63955215679</v>
      </c>
      <c r="BF67" s="90">
        <f>VLOOKUP($A67,平滑数据导入!$A$1:$AN$61,COLUMN(平滑数据导入!AK$1),0)</f>
        <v>206636.8326156665</v>
      </c>
      <c r="BG67" s="90">
        <f>VLOOKUP($A67,平滑数据导入!$A$1:$AN$61,COLUMN(平滑数据导入!AL$1),0)</f>
        <v>207421.13154049631</v>
      </c>
      <c r="BH67" s="90">
        <f>VLOOKUP($A67,平滑数据导入!$A$1:$AN$61,COLUMN(平滑数据导入!AM$1),0)</f>
        <v>207607.4181342597</v>
      </c>
      <c r="BI67" s="133">
        <f>VLOOKUP(A67,情景假设!$B$29:$S$42,18,0)/情景假设!S$28*BI$56</f>
        <v>207179.60758392618</v>
      </c>
    </row>
    <row r="68" spans="1:61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K$77*'增加值 (2001-2022, 当年价) '!K68</f>
        <v>7491.8936471671614</v>
      </c>
      <c r="L68" s="19">
        <f>L$77*'增加值 (2001-2022, 当年价) '!L68</f>
        <v>8747.9466481582349</v>
      </c>
      <c r="M68" s="20">
        <f>M$77*'增加值 (2001-2022, 当年价) '!M68</f>
        <v>10373.084381318287</v>
      </c>
      <c r="N68" s="20">
        <f>N$77*'增加值 (2001-2022, 当年价) '!N68</f>
        <v>12436.988896993911</v>
      </c>
      <c r="O68" s="20">
        <f>O$77*'增加值 (2001-2022, 当年价) '!O68</f>
        <v>14112.735955786691</v>
      </c>
      <c r="P68" s="21">
        <f>P$77*'增加值 (2001-2022, 当年价) '!P68</f>
        <v>16462.572780624898</v>
      </c>
      <c r="Q68" s="19">
        <f>Q$77*'增加值 (2001-2022, 当年价) '!Q68</f>
        <v>18426.166061860604</v>
      </c>
      <c r="R68" s="20">
        <f>R$77*'增加值 (2001-2022, 当年价) '!R68</f>
        <v>19548.121738038648</v>
      </c>
      <c r="S68" s="20">
        <f>S$77*'增加值 (2001-2022, 当年价) '!S68</f>
        <v>21019.486568285836</v>
      </c>
      <c r="T68" s="20">
        <f>T$77*'增加值 (2001-2022, 当年价) '!T68</f>
        <v>22473.188187999254</v>
      </c>
      <c r="U68" s="20">
        <f>U$77*'增加值 (2001-2022, 当年价) '!U68</f>
        <v>24396.1</v>
      </c>
      <c r="V68" s="89">
        <f>V$77*'增加值 (2001-2022, 当年价) '!V68</f>
        <v>26044.86897842944</v>
      </c>
      <c r="W68" s="90">
        <f>W$77*'增加值 (2001-2022, 当年价) '!W68</f>
        <v>26850.540684381289</v>
      </c>
      <c r="X68" s="90">
        <f>VLOOKUP($A68,平滑数据导入!$A$1:$AN$61,COLUMN(平滑数据导入!C$1),0)</f>
        <v>28575.711198272282</v>
      </c>
      <c r="Y68" s="90">
        <f>VLOOKUP($A68,平滑数据导入!$A$1:$AN$61,COLUMN(平滑数据导入!D$1),0)</f>
        <v>30400.245726167821</v>
      </c>
      <c r="Z68" s="133">
        <f>VLOOKUP(A68,情景假设!$B$29:$S$42,14,0)/情景假设!O$28*Z$56</f>
        <v>32313.982873531742</v>
      </c>
      <c r="AA68" s="90">
        <f>VLOOKUP($A68,平滑数据导入!$A$1:$AN$61,COLUMN(平滑数据导入!F$1),0)</f>
        <v>34303.193588513866</v>
      </c>
      <c r="AB68" s="90">
        <f>VLOOKUP($A68,平滑数据导入!$A$1:$AN$61,COLUMN(平滑数据导入!G$1),0)</f>
        <v>36350.183063038232</v>
      </c>
      <c r="AC68" s="90">
        <f>VLOOKUP($A68,平滑数据导入!$A$1:$AN$61,COLUMN(平滑数据导入!H$1),0)</f>
        <v>38432.970425865387</v>
      </c>
      <c r="AD68" s="90">
        <f>VLOOKUP($A68,平滑数据导入!$A$1:$AN$61,COLUMN(平滑数据导入!I$1),0)</f>
        <v>40525.083589551723</v>
      </c>
      <c r="AE68" s="141">
        <f>VLOOKUP(A68,情景假设!$B$29:$S$42,15,0)/情景假设!P$28*AE$56</f>
        <v>42595.509966078564</v>
      </c>
      <c r="AF68" s="89">
        <f>VLOOKUP($A68,平滑数据导入!$A$1:$AN$61,COLUMN(平滑数据导入!K$1),0)</f>
        <v>44616.558524869972</v>
      </c>
      <c r="AG68" s="90">
        <f>VLOOKUP($A68,平滑数据导入!$A$1:$AN$61,COLUMN(平滑数据导入!L$1),0)</f>
        <v>46590.077189452408</v>
      </c>
      <c r="AH68" s="90">
        <f>VLOOKUP($A68,平滑数据导入!$A$1:$AN$61,COLUMN(平滑数据导入!M$1),0)</f>
        <v>48529.271418600198</v>
      </c>
      <c r="AI68" s="90">
        <f>VLOOKUP($A68,平滑数据导入!$A$1:$AN$61,COLUMN(平滑数据导入!N$1),0)</f>
        <v>50451.601351202647</v>
      </c>
      <c r="AJ68" s="133">
        <f>VLOOKUP(A68,情景假设!$B$29:$S$42,16,0)/情景假设!Q$28*AJ$56</f>
        <v>52378.715798854028</v>
      </c>
      <c r="AK68" s="90">
        <f>VLOOKUP($A68,平滑数据导入!$A$1:$AN$61,COLUMN(平滑数据导入!P$1),0)</f>
        <v>54330.319985400529</v>
      </c>
      <c r="AL68" s="90">
        <f>VLOOKUP($A68,平滑数据导入!$A$1:$AN$61,COLUMN(平滑数据导入!Q$1),0)</f>
        <v>56304.077239043661</v>
      </c>
      <c r="AM68" s="90">
        <f>VLOOKUP($A68,平滑数据导入!$A$1:$AN$61,COLUMN(平滑数据导入!R$1),0)</f>
        <v>58290.957489183427</v>
      </c>
      <c r="AN68" s="90">
        <f>VLOOKUP($A68,平滑数据导入!$A$1:$AN$61,COLUMN(平滑数据导入!S$1),0)</f>
        <v>60280.922520991349</v>
      </c>
      <c r="AO68" s="90">
        <f>VLOOKUP($A68,平滑数据导入!$A$1:$AN$61,COLUMN(平滑数据导入!T$1),0)</f>
        <v>62262.928487660989</v>
      </c>
      <c r="AP68" s="89">
        <f>VLOOKUP($A68,平滑数据导入!$A$1:$AN$61,COLUMN(平滑数据导入!U$1),0)</f>
        <v>64224.945626352928</v>
      </c>
      <c r="AQ68" s="90">
        <f>VLOOKUP($A68,平滑数据导入!$A$1:$AN$61,COLUMN(平滑数据导入!V$1),0)</f>
        <v>66153.997238561074</v>
      </c>
      <c r="AR68" s="90">
        <f>VLOOKUP($A68,平滑数据导入!$A$1:$AN$61,COLUMN(平滑数据导入!W$1),0)</f>
        <v>68036.219830148446</v>
      </c>
      <c r="AS68" s="90">
        <f>VLOOKUP($A68,平滑数据导入!$A$1:$AN$61,COLUMN(平滑数据导入!X$1),0)</f>
        <v>69856.946054638014</v>
      </c>
      <c r="AT68" s="101">
        <f>VLOOKUP($A68,平滑数据导入!$A$1:$AN$61,COLUMN(平滑数据导入!Y$1),0)</f>
        <v>71600.811758958997</v>
      </c>
      <c r="AU68" s="90">
        <f>VLOOKUP($A68,平滑数据导入!$A$1:$AN$61,COLUMN(平滑数据导入!Z$1),0)</f>
        <v>73251.887989682669</v>
      </c>
      <c r="AV68" s="90">
        <f>VLOOKUP($A68,平滑数据导入!$A$1:$AN$61,COLUMN(平滑数据导入!AA$1),0)</f>
        <v>74793.838279134172</v>
      </c>
      <c r="AW68" s="90">
        <f>VLOOKUP($A68,平滑数据导入!$A$1:$AN$61,COLUMN(平滑数据导入!AB$1),0)</f>
        <v>76210.100897732467</v>
      </c>
      <c r="AX68" s="90">
        <f>VLOOKUP($A68,平滑数据导入!$A$1:$AN$61,COLUMN(平滑数据导入!AC$1),0)</f>
        <v>77484.095039247506</v>
      </c>
      <c r="AY68" s="141">
        <f>VLOOKUP(A68,情景假设!$B$29:$S$42,17,0)/情景假设!R$28*AY$56</f>
        <v>78599.449112085582</v>
      </c>
      <c r="AZ68" s="89">
        <f>VLOOKUP($A68,平滑数据导入!$A$1:$AN$61,COLUMN(平滑数据导入!AE$1),0)</f>
        <v>79540.248460361181</v>
      </c>
      <c r="BA68" s="90">
        <f>VLOOKUP($A68,平滑数据导入!$A$1:$AN$61,COLUMN(平滑数据导入!AF$1),0)</f>
        <v>80291.298956950865</v>
      </c>
      <c r="BB68" s="90">
        <f>VLOOKUP($A68,平滑数据导入!$A$1:$AN$61,COLUMN(平滑数据导入!AG$1),0)</f>
        <v>80838.402025848729</v>
      </c>
      <c r="BC68" s="90">
        <f>VLOOKUP($A68,平滑数据导入!$A$1:$AN$61,COLUMN(平滑数据导入!AH$1),0)</f>
        <v>81168.635796612813</v>
      </c>
      <c r="BD68" s="101">
        <f>VLOOKUP($A68,平滑数据导入!$A$1:$AN$61,COLUMN(平滑数据导入!AI$1),0)</f>
        <v>81270.636307103559</v>
      </c>
      <c r="BE68" s="90">
        <f>VLOOKUP($A68,平滑数据导入!$A$1:$AN$61,COLUMN(平滑数据导入!AJ$1),0)</f>
        <v>81134.871992369037</v>
      </c>
      <c r="BF68" s="90">
        <f>VLOOKUP($A68,平滑数据导入!$A$1:$AN$61,COLUMN(平滑数据导入!AK$1),0)</f>
        <v>80753.904168815207</v>
      </c>
      <c r="BG68" s="90">
        <f>VLOOKUP($A68,平滑数据导入!$A$1:$AN$61,COLUMN(平滑数据导入!AL$1),0)</f>
        <v>80122.6258842549</v>
      </c>
      <c r="BH68" s="90">
        <f>VLOOKUP($A68,平滑数据导入!$A$1:$AN$61,COLUMN(平滑数据导入!AM$1),0)</f>
        <v>79238.471393583881</v>
      </c>
      <c r="BI68" s="133">
        <f>VLOOKUP(A68,情景假设!$B$29:$S$42,18,0)/情景假设!S$28*BI$56</f>
        <v>78101.588668748431</v>
      </c>
    </row>
    <row r="69" spans="1:61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K$77*'增加值 (2001-2022, 当年价) '!K69</f>
        <v>3597.11136382222</v>
      </c>
      <c r="L69" s="19">
        <f>L$77*'增加值 (2001-2022, 当年价) '!L69</f>
        <v>3916.4866138689254</v>
      </c>
      <c r="M69" s="20">
        <f>M$77*'增加值 (2001-2022, 当年价) '!M69</f>
        <v>4326.1858267345506</v>
      </c>
      <c r="N69" s="20">
        <f>N$77*'增加值 (2001-2022, 当年价) '!N69</f>
        <v>4663.8708363727164</v>
      </c>
      <c r="O69" s="20">
        <f>O$77*'增加值 (2001-2022, 当年价) '!O69</f>
        <v>4997.5054726508833</v>
      </c>
      <c r="P69" s="21">
        <f>P$77*'增加值 (2001-2022, 当年价) '!P69</f>
        <v>5645.8461028166093</v>
      </c>
      <c r="Q69" s="19">
        <f>Q$77*'增加值 (2001-2022, 当年价) '!Q69</f>
        <v>6132.0181186612717</v>
      </c>
      <c r="R69" s="20">
        <f>R$77*'增加值 (2001-2022, 当年价) '!R69</f>
        <v>6982.3452602433181</v>
      </c>
      <c r="S69" s="20">
        <f>S$77*'增加值 (2001-2022, 当年价) '!S69</f>
        <v>7431.0051655009729</v>
      </c>
      <c r="T69" s="20">
        <f>T$77*'增加值 (2001-2022, 当年价) '!T69</f>
        <v>8180.9699496434896</v>
      </c>
      <c r="U69" s="20">
        <f>U$77*'增加值 (2001-2022, 当年价) '!U69</f>
        <v>6981.2</v>
      </c>
      <c r="V69" s="89">
        <f>V$77*'增加值 (2001-2022, 当年价) '!V69</f>
        <v>7453.0125434889851</v>
      </c>
      <c r="W69" s="90">
        <f>W$77*'增加值 (2001-2022, 当年价) '!W69</f>
        <v>7683.5639559520841</v>
      </c>
      <c r="X69" s="90">
        <f>VLOOKUP($A69,平滑数据导入!$A$1:$AN$61,COLUMN(平滑数据导入!C$1),0)</f>
        <v>8290.3644286987601</v>
      </c>
      <c r="Y69" s="90">
        <f>VLOOKUP($A69,平滑数据导入!$A$1:$AN$61,COLUMN(平滑数据导入!D$1),0)</f>
        <v>8980.754156915491</v>
      </c>
      <c r="Z69" s="133">
        <f>VLOOKUP(A69,情景假设!$B$29:$S$42,14,0)/情景假设!O$28*Z$56</f>
        <v>9755.4260258266422</v>
      </c>
      <c r="AA69" s="90">
        <f>VLOOKUP($A69,平滑数据导入!$A$1:$AN$61,COLUMN(平滑数据导入!F$1),0)</f>
        <v>10613.04214187477</v>
      </c>
      <c r="AB69" s="90">
        <f>VLOOKUP($A69,平滑数据导入!$A$1:$AN$61,COLUMN(平滑数据导入!G$1),0)</f>
        <v>11549.40802493499</v>
      </c>
      <c r="AC69" s="90">
        <f>VLOOKUP($A69,平滑数据导入!$A$1:$AN$61,COLUMN(平滑数据导入!H$1),0)</f>
        <v>12556.59013865051</v>
      </c>
      <c r="AD69" s="90">
        <f>VLOOKUP($A69,平滑数据导入!$A$1:$AN$61,COLUMN(平滑数据导入!I$1),0)</f>
        <v>13622.030280502429</v>
      </c>
      <c r="AE69" s="141">
        <f>VLOOKUP(A69,情景假设!$B$29:$S$42,15,0)/情景假设!P$28*AE$56</f>
        <v>14727.738471486095</v>
      </c>
      <c r="AF69" s="89">
        <f>VLOOKUP($A69,平滑数据导入!$A$1:$AN$61,COLUMN(平滑数据导入!K$1),0)</f>
        <v>15853.743576966421</v>
      </c>
      <c r="AG69" s="90">
        <f>VLOOKUP($A69,平滑数据导入!$A$1:$AN$61,COLUMN(平滑数据导入!L$1),0)</f>
        <v>16992.312149423738</v>
      </c>
      <c r="AH69" s="90">
        <f>VLOOKUP($A69,平滑数据导入!$A$1:$AN$61,COLUMN(平滑数据导入!M$1),0)</f>
        <v>18139.813567471188</v>
      </c>
      <c r="AI69" s="90">
        <f>VLOOKUP($A69,平滑数据导入!$A$1:$AN$61,COLUMN(平滑数据导入!N$1),0)</f>
        <v>19293.35105656704</v>
      </c>
      <c r="AJ69" s="133">
        <f>VLOOKUP(A69,情景假设!$B$29:$S$42,16,0)/情景假设!Q$28*AJ$56</f>
        <v>20450.872046180444</v>
      </c>
      <c r="AK69" s="90">
        <f>VLOOKUP($A69,平滑数据导入!$A$1:$AN$61,COLUMN(平滑数据导入!P$1),0)</f>
        <v>21610.376253129889</v>
      </c>
      <c r="AL69" s="90">
        <f>VLOOKUP($A69,平滑数据导入!$A$1:$AN$61,COLUMN(平滑数据导入!Q$1),0)</f>
        <v>22766.95677870126</v>
      </c>
      <c r="AM69" s="90">
        <f>VLOOKUP($A69,平滑数据导入!$A$1:$AN$61,COLUMN(平滑数据导入!R$1),0)</f>
        <v>23914.85898300412</v>
      </c>
      <c r="AN69" s="90">
        <f>VLOOKUP($A69,平滑数据导入!$A$1:$AN$61,COLUMN(平滑数据导入!S$1),0)</f>
        <v>25048.33603015438</v>
      </c>
      <c r="AO69" s="90">
        <f>VLOOKUP($A69,平滑数据导入!$A$1:$AN$61,COLUMN(平滑数据导入!T$1),0)</f>
        <v>26161.71324960488</v>
      </c>
      <c r="AP69" s="89">
        <f>VLOOKUP($A69,平滑数据导入!$A$1:$AN$61,COLUMN(平滑数据导入!U$1),0)</f>
        <v>27249.45082448321</v>
      </c>
      <c r="AQ69" s="90">
        <f>VLOOKUP($A69,平滑数据导入!$A$1:$AN$61,COLUMN(平滑数据导入!V$1),0)</f>
        <v>28306.203735330539</v>
      </c>
      <c r="AR69" s="90">
        <f>VLOOKUP($A69,平滑数据导入!$A$1:$AN$61,COLUMN(平滑数据导入!W$1),0)</f>
        <v>29326.87797806802</v>
      </c>
      <c r="AS69" s="90">
        <f>VLOOKUP($A69,平滑数据导入!$A$1:$AN$61,COLUMN(平滑数据导入!X$1),0)</f>
        <v>30306.682185819289</v>
      </c>
      <c r="AT69" s="101">
        <f>VLOOKUP($A69,平滑数据导入!$A$1:$AN$61,COLUMN(平滑数据导入!Y$1),0)</f>
        <v>31241.17391128977</v>
      </c>
      <c r="AU69" s="90">
        <f>VLOOKUP($A69,平滑数据导入!$A$1:$AN$61,COLUMN(平滑数据导入!Z$1),0)</f>
        <v>32126.299965382139</v>
      </c>
      <c r="AV69" s="90">
        <f>VLOOKUP($A69,平滑数据导入!$A$1:$AN$61,COLUMN(平滑数据导入!AA$1),0)</f>
        <v>32958.430354141557</v>
      </c>
      <c r="AW69" s="90">
        <f>VLOOKUP($A69,平滑数据导入!$A$1:$AN$61,COLUMN(平滑数据导入!AB$1),0)</f>
        <v>33734.38550556163</v>
      </c>
      <c r="AX69" s="90">
        <f>VLOOKUP($A69,平滑数据导入!$A$1:$AN$61,COLUMN(平滑数据导入!AC$1),0)</f>
        <v>34451.456626050131</v>
      </c>
      <c r="AY69" s="141">
        <f>VLOOKUP(A69,情景假设!$B$29:$S$42,17,0)/情景假设!R$28*AY$56</f>
        <v>35107.419169581117</v>
      </c>
      <c r="AZ69" s="89">
        <f>VLOOKUP($A69,平滑数据导入!$A$1:$AN$61,COLUMN(平滑数据导入!AE$1),0)</f>
        <v>35700.539537315897</v>
      </c>
      <c r="BA69" s="90">
        <f>VLOOKUP($A69,平滑数据导入!$A$1:$AN$61,COLUMN(平滑数据导入!AF$1),0)</f>
        <v>36229.575248859328</v>
      </c>
      <c r="BB69" s="90">
        <f>VLOOKUP($A69,平滑数据导入!$A$1:$AN$61,COLUMN(平滑数据导入!AG$1),0)</f>
        <v>36693.768935968546</v>
      </c>
      <c r="BC69" s="90">
        <f>VLOOKUP($A69,平滑数据导入!$A$1:$AN$61,COLUMN(平滑数据导入!AH$1),0)</f>
        <v>37092.836603719406</v>
      </c>
      <c r="BD69" s="101">
        <f>VLOOKUP($A69,平滑数据导入!$A$1:$AN$61,COLUMN(平滑数据导入!AI$1),0)</f>
        <v>37426.950681685499</v>
      </c>
      <c r="BE69" s="90">
        <f>VLOOKUP($A69,平滑数据导入!$A$1:$AN$61,COLUMN(平滑数据导入!AJ$1),0)</f>
        <v>37696.718448043888</v>
      </c>
      <c r="BF69" s="90">
        <f>VLOOKUP($A69,平滑数据导入!$A$1:$AN$61,COLUMN(平滑数据导入!AK$1),0)</f>
        <v>37903.156452631432</v>
      </c>
      <c r="BG69" s="90">
        <f>VLOOKUP($A69,平滑数据导入!$A$1:$AN$61,COLUMN(平滑数据导入!AL$1),0)</f>
        <v>38047.661591308919</v>
      </c>
      <c r="BH69" s="90">
        <f>VLOOKUP($A69,平滑数据导入!$A$1:$AN$61,COLUMN(平滑数据导入!AM$1),0)</f>
        <v>38131.979494399318</v>
      </c>
      <c r="BI69" s="133">
        <f>VLOOKUP(A69,情景假设!$B$29:$S$42,18,0)/情景假设!S$28*BI$56</f>
        <v>38158.170887698194</v>
      </c>
    </row>
    <row r="70" spans="1:61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K$77*'增加值 (2001-2022, 当年价) '!K70</f>
        <v>20738.631195312271</v>
      </c>
      <c r="L70" s="25">
        <f>L$77*'增加值 (2001-2022, 当年价) '!L70</f>
        <v>21289.323639356655</v>
      </c>
      <c r="M70" s="26">
        <f>M$77*'增加值 (2001-2022, 当年价) '!M70</f>
        <v>23139.718384670832</v>
      </c>
      <c r="N70" s="26">
        <f>N$77*'增加值 (2001-2022, 当年价) '!N70</f>
        <v>24450.409640985366</v>
      </c>
      <c r="O70" s="26">
        <f>O$77*'增加值 (2001-2022, 当年价) '!O70</f>
        <v>27104.108731221386</v>
      </c>
      <c r="P70" s="27">
        <f>P$77*'增加值 (2001-2022, 当年价) '!P70</f>
        <v>31717.662775723042</v>
      </c>
      <c r="Q70" s="25">
        <f>Q$77*'增加值 (2001-2022, 当年价) '!Q70</f>
        <v>37197.627670673319</v>
      </c>
      <c r="R70" s="26">
        <f>R$77*'增加值 (2001-2022, 当年价) '!R70</f>
        <v>40941.789861161691</v>
      </c>
      <c r="S70" s="26">
        <f>S$77*'增加值 (2001-2022, 当年价) '!S70</f>
        <v>44703.37925914779</v>
      </c>
      <c r="T70" s="26">
        <f>T$77*'增加值 (2001-2022, 当年价) '!T70</f>
        <v>48044.022263810512</v>
      </c>
      <c r="U70" s="26">
        <f>U$77*'增加值 (2001-2022, 当年价) '!U70</f>
        <v>49261.9</v>
      </c>
      <c r="V70" s="91">
        <f>V$77*'增加值 (2001-2022, 当年价) '!V70</f>
        <v>52591.181833510003</v>
      </c>
      <c r="W70" s="92">
        <f>W$77*'增加值 (2001-2022, 当年价) '!W70</f>
        <v>54218.036905075918</v>
      </c>
      <c r="X70" s="92">
        <f>VLOOKUP($A70,平滑数据导入!$A$1:$AN$61,COLUMN(平滑数据导入!C$1),0)</f>
        <v>58696.322691136083</v>
      </c>
      <c r="Y70" s="92">
        <f>VLOOKUP($A70,平滑数据导入!$A$1:$AN$61,COLUMN(平滑数据导入!D$1),0)</f>
        <v>63537.251994139799</v>
      </c>
      <c r="Z70" s="134">
        <f>VLOOKUP(A70,情景假设!$B$29:$S$42,14,0)/情景假设!O$28*Z$56</f>
        <v>68730.706639523036</v>
      </c>
      <c r="AA70" s="92">
        <f>VLOOKUP($A70,平滑数据导入!$A$1:$AN$61,COLUMN(平滑数据导入!F$1),0)</f>
        <v>74256.154861725678</v>
      </c>
      <c r="AB70" s="92">
        <f>VLOOKUP($A70,平滑数据导入!$A$1:$AN$61,COLUMN(平滑数据导入!G$1),0)</f>
        <v>80080.686852106941</v>
      </c>
      <c r="AC70" s="92">
        <f>VLOOKUP($A70,平滑数据导入!$A$1:$AN$61,COLUMN(平滑数据导入!H$1),0)</f>
        <v>86157.130374772605</v>
      </c>
      <c r="AD70" s="92">
        <f>VLOOKUP($A70,平滑数据导入!$A$1:$AN$61,COLUMN(平滑数据导入!I$1),0)</f>
        <v>92422.38760433947</v>
      </c>
      <c r="AE70" s="142">
        <f>VLOOKUP(A70,情景假设!$B$29:$S$42,15,0)/情景假设!P$28*AE$56</f>
        <v>98796.164050112158</v>
      </c>
      <c r="AF70" s="91">
        <f>VLOOKUP($A70,平滑数据导入!$A$1:$AN$61,COLUMN(平滑数据导入!K$1),0)</f>
        <v>105199.85806470391</v>
      </c>
      <c r="AG70" s="92">
        <f>VLOOKUP($A70,平滑数据导入!$A$1:$AN$61,COLUMN(平滑数据导入!L$1),0)</f>
        <v>111624.84827629389</v>
      </c>
      <c r="AH70" s="92">
        <f>VLOOKUP($A70,平滑数据导入!$A$1:$AN$61,COLUMN(平滑数据导入!M$1),0)</f>
        <v>118090.93546888221</v>
      </c>
      <c r="AI70" s="92">
        <f>VLOOKUP($A70,平滑数据导入!$A$1:$AN$61,COLUMN(平滑数据导入!N$1),0)</f>
        <v>124629.6843316794</v>
      </c>
      <c r="AJ70" s="134">
        <f>VLOOKUP(A70,情景假设!$B$29:$S$42,16,0)/情景假设!Q$28*AJ$56</f>
        <v>131284.95965478738</v>
      </c>
      <c r="AK70" s="92">
        <f>VLOOKUP($A70,平滑数据导入!$A$1:$AN$61,COLUMN(平滑数据导入!P$1),0)</f>
        <v>138099.32068287709</v>
      </c>
      <c r="AL70" s="92">
        <f>VLOOKUP($A70,平滑数据导入!$A$1:$AN$61,COLUMN(平滑数据导入!Q$1),0)</f>
        <v>145066.35688300949</v>
      </c>
      <c r="AM70" s="92">
        <f>VLOOKUP($A70,平滑数据导入!$A$1:$AN$61,COLUMN(平滑数据导入!R$1),0)</f>
        <v>152163.75321217041</v>
      </c>
      <c r="AN70" s="92">
        <f>VLOOKUP($A70,平滑数据导入!$A$1:$AN$61,COLUMN(平滑数据导入!S$1),0)</f>
        <v>159366.05209364789</v>
      </c>
      <c r="AO70" s="92">
        <f>VLOOKUP($A70,平滑数据导入!$A$1:$AN$61,COLUMN(平滑数据导入!T$1),0)</f>
        <v>166644.60624043091</v>
      </c>
      <c r="AP70" s="91">
        <f>VLOOKUP($A70,平滑数据导入!$A$1:$AN$61,COLUMN(平滑数据导入!U$1),0)</f>
        <v>173967.5726075531</v>
      </c>
      <c r="AQ70" s="92">
        <f>VLOOKUP($A70,平滑数据导入!$A$1:$AN$61,COLUMN(平滑数据导入!V$1),0)</f>
        <v>181299.95276046111</v>
      </c>
      <c r="AR70" s="92">
        <f>VLOOKUP($A70,平滑数据导入!$A$1:$AN$61,COLUMN(平滑数据导入!W$1),0)</f>
        <v>188603.68463953209</v>
      </c>
      <c r="AS70" s="92">
        <f>VLOOKUP($A70,平滑数据导入!$A$1:$AN$61,COLUMN(平滑数据导入!X$1),0)</f>
        <v>195837.79022015931</v>
      </c>
      <c r="AT70" s="102">
        <f>VLOOKUP($A70,平滑数据导入!$A$1:$AN$61,COLUMN(平滑数据导入!Y$1),0)</f>
        <v>202958.5829012412</v>
      </c>
      <c r="AU70" s="92">
        <f>VLOOKUP($A70,平滑数据导入!$A$1:$AN$61,COLUMN(平滑数据导入!Z$1),0)</f>
        <v>209919.93759481559</v>
      </c>
      <c r="AV70" s="92">
        <f>VLOOKUP($A70,平滑数据导入!$A$1:$AN$61,COLUMN(平滑数据导入!AA$1),0)</f>
        <v>216673.62543374079</v>
      </c>
      <c r="AW70" s="92">
        <f>VLOOKUP($A70,平滑数据导入!$A$1:$AN$61,COLUMN(平滑数据导入!AB$1),0)</f>
        <v>223169.71376714151</v>
      </c>
      <c r="AX70" s="92">
        <f>VLOOKUP($A70,平滑数据导入!$A$1:$AN$61,COLUMN(平滑数据导入!AC$1),0)</f>
        <v>229357.03068640659</v>
      </c>
      <c r="AY70" s="142">
        <f>VLOOKUP(A70,情景假设!$B$29:$S$42,17,0)/情景假设!R$28*AY$56</f>
        <v>235183.69173767709</v>
      </c>
      <c r="AZ70" s="91">
        <f>VLOOKUP($A70,平滑数据导入!$A$1:$AN$61,COLUMN(平滑数据导入!AE$1),0)</f>
        <v>240597.68475836911</v>
      </c>
      <c r="BA70" s="92">
        <f>VLOOKUP($A70,平滑数据导入!$A$1:$AN$61,COLUMN(平滑数据导入!AF$1),0)</f>
        <v>245547.5069623501</v>
      </c>
      <c r="BB70" s="92">
        <f>VLOOKUP($A70,平滑数据导入!$A$1:$AN$61,COLUMN(平滑数据导入!AG$1),0)</f>
        <v>249982.8465366801</v>
      </c>
      <c r="BC70" s="92">
        <f>VLOOKUP($A70,平滑数据导入!$A$1:$AN$61,COLUMN(平滑数据导入!AH$1),0)</f>
        <v>253855.2991558559</v>
      </c>
      <c r="BD70" s="102">
        <f>VLOOKUP($A70,平滑数据导入!$A$1:$AN$61,COLUMN(平滑数据导入!AI$1),0)</f>
        <v>257119.10802780581</v>
      </c>
      <c r="BE70" s="92">
        <f>VLOOKUP($A70,平滑数据导入!$A$1:$AN$61,COLUMN(平滑数据导入!AJ$1),0)</f>
        <v>259731.9144253397</v>
      </c>
      <c r="BF70" s="92">
        <f>VLOOKUP($A70,平滑数据导入!$A$1:$AN$61,COLUMN(平滑数据导入!AK$1),0)</f>
        <v>261655.50419652031</v>
      </c>
      <c r="BG70" s="92">
        <f>VLOOKUP($A70,平滑数据导入!$A$1:$AN$61,COLUMN(平滑数据导入!AL$1),0)</f>
        <v>262856.53455778892</v>
      </c>
      <c r="BH70" s="92">
        <f>VLOOKUP($A70,平滑数据导入!$A$1:$AN$61,COLUMN(平滑数据导入!AM$1),0)</f>
        <v>263307.22462275898</v>
      </c>
      <c r="BI70" s="134">
        <f>VLOOKUP(A70,情景假设!$B$29:$S$42,18,0)/情景假设!S$28*BI$56</f>
        <v>262985.99267080729</v>
      </c>
    </row>
    <row r="74" spans="1:61" x14ac:dyDescent="0.2">
      <c r="A74" s="143" t="s">
        <v>202</v>
      </c>
      <c r="B74" s="122">
        <v>1.083</v>
      </c>
      <c r="C74" s="122">
        <v>1.091</v>
      </c>
      <c r="D74" s="122">
        <v>1.1000000000000001</v>
      </c>
      <c r="E74" s="122">
        <v>1.101</v>
      </c>
      <c r="F74" s="122">
        <v>1.1140000000000001</v>
      </c>
      <c r="G74" s="122">
        <v>1.127</v>
      </c>
      <c r="H74" s="122">
        <v>1.1420000000000001</v>
      </c>
      <c r="I74" s="122">
        <v>1.097</v>
      </c>
      <c r="J74" s="122">
        <v>1.0940000000000001</v>
      </c>
      <c r="K74" s="122">
        <v>1.1059999999999999</v>
      </c>
      <c r="L74" s="122">
        <v>1.0959999999999999</v>
      </c>
      <c r="M74" s="122">
        <v>1.079</v>
      </c>
      <c r="N74" s="122">
        <v>1.0780000000000001</v>
      </c>
      <c r="O74" s="122">
        <v>1.0740000000000001</v>
      </c>
      <c r="P74" s="122">
        <v>1.07</v>
      </c>
      <c r="Q74" s="122">
        <v>1.0680000000000001</v>
      </c>
      <c r="R74" s="122">
        <v>1.069</v>
      </c>
      <c r="S74" s="122">
        <v>1.0669999999999999</v>
      </c>
      <c r="T74" s="122">
        <v>1.06</v>
      </c>
      <c r="U74" s="122">
        <v>1.022</v>
      </c>
      <c r="V74" s="122">
        <v>1.0840000000000001</v>
      </c>
      <c r="W74" s="122">
        <v>1.03</v>
      </c>
    </row>
    <row r="75" spans="1:61" x14ac:dyDescent="0.2">
      <c r="A75" s="5" t="s">
        <v>203</v>
      </c>
      <c r="B75" s="144">
        <f t="shared" ref="B75:S75" si="13">C75/C74</f>
        <v>0.20569891495237672</v>
      </c>
      <c r="C75" s="144">
        <f t="shared" si="13"/>
        <v>0.22441751621304298</v>
      </c>
      <c r="D75" s="144">
        <f t="shared" si="13"/>
        <v>0.24685926783434731</v>
      </c>
      <c r="E75" s="144">
        <f t="shared" si="13"/>
        <v>0.27179205388561639</v>
      </c>
      <c r="F75" s="144">
        <f t="shared" si="13"/>
        <v>0.30277634802857667</v>
      </c>
      <c r="G75" s="144">
        <f t="shared" si="13"/>
        <v>0.34122894422820593</v>
      </c>
      <c r="H75" s="144">
        <f t="shared" si="13"/>
        <v>0.38968345430861123</v>
      </c>
      <c r="I75" s="144">
        <f t="shared" si="13"/>
        <v>0.42748274937654651</v>
      </c>
      <c r="J75" s="144">
        <f t="shared" si="13"/>
        <v>0.46766612781794192</v>
      </c>
      <c r="K75" s="144">
        <f t="shared" si="13"/>
        <v>0.51723873736664372</v>
      </c>
      <c r="L75" s="144">
        <f t="shared" si="13"/>
        <v>0.56689365615384146</v>
      </c>
      <c r="M75" s="144">
        <f t="shared" si="13"/>
        <v>0.61167825498999495</v>
      </c>
      <c r="N75" s="144">
        <f t="shared" si="13"/>
        <v>0.65938915887921457</v>
      </c>
      <c r="O75" s="144">
        <f t="shared" si="13"/>
        <v>0.70818395663627653</v>
      </c>
      <c r="P75" s="144">
        <f t="shared" si="13"/>
        <v>0.75775683360081592</v>
      </c>
      <c r="Q75" s="144">
        <f t="shared" si="13"/>
        <v>0.8092842982856715</v>
      </c>
      <c r="R75" s="144">
        <f t="shared" si="13"/>
        <v>0.86512491486738274</v>
      </c>
      <c r="S75" s="144">
        <f t="shared" si="13"/>
        <v>0.92308828416349731</v>
      </c>
      <c r="T75" s="144">
        <f>U75/U74</f>
        <v>0.97847358121330719</v>
      </c>
      <c r="U75">
        <v>1</v>
      </c>
      <c r="V75">
        <f>U75*V74</f>
        <v>1.0840000000000001</v>
      </c>
      <c r="W75">
        <f>V75*W74</f>
        <v>1.1165200000000002</v>
      </c>
    </row>
    <row r="76" spans="1:61" x14ac:dyDescent="0.2">
      <c r="A76" s="5" t="s">
        <v>204</v>
      </c>
      <c r="B76" s="145">
        <f>$U$76*B75</f>
        <v>208489.63213153562</v>
      </c>
      <c r="C76" s="145">
        <f t="shared" ref="C76:S76" si="14">$U$76*C75</f>
        <v>227462.18865550534</v>
      </c>
      <c r="D76" s="145">
        <f t="shared" si="14"/>
        <v>250208.40752105589</v>
      </c>
      <c r="E76" s="145">
        <f t="shared" si="14"/>
        <v>275479.45668068255</v>
      </c>
      <c r="F76" s="145">
        <f t="shared" si="14"/>
        <v>306884.11474228039</v>
      </c>
      <c r="G76" s="145">
        <f t="shared" si="14"/>
        <v>345858.39731455001</v>
      </c>
      <c r="H76" s="145">
        <f t="shared" si="14"/>
        <v>394970.28973321617</v>
      </c>
      <c r="I76" s="145">
        <f t="shared" si="14"/>
        <v>433282.40783733811</v>
      </c>
      <c r="J76" s="145">
        <f t="shared" si="14"/>
        <v>474010.95417404792</v>
      </c>
      <c r="K76" s="145">
        <f t="shared" si="14"/>
        <v>524256.11531649699</v>
      </c>
      <c r="L76" s="145">
        <f t="shared" si="14"/>
        <v>574584.70238688064</v>
      </c>
      <c r="M76" s="145">
        <f t="shared" si="14"/>
        <v>619976.89387544419</v>
      </c>
      <c r="N76" s="145">
        <f t="shared" si="14"/>
        <v>668335.0915977289</v>
      </c>
      <c r="O76" s="145">
        <f t="shared" si="14"/>
        <v>717791.88837596087</v>
      </c>
      <c r="P76" s="145">
        <f t="shared" si="14"/>
        <v>768037.32056227815</v>
      </c>
      <c r="Q76" s="145">
        <f t="shared" si="14"/>
        <v>820263.85836051323</v>
      </c>
      <c r="R76" s="145">
        <f t="shared" si="14"/>
        <v>876862.06458738854</v>
      </c>
      <c r="S76" s="145">
        <f t="shared" si="14"/>
        <v>935611.82291474345</v>
      </c>
      <c r="T76" s="145">
        <f>$U$76*T75</f>
        <v>991748.53228962817</v>
      </c>
      <c r="U76" s="20">
        <f>'增加值 (2001-2022, 当年价) '!U2</f>
        <v>1013567</v>
      </c>
      <c r="V76" s="145">
        <f>$U$76*V75</f>
        <v>1098706.628</v>
      </c>
      <c r="W76" s="145">
        <f>$U$76*W75</f>
        <v>1131667.8268400002</v>
      </c>
    </row>
    <row r="77" spans="1:61" x14ac:dyDescent="0.2">
      <c r="A77" s="5" t="s">
        <v>205</v>
      </c>
      <c r="B77" s="146">
        <f>B76/'增加值 (2001-2022, 当年价) '!B2</f>
        <v>1.880604386234334</v>
      </c>
      <c r="C77" s="146">
        <f>C76/'增加值 (2001-2022, 当年价) '!C2</f>
        <v>1.8687729827905077</v>
      </c>
      <c r="D77" s="146">
        <f>D76/'增加值 (2001-2022, 当年价) '!D2</f>
        <v>1.8207303599209435</v>
      </c>
      <c r="E77" s="146">
        <f>E76/'增加值 (2001-2022, 当年价) '!E2</f>
        <v>1.7021695269820634</v>
      </c>
      <c r="F77" s="146">
        <f>F76/'增加值 (2001-2022, 当年价) '!F2</f>
        <v>1.6382976557212348</v>
      </c>
      <c r="G77" s="146">
        <f>G76/'增加值 (2001-2022, 当年价) '!G2</f>
        <v>1.5761062772236869</v>
      </c>
      <c r="H77" s="146">
        <f>H76/'增加值 (2001-2022, 当年价) '!H2</f>
        <v>1.462353016850966</v>
      </c>
      <c r="I77" s="146">
        <f>I76/'增加值 (2001-2022, 当年价) '!I2</f>
        <v>1.3572113916330555</v>
      </c>
      <c r="J77" s="146">
        <f>J76/'增加值 (2001-2022, 当年价) '!J2</f>
        <v>1.3600771328803327</v>
      </c>
      <c r="K77" s="146">
        <f>K76/'增加值 (2001-2022, 当年价) '!K2</f>
        <v>1.2720979466782969</v>
      </c>
      <c r="L77" s="146">
        <f>L76/'增加值 (2001-2022, 当年价) '!L2</f>
        <v>1.1775719696530038</v>
      </c>
      <c r="M77" s="146">
        <f>M76/'增加值 (2001-2022, 当年价) '!M2</f>
        <v>1.1511324109239931</v>
      </c>
      <c r="N77" s="146">
        <f>N76/'增加值 (2001-2022, 当年价) '!N2</f>
        <v>1.1271105721193642</v>
      </c>
      <c r="O77" s="146">
        <f>O76/'增加值 (2001-2022, 当年价) '!O2</f>
        <v>1.1153403425024848</v>
      </c>
      <c r="P77" s="146">
        <f>P76/'增加值 (2001-2022, 当年价) '!P2</f>
        <v>1.1149425535796456</v>
      </c>
      <c r="Q77" s="146">
        <f>Q76/'增加值 (2001-2022, 当年价) '!Q2</f>
        <v>1.0989673677660976</v>
      </c>
      <c r="R77" s="146">
        <f>R76/'增加值 (2001-2022, 当年价) '!R2</f>
        <v>1.0538752770011348</v>
      </c>
      <c r="S77" s="146">
        <f>S76/'增加值 (2001-2022, 当年价) '!S2</f>
        <v>1.0177646673196517</v>
      </c>
      <c r="T77" s="146">
        <f>T76/'增加值 (2001-2022, 当年价) '!T2</f>
        <v>1.0053048673650729</v>
      </c>
      <c r="U77" s="146">
        <f>U76/'增加值 (2001-2022, 当年价) '!U2</f>
        <v>1</v>
      </c>
      <c r="V77" s="146">
        <f>V76/'增加值 (2001-2022, 当年价) '!V2</f>
        <v>0.95603137385935189</v>
      </c>
      <c r="W77" s="146">
        <f>W76/'增加值 (2001-2022, 当年价) '!W2</f>
        <v>0.93510254016006533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FFCC-DCB5-438D-B47B-3BD7C6D0FC4B}">
  <dimension ref="A1:AA70"/>
  <sheetViews>
    <sheetView topLeftCell="C1" zoomScale="90" zoomScaleNormal="90" workbookViewId="0"/>
  </sheetViews>
  <sheetFormatPr defaultRowHeight="14.25" x14ac:dyDescent="0.2"/>
  <cols>
    <col min="1" max="1" width="34.25" customWidth="1"/>
    <col min="2" max="23" width="9.875" customWidth="1"/>
    <col min="25" max="25" width="9.5" customWidth="1"/>
    <col min="26" max="26" width="14.375" customWidth="1"/>
    <col min="27" max="27" width="12.5" customWidth="1"/>
    <col min="28" max="28" width="11.75" customWidth="1"/>
  </cols>
  <sheetData>
    <row r="1" spans="1:27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3">
        <v>2022</v>
      </c>
      <c r="Z1" s="57"/>
    </row>
    <row r="2" spans="1:27" s="9" customFormat="1" x14ac:dyDescent="0.2">
      <c r="A2" s="4" t="s">
        <v>0</v>
      </c>
      <c r="B2" s="6">
        <v>110863.1</v>
      </c>
      <c r="C2" s="7">
        <v>121717.4</v>
      </c>
      <c r="D2" s="7">
        <v>137422</v>
      </c>
      <c r="E2" s="7">
        <v>161840.20000000001</v>
      </c>
      <c r="F2" s="7">
        <v>187318.9</v>
      </c>
      <c r="G2" s="6">
        <v>219438.5</v>
      </c>
      <c r="H2" s="7">
        <v>270092.3</v>
      </c>
      <c r="I2" s="7">
        <v>319244.59999999998</v>
      </c>
      <c r="J2" s="7">
        <v>348517.7</v>
      </c>
      <c r="K2" s="8">
        <v>412119.3</v>
      </c>
      <c r="L2" s="6">
        <v>487940.2</v>
      </c>
      <c r="M2" s="7">
        <v>538580</v>
      </c>
      <c r="N2" s="7">
        <v>592963.19999999995</v>
      </c>
      <c r="O2" s="7">
        <v>643563.1</v>
      </c>
      <c r="P2" s="8">
        <v>688858.2</v>
      </c>
      <c r="Q2" s="6">
        <v>746395.1</v>
      </c>
      <c r="R2" s="7">
        <v>832035.9</v>
      </c>
      <c r="S2" s="7">
        <v>919281.1</v>
      </c>
      <c r="T2" s="7">
        <v>986515.2</v>
      </c>
      <c r="U2" s="8">
        <v>1013567</v>
      </c>
      <c r="V2" s="6">
        <v>1149237</v>
      </c>
      <c r="W2" s="8">
        <v>1210207.2</v>
      </c>
    </row>
    <row r="3" spans="1:27" x14ac:dyDescent="0.2">
      <c r="A3" s="10" t="s">
        <v>1</v>
      </c>
      <c r="B3" s="11">
        <v>15780</v>
      </c>
      <c r="C3" s="12">
        <v>16535.7</v>
      </c>
      <c r="D3" s="12">
        <v>17380.599999999999</v>
      </c>
      <c r="E3" s="12">
        <v>21410.7</v>
      </c>
      <c r="F3" s="13">
        <v>22416.2</v>
      </c>
      <c r="G3" s="11">
        <v>24036.400000000001</v>
      </c>
      <c r="H3" s="12">
        <v>28483.7</v>
      </c>
      <c r="I3" s="12">
        <v>33428.1</v>
      </c>
      <c r="J3" s="12">
        <v>34659.699999999997</v>
      </c>
      <c r="K3" s="13">
        <v>39619</v>
      </c>
      <c r="L3" s="11">
        <v>46122.6</v>
      </c>
      <c r="M3" s="12">
        <v>50581.2</v>
      </c>
      <c r="N3" s="12">
        <v>54692.4</v>
      </c>
      <c r="O3" s="12">
        <v>57472.2</v>
      </c>
      <c r="P3" s="13">
        <v>59852.6</v>
      </c>
      <c r="Q3" s="11">
        <v>62451</v>
      </c>
      <c r="R3" s="12">
        <v>64660</v>
      </c>
      <c r="S3" s="12">
        <v>67558.7</v>
      </c>
      <c r="T3" s="12">
        <v>73576.899999999994</v>
      </c>
      <c r="U3" s="13">
        <v>81396.5</v>
      </c>
      <c r="V3" s="11">
        <v>86775</v>
      </c>
      <c r="W3" s="13">
        <v>92582.399999999994</v>
      </c>
      <c r="Y3" s="153">
        <f>U3/U$2</f>
        <v>8.0306975266558597E-2</v>
      </c>
      <c r="Z3" s="153">
        <f t="shared" ref="Z3:AA5" si="0">V3/V$2</f>
        <v>7.5506618739215672E-2</v>
      </c>
      <c r="AA3" s="153">
        <f t="shared" si="0"/>
        <v>7.6501280111372666E-2</v>
      </c>
    </row>
    <row r="4" spans="1:27" x14ac:dyDescent="0.2">
      <c r="A4" s="14" t="s">
        <v>2</v>
      </c>
      <c r="B4" s="11">
        <v>43854.3</v>
      </c>
      <c r="C4" s="12">
        <v>47774.9</v>
      </c>
      <c r="D4" s="12">
        <v>55362.2</v>
      </c>
      <c r="E4" s="12">
        <v>65774.899999999994</v>
      </c>
      <c r="F4" s="13">
        <v>77958.3</v>
      </c>
      <c r="G4" s="11">
        <v>92235.8</v>
      </c>
      <c r="H4" s="12">
        <v>111690.8</v>
      </c>
      <c r="I4" s="12">
        <v>131724</v>
      </c>
      <c r="J4" s="12">
        <v>138092.6</v>
      </c>
      <c r="K4" s="13">
        <v>165123.1</v>
      </c>
      <c r="L4" s="11">
        <v>195139.1</v>
      </c>
      <c r="M4" s="12">
        <v>208901.4</v>
      </c>
      <c r="N4" s="12">
        <v>222333.2</v>
      </c>
      <c r="O4" s="12">
        <v>233197.4</v>
      </c>
      <c r="P4" s="13">
        <v>234968.9</v>
      </c>
      <c r="Q4" s="11">
        <v>245406.4</v>
      </c>
      <c r="R4" s="12">
        <v>275119.3</v>
      </c>
      <c r="S4" s="12">
        <v>301089.3</v>
      </c>
      <c r="T4" s="12">
        <v>311858.7</v>
      </c>
      <c r="U4" s="13">
        <v>312902.90000000002</v>
      </c>
      <c r="V4" s="11">
        <v>372575.3</v>
      </c>
      <c r="W4" s="13">
        <v>401644.3</v>
      </c>
      <c r="Y4" s="153">
        <f t="shared" ref="Y4:Y5" si="1">U4/U$2</f>
        <v>0.30871456943645564</v>
      </c>
      <c r="Z4" s="153">
        <f t="shared" si="0"/>
        <v>0.32419361715642636</v>
      </c>
      <c r="AA4" s="153">
        <f t="shared" si="0"/>
        <v>0.33188060689111748</v>
      </c>
    </row>
    <row r="5" spans="1:27" x14ac:dyDescent="0.2">
      <c r="A5" s="14" t="s">
        <v>3</v>
      </c>
      <c r="B5" s="11">
        <v>5945.5</v>
      </c>
      <c r="C5" s="12">
        <v>6482.1</v>
      </c>
      <c r="D5" s="12">
        <v>7510.8</v>
      </c>
      <c r="E5" s="12">
        <v>8720.5</v>
      </c>
      <c r="F5" s="13">
        <v>10400.5</v>
      </c>
      <c r="G5" s="11">
        <v>12450.1</v>
      </c>
      <c r="H5" s="12">
        <v>15348</v>
      </c>
      <c r="I5" s="12">
        <v>18807.599999999999</v>
      </c>
      <c r="J5" s="12">
        <v>22681.5</v>
      </c>
      <c r="K5" s="13">
        <v>27259.3</v>
      </c>
      <c r="L5" s="11">
        <v>32926.5</v>
      </c>
      <c r="M5" s="12">
        <v>36896.1</v>
      </c>
      <c r="N5" s="12">
        <v>40896.800000000003</v>
      </c>
      <c r="O5" s="12">
        <v>45401.7</v>
      </c>
      <c r="P5" s="13">
        <v>47761.3</v>
      </c>
      <c r="Q5" s="11">
        <v>51498.9</v>
      </c>
      <c r="R5" s="12">
        <v>57905.599999999999</v>
      </c>
      <c r="S5" s="12">
        <v>65493</v>
      </c>
      <c r="T5" s="12">
        <v>70648.100000000006</v>
      </c>
      <c r="U5" s="13">
        <v>72444.7</v>
      </c>
      <c r="V5" s="11">
        <v>80138.5</v>
      </c>
      <c r="W5" s="13">
        <v>83383.100000000006</v>
      </c>
      <c r="Y5" s="153">
        <f t="shared" si="1"/>
        <v>7.1474998692735658E-2</v>
      </c>
      <c r="Z5" s="153">
        <f t="shared" si="0"/>
        <v>6.973191778545243E-2</v>
      </c>
      <c r="AA5" s="153">
        <f t="shared" si="0"/>
        <v>6.8899854504253497E-2</v>
      </c>
    </row>
    <row r="6" spans="1:27" x14ac:dyDescent="0.2">
      <c r="A6" s="14" t="s">
        <v>4</v>
      </c>
      <c r="B6" s="11">
        <v>6871.3</v>
      </c>
      <c r="C6" s="12">
        <v>7494.3</v>
      </c>
      <c r="D6" s="12">
        <v>7914.8</v>
      </c>
      <c r="E6" s="12">
        <v>9306.5</v>
      </c>
      <c r="F6" s="13">
        <v>10668.8</v>
      </c>
      <c r="G6" s="11">
        <v>12186.3</v>
      </c>
      <c r="H6" s="12">
        <v>14605.1</v>
      </c>
      <c r="I6" s="12">
        <v>16367.6</v>
      </c>
      <c r="J6" s="12">
        <v>16522.400000000001</v>
      </c>
      <c r="K6" s="13">
        <v>18783.599999999999</v>
      </c>
      <c r="L6" s="11">
        <v>21842</v>
      </c>
      <c r="M6" s="12">
        <v>23763.200000000001</v>
      </c>
      <c r="N6" s="12">
        <v>26042.7</v>
      </c>
      <c r="O6" s="12">
        <v>28534.400000000001</v>
      </c>
      <c r="P6" s="13">
        <v>30519.5</v>
      </c>
      <c r="Q6" s="11">
        <v>33028.699999999997</v>
      </c>
      <c r="R6" s="12">
        <v>37121.9</v>
      </c>
      <c r="S6" s="12">
        <v>40337.199999999997</v>
      </c>
      <c r="T6" s="12">
        <v>42466.3</v>
      </c>
      <c r="U6" s="13">
        <v>40582.9</v>
      </c>
      <c r="V6" s="11">
        <v>47061.2</v>
      </c>
      <c r="W6" s="13">
        <v>49673.7</v>
      </c>
      <c r="Y6" s="58">
        <f>1-SUM(Y3:Y5)</f>
        <v>0.53950345660425003</v>
      </c>
      <c r="Z6" s="58">
        <f t="shared" ref="Z6:AA6" si="2">1-SUM(Z3:Z5)</f>
        <v>0.53056784631890552</v>
      </c>
      <c r="AA6" s="58">
        <f t="shared" si="2"/>
        <v>0.52271825849325637</v>
      </c>
    </row>
    <row r="7" spans="1:27" x14ac:dyDescent="0.2">
      <c r="A7" s="14" t="s">
        <v>5</v>
      </c>
      <c r="B7" s="11">
        <v>9120.7999999999993</v>
      </c>
      <c r="C7" s="12">
        <v>9996.7999999999993</v>
      </c>
      <c r="D7" s="12">
        <v>11171.2</v>
      </c>
      <c r="E7" s="12">
        <v>12455.8</v>
      </c>
      <c r="F7" s="13">
        <v>13968.5</v>
      </c>
      <c r="G7" s="11">
        <v>16533.400000000001</v>
      </c>
      <c r="H7" s="12">
        <v>20941.099999999999</v>
      </c>
      <c r="I7" s="12">
        <v>26186.2</v>
      </c>
      <c r="J7" s="12">
        <v>29004.6</v>
      </c>
      <c r="K7" s="13">
        <v>35907.9</v>
      </c>
      <c r="L7" s="11">
        <v>43734.5</v>
      </c>
      <c r="M7" s="12">
        <v>49835.5</v>
      </c>
      <c r="N7" s="12">
        <v>56288.9</v>
      </c>
      <c r="O7" s="12">
        <v>63170.400000000001</v>
      </c>
      <c r="P7" s="13">
        <v>67719.600000000006</v>
      </c>
      <c r="Q7" s="11">
        <v>73724.5</v>
      </c>
      <c r="R7" s="12">
        <v>81156.600000000006</v>
      </c>
      <c r="S7" s="12">
        <v>88903.7</v>
      </c>
      <c r="T7" s="12">
        <v>95650.9</v>
      </c>
      <c r="U7" s="13">
        <v>96086.1</v>
      </c>
      <c r="V7" s="11">
        <v>110492.7</v>
      </c>
      <c r="W7" s="13">
        <v>114517.7</v>
      </c>
    </row>
    <row r="8" spans="1:27" x14ac:dyDescent="0.2">
      <c r="A8" s="14" t="s">
        <v>6</v>
      </c>
      <c r="B8" s="11">
        <v>2400.1</v>
      </c>
      <c r="C8" s="12">
        <v>2724.8</v>
      </c>
      <c r="D8" s="12">
        <v>3126.1</v>
      </c>
      <c r="E8" s="12">
        <v>3664.8</v>
      </c>
      <c r="F8" s="13">
        <v>4195.7</v>
      </c>
      <c r="G8" s="11">
        <v>4792.6000000000004</v>
      </c>
      <c r="H8" s="12">
        <v>5548.1</v>
      </c>
      <c r="I8" s="12">
        <v>6616.1</v>
      </c>
      <c r="J8" s="12">
        <v>6957</v>
      </c>
      <c r="K8" s="13">
        <v>7712</v>
      </c>
      <c r="L8" s="11">
        <v>8565.4</v>
      </c>
      <c r="M8" s="12">
        <v>9536.9</v>
      </c>
      <c r="N8" s="12">
        <v>10228.299999999999</v>
      </c>
      <c r="O8" s="12">
        <v>11228.7</v>
      </c>
      <c r="P8" s="13">
        <v>12306.1</v>
      </c>
      <c r="Q8" s="11">
        <v>13607.8</v>
      </c>
      <c r="R8" s="12">
        <v>15056</v>
      </c>
      <c r="S8" s="12">
        <v>16520.599999999999</v>
      </c>
      <c r="T8" s="12">
        <v>17903.099999999999</v>
      </c>
      <c r="U8" s="13">
        <v>15285.4</v>
      </c>
      <c r="V8" s="11">
        <v>17852.599999999999</v>
      </c>
      <c r="W8" s="13">
        <v>17855.3</v>
      </c>
    </row>
    <row r="9" spans="1:27" x14ac:dyDescent="0.2">
      <c r="A9" s="14" t="s">
        <v>7</v>
      </c>
      <c r="B9" s="11">
        <v>5202.8</v>
      </c>
      <c r="C9" s="12">
        <v>5555.8</v>
      </c>
      <c r="D9" s="12">
        <v>6045.7</v>
      </c>
      <c r="E9" s="12">
        <v>6600.2</v>
      </c>
      <c r="F9" s="13">
        <v>7486</v>
      </c>
      <c r="G9" s="11">
        <v>9972.2999999999993</v>
      </c>
      <c r="H9" s="12">
        <v>15200</v>
      </c>
      <c r="I9" s="12">
        <v>18345.599999999999</v>
      </c>
      <c r="J9" s="12">
        <v>21836.799999999999</v>
      </c>
      <c r="K9" s="13">
        <v>25733.1</v>
      </c>
      <c r="L9" s="11">
        <v>30747.200000000001</v>
      </c>
      <c r="M9" s="12">
        <v>35272.199999999997</v>
      </c>
      <c r="N9" s="12">
        <v>41293.4</v>
      </c>
      <c r="O9" s="12">
        <v>46853.4</v>
      </c>
      <c r="P9" s="13">
        <v>56299.8</v>
      </c>
      <c r="Q9" s="11">
        <v>59964</v>
      </c>
      <c r="R9" s="12">
        <v>64844.3</v>
      </c>
      <c r="S9" s="12">
        <v>70610.3</v>
      </c>
      <c r="T9" s="12">
        <v>76250.600000000006</v>
      </c>
      <c r="U9" s="13">
        <v>83617.7</v>
      </c>
      <c r="V9" s="11">
        <v>91205.6</v>
      </c>
      <c r="W9" s="13">
        <v>96811</v>
      </c>
    </row>
    <row r="10" spans="1:27" x14ac:dyDescent="0.2">
      <c r="A10" s="14" t="s">
        <v>8</v>
      </c>
      <c r="B10" s="11">
        <v>4705.8</v>
      </c>
      <c r="C10" s="12">
        <v>5334.5</v>
      </c>
      <c r="D10" s="12">
        <v>6157</v>
      </c>
      <c r="E10" s="12">
        <v>7152.1</v>
      </c>
      <c r="F10" s="13">
        <v>8482.7000000000007</v>
      </c>
      <c r="G10" s="11">
        <v>10320.9</v>
      </c>
      <c r="H10" s="12">
        <v>13714</v>
      </c>
      <c r="I10" s="12">
        <v>14600.3</v>
      </c>
      <c r="J10" s="12">
        <v>18760.5</v>
      </c>
      <c r="K10" s="13">
        <v>23326.6</v>
      </c>
      <c r="L10" s="11">
        <v>27780.7</v>
      </c>
      <c r="M10" s="12">
        <v>30751.9</v>
      </c>
      <c r="N10" s="12">
        <v>35340.400000000001</v>
      </c>
      <c r="O10" s="12">
        <v>38086.400000000001</v>
      </c>
      <c r="P10" s="13">
        <v>42573.8</v>
      </c>
      <c r="Q10" s="11">
        <v>49969.4</v>
      </c>
      <c r="R10" s="12">
        <v>57086</v>
      </c>
      <c r="S10" s="12">
        <v>64623</v>
      </c>
      <c r="T10" s="12">
        <v>70444.800000000003</v>
      </c>
      <c r="U10" s="13">
        <v>73425.3</v>
      </c>
      <c r="V10" s="11">
        <v>77560.800000000003</v>
      </c>
      <c r="W10" s="13">
        <v>73821.3</v>
      </c>
    </row>
    <row r="11" spans="1:27" x14ac:dyDescent="0.2">
      <c r="A11" s="15" t="s">
        <v>9</v>
      </c>
      <c r="B11" s="16">
        <v>16982.599999999999</v>
      </c>
      <c r="C11" s="17">
        <v>19818.599999999999</v>
      </c>
      <c r="D11" s="17">
        <v>22753.8</v>
      </c>
      <c r="E11" s="17">
        <v>26754.6</v>
      </c>
      <c r="F11" s="18">
        <v>31742.1</v>
      </c>
      <c r="G11" s="16">
        <v>36910.800000000003</v>
      </c>
      <c r="H11" s="17">
        <v>44561.5</v>
      </c>
      <c r="I11" s="17">
        <v>53169.3</v>
      </c>
      <c r="J11" s="17">
        <v>60002.6</v>
      </c>
      <c r="K11" s="18">
        <v>68654.7</v>
      </c>
      <c r="L11" s="16">
        <v>81082.2</v>
      </c>
      <c r="M11" s="17">
        <v>93041.600000000006</v>
      </c>
      <c r="N11" s="17">
        <v>105847.3</v>
      </c>
      <c r="O11" s="17">
        <v>119618.5</v>
      </c>
      <c r="P11" s="18">
        <v>136856.5</v>
      </c>
      <c r="Q11" s="16">
        <v>156744.29999999999</v>
      </c>
      <c r="R11" s="17">
        <v>179086.3</v>
      </c>
      <c r="S11" s="17">
        <v>204145.2</v>
      </c>
      <c r="T11" s="17">
        <v>227715.8</v>
      </c>
      <c r="U11" s="18">
        <v>237825.3</v>
      </c>
      <c r="V11" s="16">
        <v>260008</v>
      </c>
      <c r="W11" s="18">
        <v>279918.40000000002</v>
      </c>
    </row>
    <row r="12" spans="1:27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3"/>
    </row>
    <row r="13" spans="1:27" s="9" customFormat="1" x14ac:dyDescent="0.2">
      <c r="A13" s="4" t="s">
        <v>2</v>
      </c>
      <c r="B13" s="6">
        <f>B4</f>
        <v>43854.3</v>
      </c>
      <c r="C13" s="7">
        <f t="shared" ref="C13:W13" si="3">C4</f>
        <v>47774.9</v>
      </c>
      <c r="D13" s="7">
        <f t="shared" si="3"/>
        <v>55362.2</v>
      </c>
      <c r="E13" s="7">
        <f t="shared" si="3"/>
        <v>65774.899999999994</v>
      </c>
      <c r="F13" s="8">
        <f t="shared" si="3"/>
        <v>77958.3</v>
      </c>
      <c r="G13" s="6">
        <f t="shared" si="3"/>
        <v>92235.8</v>
      </c>
      <c r="H13" s="7">
        <f t="shared" si="3"/>
        <v>111690.8</v>
      </c>
      <c r="I13" s="7">
        <f t="shared" si="3"/>
        <v>131724</v>
      </c>
      <c r="J13" s="7">
        <f t="shared" si="3"/>
        <v>138092.6</v>
      </c>
      <c r="K13" s="8">
        <f t="shared" si="3"/>
        <v>165123.1</v>
      </c>
      <c r="L13" s="6">
        <f t="shared" si="3"/>
        <v>195139.1</v>
      </c>
      <c r="M13" s="39">
        <f t="shared" si="3"/>
        <v>208901.4</v>
      </c>
      <c r="N13" s="39">
        <f t="shared" si="3"/>
        <v>222333.2</v>
      </c>
      <c r="O13" s="39">
        <f t="shared" si="3"/>
        <v>233197.4</v>
      </c>
      <c r="P13" s="40">
        <f t="shared" si="3"/>
        <v>234968.9</v>
      </c>
      <c r="Q13" s="38">
        <f t="shared" si="3"/>
        <v>245406.4</v>
      </c>
      <c r="R13" s="39">
        <f t="shared" si="3"/>
        <v>275119.3</v>
      </c>
      <c r="S13" s="39">
        <f t="shared" si="3"/>
        <v>301089.3</v>
      </c>
      <c r="T13" s="39">
        <f t="shared" si="3"/>
        <v>311858.7</v>
      </c>
      <c r="U13" s="40">
        <f t="shared" si="3"/>
        <v>312902.90000000002</v>
      </c>
      <c r="V13" s="38">
        <f t="shared" si="3"/>
        <v>372575.3</v>
      </c>
      <c r="W13" s="40">
        <f t="shared" si="3"/>
        <v>401644.3</v>
      </c>
    </row>
    <row r="14" spans="1:27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v>8602.7065308573456</v>
      </c>
      <c r="J14" s="23">
        <v>8813.1098474423725</v>
      </c>
      <c r="K14" s="24">
        <v>10724.333438976624</v>
      </c>
      <c r="L14" s="22">
        <v>12979.900758022894</v>
      </c>
      <c r="M14" s="23">
        <v>13879.376892260501</v>
      </c>
      <c r="N14" s="23">
        <v>14233.428153652432</v>
      </c>
      <c r="O14" s="23">
        <v>14134.746448756892</v>
      </c>
      <c r="P14" s="23">
        <v>13669.399830990402</v>
      </c>
      <c r="Q14" s="22">
        <v>13330.672222464094</v>
      </c>
      <c r="R14" s="23">
        <v>13775.299188477968</v>
      </c>
      <c r="S14" s="23">
        <v>14515.154370104327</v>
      </c>
      <c r="T14" s="23">
        <v>14947.752961203312</v>
      </c>
      <c r="U14" s="24">
        <v>14783.756200003678</v>
      </c>
      <c r="V14" s="22">
        <v>17179.351501906425</v>
      </c>
      <c r="W14" s="24">
        <v>19251.430204064447</v>
      </c>
    </row>
    <row r="15" spans="1:27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v>9050.3068706590057</v>
      </c>
      <c r="J15" s="20">
        <v>8972.0194546512812</v>
      </c>
      <c r="K15" s="21">
        <v>9296.816554432462</v>
      </c>
      <c r="L15" s="19">
        <v>10142.370950361594</v>
      </c>
      <c r="M15" s="20">
        <v>10193.314991483156</v>
      </c>
      <c r="N15" s="20">
        <v>10117.090518246121</v>
      </c>
      <c r="O15" s="20">
        <v>10144.966774531002</v>
      </c>
      <c r="P15" s="20">
        <v>10032.417299100189</v>
      </c>
      <c r="Q15" s="19">
        <v>9922.8733724772756</v>
      </c>
      <c r="R15" s="20">
        <v>10190.994985123793</v>
      </c>
      <c r="S15" s="20">
        <v>10717.327020300094</v>
      </c>
      <c r="T15" s="20">
        <v>10848.433525772056</v>
      </c>
      <c r="U15" s="21">
        <v>10602.811030571023</v>
      </c>
      <c r="V15" s="19">
        <v>11997.592947184336</v>
      </c>
      <c r="W15" s="21">
        <v>13158.089316705255</v>
      </c>
    </row>
    <row r="16" spans="1:27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v>1505.3011427690797</v>
      </c>
      <c r="J16" s="20">
        <v>1784.1858104882399</v>
      </c>
      <c r="K16" s="21">
        <v>2234.091223853492</v>
      </c>
      <c r="L16" s="19">
        <v>2782.8170885006584</v>
      </c>
      <c r="M16" s="20">
        <v>3268.3475053164429</v>
      </c>
      <c r="N16" s="20">
        <v>3646.6209599717336</v>
      </c>
      <c r="O16" s="20">
        <v>3907.5126656933317</v>
      </c>
      <c r="P16" s="20">
        <v>3801.1192983568349</v>
      </c>
      <c r="Q16" s="19">
        <v>3665.5304343510165</v>
      </c>
      <c r="R16" s="20">
        <v>3760.7060865959761</v>
      </c>
      <c r="S16" s="20">
        <v>3695.1495227066553</v>
      </c>
      <c r="T16" s="20">
        <v>3862.9873022264719</v>
      </c>
      <c r="U16" s="21">
        <v>3696.6327461554224</v>
      </c>
      <c r="V16" s="147">
        <v>4162.7890113712529</v>
      </c>
      <c r="W16" s="148">
        <v>4885.3719176390277</v>
      </c>
    </row>
    <row r="17" spans="1:23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v>965.80073320027714</v>
      </c>
      <c r="J17" s="20">
        <v>1094.4853873917432</v>
      </c>
      <c r="K17" s="21">
        <v>1263.6542678009414</v>
      </c>
      <c r="L17" s="19">
        <v>1515.0004634392046</v>
      </c>
      <c r="M17" s="20">
        <v>1701.1332373090552</v>
      </c>
      <c r="N17" s="20">
        <v>1807.244893533888</v>
      </c>
      <c r="O17" s="20">
        <v>1880.5112297730902</v>
      </c>
      <c r="P17" s="20">
        <v>1861.4333047191292</v>
      </c>
      <c r="Q17" s="19">
        <v>1889.0250545824697</v>
      </c>
      <c r="R17" s="20">
        <v>1922.1224461354216</v>
      </c>
      <c r="S17" s="20">
        <v>2011.4850800506881</v>
      </c>
      <c r="T17" s="20">
        <v>2022.3477372231948</v>
      </c>
      <c r="U17" s="21">
        <v>1962.7921031386184</v>
      </c>
      <c r="V17" s="147">
        <v>2101.2870026618502</v>
      </c>
      <c r="W17" s="148">
        <v>2295.809785923595</v>
      </c>
    </row>
    <row r="18" spans="1:23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v>545.80041435153373</v>
      </c>
      <c r="J18" s="20">
        <v>620.58882009721879</v>
      </c>
      <c r="K18" s="21">
        <v>804.14070521768201</v>
      </c>
      <c r="L18" s="19">
        <v>1031.6990489512123</v>
      </c>
      <c r="M18" s="20">
        <v>1107.2122491938214</v>
      </c>
      <c r="N18" s="20">
        <v>1203.1325084532007</v>
      </c>
      <c r="O18" s="20">
        <v>1256.5705179170764</v>
      </c>
      <c r="P18" s="20">
        <v>1271.2510100937773</v>
      </c>
      <c r="Q18" s="19">
        <v>1312.7498946872574</v>
      </c>
      <c r="R18" s="20">
        <v>1380.0906985971237</v>
      </c>
      <c r="S18" s="20">
        <v>1442.830475328278</v>
      </c>
      <c r="T18" s="20">
        <v>1411.1878269692647</v>
      </c>
      <c r="U18" s="21">
        <v>1364.1405953083029</v>
      </c>
      <c r="V18" s="19">
        <v>1597.0744131292022</v>
      </c>
      <c r="W18" s="21">
        <v>1638.765774402842</v>
      </c>
    </row>
    <row r="19" spans="1:23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v>458.50034807654498</v>
      </c>
      <c r="J19" s="20">
        <v>521.25415963701107</v>
      </c>
      <c r="K19" s="21">
        <v>626.26618411819004</v>
      </c>
      <c r="L19" s="19">
        <v>762.31779115243853</v>
      </c>
      <c r="M19" s="20">
        <v>847.80976910915558</v>
      </c>
      <c r="N19" s="20">
        <v>864.50137752992862</v>
      </c>
      <c r="O19" s="20">
        <v>809.92873491075056</v>
      </c>
      <c r="P19" s="20">
        <v>677.1890952580502</v>
      </c>
      <c r="Q19" s="19">
        <v>573.24786178264799</v>
      </c>
      <c r="R19" s="20">
        <v>725.48414377325219</v>
      </c>
      <c r="S19" s="20">
        <v>926.76357095617357</v>
      </c>
      <c r="T19" s="20">
        <v>1100.9341051264412</v>
      </c>
      <c r="U19" s="21">
        <v>935.75183103419295</v>
      </c>
      <c r="V19" s="19">
        <v>1076.1731642745904</v>
      </c>
      <c r="W19" s="21">
        <v>1223.8580985832502</v>
      </c>
    </row>
    <row r="20" spans="1:23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v>3.1000023534073922</v>
      </c>
      <c r="J20" s="20">
        <v>4.1845774988797642</v>
      </c>
      <c r="K20" s="21">
        <v>5.2441173212446506</v>
      </c>
      <c r="L20" s="19">
        <v>6.6845669743072351</v>
      </c>
      <c r="M20" s="20">
        <v>6.8678688886411861</v>
      </c>
      <c r="N20" s="20">
        <v>7.502827183510365</v>
      </c>
      <c r="O20" s="20">
        <v>7.0510098450435912</v>
      </c>
      <c r="P20" s="20">
        <v>6.8523339159222463</v>
      </c>
      <c r="Q20" s="19">
        <v>6.0176719759568336</v>
      </c>
      <c r="R20" s="20">
        <v>7.2600738655111625</v>
      </c>
      <c r="S20" s="20">
        <v>7.7098865415536757</v>
      </c>
      <c r="T20" s="20">
        <v>7.8117283723092017</v>
      </c>
      <c r="U20" s="21">
        <v>7.680442047975407</v>
      </c>
      <c r="V20" s="19">
        <v>7.4611990340320693</v>
      </c>
      <c r="W20" s="148">
        <v>9.9031707646251146</v>
      </c>
    </row>
    <row r="21" spans="1:23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v>4457.8033841998304</v>
      </c>
      <c r="J21" s="20">
        <v>4887.310870278885</v>
      </c>
      <c r="K21" s="21">
        <v>5835.5436011208267</v>
      </c>
      <c r="L21" s="19">
        <v>6911.4548569209974</v>
      </c>
      <c r="M21" s="20">
        <v>7646.1720166414416</v>
      </c>
      <c r="N21" s="20">
        <v>8115.6992231973009</v>
      </c>
      <c r="O21" s="20">
        <v>8468.3010733558294</v>
      </c>
      <c r="P21" s="20">
        <v>8478.8312167853383</v>
      </c>
      <c r="Q21" s="19">
        <v>8906.718913980023</v>
      </c>
      <c r="R21" s="20">
        <v>10040.499011076579</v>
      </c>
      <c r="S21" s="20">
        <v>10962.787118472648</v>
      </c>
      <c r="T21" s="20">
        <v>10904.279075637376</v>
      </c>
      <c r="U21" s="21">
        <v>10445.304759048124</v>
      </c>
      <c r="V21" s="19">
        <v>12251.644128479631</v>
      </c>
      <c r="W21" s="21">
        <v>12813.230318340402</v>
      </c>
    </row>
    <row r="22" spans="1:23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v>2093.0015889295714</v>
      </c>
      <c r="J22" s="20">
        <v>2259.0238769767952</v>
      </c>
      <c r="K22" s="21">
        <v>2702.009141156459</v>
      </c>
      <c r="L22" s="19">
        <v>3284.3257250851011</v>
      </c>
      <c r="M22" s="20">
        <v>3575.8910859003236</v>
      </c>
      <c r="N22" s="20">
        <v>3816.2913666362542</v>
      </c>
      <c r="O22" s="20">
        <v>4015.3739178761771</v>
      </c>
      <c r="P22" s="20">
        <v>4096.5824328702329</v>
      </c>
      <c r="Q22" s="19">
        <v>4412.8276565020033</v>
      </c>
      <c r="R22" s="20">
        <v>5081.6882115949693</v>
      </c>
      <c r="S22" s="20">
        <v>5590.3906597777359</v>
      </c>
      <c r="T22" s="20">
        <v>5746.0886509559768</v>
      </c>
      <c r="U22" s="21">
        <v>5671.8703052305846</v>
      </c>
      <c r="V22" s="19">
        <v>6671.2559236630732</v>
      </c>
      <c r="W22" s="148">
        <v>7087.9072166344358</v>
      </c>
    </row>
    <row r="23" spans="1:23" x14ac:dyDescent="0.2">
      <c r="A23" s="30" t="s">
        <v>210</v>
      </c>
      <c r="B23" s="19"/>
      <c r="C23" s="20"/>
      <c r="D23" s="20"/>
      <c r="E23" s="20"/>
      <c r="F23" s="21"/>
      <c r="G23" s="19"/>
      <c r="H23" s="20"/>
      <c r="I23" s="20">
        <v>2225.4016894428423</v>
      </c>
      <c r="J23" s="20">
        <v>2412.4518267161093</v>
      </c>
      <c r="K23" s="21">
        <v>2870.4949098137049</v>
      </c>
      <c r="L23" s="19">
        <v>3542.7552369727405</v>
      </c>
      <c r="M23" s="20">
        <v>3881.4136443644743</v>
      </c>
      <c r="N23" s="20">
        <v>4149.8851711755378</v>
      </c>
      <c r="O23" s="20">
        <v>4281.9375707243807</v>
      </c>
      <c r="P23" s="20">
        <v>4376.6646858009617</v>
      </c>
      <c r="Q23" s="19">
        <v>4679.8658385035824</v>
      </c>
      <c r="R23" s="20">
        <v>5389.2018711243009</v>
      </c>
      <c r="S23" s="20">
        <v>5962.0264288111493</v>
      </c>
      <c r="T23" s="20">
        <v>6180.4515572956461</v>
      </c>
      <c r="U23" s="21">
        <v>5848.183273548666</v>
      </c>
      <c r="V23" s="19">
        <v>7044.2320771396617</v>
      </c>
      <c r="W23" s="21">
        <v>7776.8139449688724</v>
      </c>
    </row>
    <row r="24" spans="1:23" x14ac:dyDescent="0.2">
      <c r="A24" s="30" t="s">
        <v>211</v>
      </c>
      <c r="B24" s="19"/>
      <c r="C24" s="20"/>
      <c r="D24" s="20"/>
      <c r="E24" s="20"/>
      <c r="F24" s="21"/>
      <c r="G24" s="19"/>
      <c r="H24" s="20"/>
      <c r="I24" s="20">
        <v>4354.7033059300547</v>
      </c>
      <c r="J24" s="20">
        <v>4457.0904818116478</v>
      </c>
      <c r="K24" s="21">
        <v>5178.3935224540319</v>
      </c>
      <c r="L24" s="19">
        <v>6052.5161126521898</v>
      </c>
      <c r="M24" s="20">
        <v>6442.4695311329133</v>
      </c>
      <c r="N24" s="20">
        <v>6700.5694930672189</v>
      </c>
      <c r="O24" s="20">
        <v>7024.1474564585051</v>
      </c>
      <c r="P24" s="20">
        <v>6892.8908144172274</v>
      </c>
      <c r="Q24" s="19">
        <v>6258.0223166001024</v>
      </c>
      <c r="R24" s="20">
        <v>6836.6564345643601</v>
      </c>
      <c r="S24" s="20">
        <v>7471.6985881219116</v>
      </c>
      <c r="T24" s="20">
        <v>7672.4996428390778</v>
      </c>
      <c r="U24" s="21">
        <v>7700.2442564631801</v>
      </c>
      <c r="V24" s="19">
        <v>8679.6538512085281</v>
      </c>
      <c r="W24" s="21">
        <v>9645.4161959301746</v>
      </c>
    </row>
    <row r="25" spans="1:23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v>4161.3031591078006</v>
      </c>
      <c r="J25" s="20">
        <v>4270.9522222361084</v>
      </c>
      <c r="K25" s="21">
        <v>4948.8287005516922</v>
      </c>
      <c r="L25" s="19">
        <v>5563.3116715859496</v>
      </c>
      <c r="M25" s="20">
        <v>6078.8650882925831</v>
      </c>
      <c r="N25" s="20">
        <v>6410.8646235561791</v>
      </c>
      <c r="O25" s="20">
        <v>6627.2853308965241</v>
      </c>
      <c r="P25" s="20">
        <v>6729.8701869121869</v>
      </c>
      <c r="Q25" s="19">
        <v>7029.5175490771526</v>
      </c>
      <c r="R25" s="20">
        <v>7716.585225621604</v>
      </c>
      <c r="S25" s="20">
        <v>8035.5619548706381</v>
      </c>
      <c r="T25" s="20">
        <v>7945.6145359996881</v>
      </c>
      <c r="U25" s="21">
        <v>7781.1697585795664</v>
      </c>
      <c r="V25" s="19">
        <v>8592.9127006410708</v>
      </c>
      <c r="W25" s="21">
        <v>8683.3644373810675</v>
      </c>
    </row>
    <row r="26" spans="1:23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v>2550.0019358673712</v>
      </c>
      <c r="J26" s="20">
        <v>2650.9639468624891</v>
      </c>
      <c r="K26" s="21">
        <v>3165.3021687226246</v>
      </c>
      <c r="L26" s="19">
        <v>3798.1798233626464</v>
      </c>
      <c r="M26" s="20">
        <v>3965.2133968775975</v>
      </c>
      <c r="N26" s="20">
        <v>4124.0688515832608</v>
      </c>
      <c r="O26" s="20">
        <v>4283.2688632305862</v>
      </c>
      <c r="P26" s="20">
        <v>4243.8798038274035</v>
      </c>
      <c r="Q26" s="19">
        <v>4361.4088591846903</v>
      </c>
      <c r="R26" s="20">
        <v>4870.5585385394124</v>
      </c>
      <c r="S26" s="20">
        <v>5242.6273533999974</v>
      </c>
      <c r="T26" s="20">
        <v>5163.4734525339654</v>
      </c>
      <c r="U26" s="21">
        <v>4569.5272137342927</v>
      </c>
      <c r="V26" s="19">
        <v>5399.5623528281139</v>
      </c>
      <c r="W26" s="21">
        <v>5501.2623524786677</v>
      </c>
    </row>
    <row r="27" spans="1:23" ht="13.9" customHeight="1" x14ac:dyDescent="0.2">
      <c r="A27" s="30" t="s">
        <v>212</v>
      </c>
      <c r="B27" s="19"/>
      <c r="C27" s="20"/>
      <c r="D27" s="20"/>
      <c r="E27" s="20"/>
      <c r="F27" s="21"/>
      <c r="G27" s="19"/>
      <c r="H27" s="20"/>
      <c r="I27" s="20">
        <v>1697.8012889080874</v>
      </c>
      <c r="J27" s="20">
        <v>1755.3860378449449</v>
      </c>
      <c r="K27" s="21">
        <v>2123.3035148085542</v>
      </c>
      <c r="L27" s="19">
        <v>2492.7412276544087</v>
      </c>
      <c r="M27" s="20">
        <v>2614.5030749530165</v>
      </c>
      <c r="N27" s="20">
        <v>2742.0754970743087</v>
      </c>
      <c r="O27" s="20">
        <v>2821.3604122877309</v>
      </c>
      <c r="P27" s="20">
        <v>2808.8031069630865</v>
      </c>
      <c r="Q27" s="19">
        <v>2875.4658113298697</v>
      </c>
      <c r="R27" s="20">
        <v>3174.7255790545173</v>
      </c>
      <c r="S27" s="20">
        <v>3427.0670060003536</v>
      </c>
      <c r="T27" s="20">
        <v>3415.4672948781413</v>
      </c>
      <c r="U27" s="21">
        <v>2932.9101730437146</v>
      </c>
      <c r="V27" s="19">
        <v>3468.8549607972727</v>
      </c>
      <c r="W27" s="21">
        <v>3588.2299654049029</v>
      </c>
    </row>
    <row r="28" spans="1:23" ht="13.9" customHeight="1" x14ac:dyDescent="0.2">
      <c r="A28" s="30" t="s">
        <v>213</v>
      </c>
      <c r="B28" s="19"/>
      <c r="C28" s="20"/>
      <c r="D28" s="20"/>
      <c r="E28" s="20"/>
      <c r="F28" s="21"/>
      <c r="G28" s="19"/>
      <c r="H28" s="20"/>
      <c r="I28" s="20">
        <v>979.20074337307062</v>
      </c>
      <c r="J28" s="20">
        <v>1090.2191748276123</v>
      </c>
      <c r="K28" s="21">
        <v>1385.5070741671168</v>
      </c>
      <c r="L28" s="19">
        <v>1740.1898485939689</v>
      </c>
      <c r="M28" s="20">
        <v>1904.8430564949463</v>
      </c>
      <c r="N28" s="20">
        <v>2064.3195681255211</v>
      </c>
      <c r="O28" s="20">
        <v>2190.0079535742352</v>
      </c>
      <c r="P28" s="20">
        <v>2209.3585250360502</v>
      </c>
      <c r="Q28" s="19">
        <v>2336.1666635431679</v>
      </c>
      <c r="R28" s="20">
        <v>2618.7536006855421</v>
      </c>
      <c r="S28" s="20">
        <v>2775.6038109468777</v>
      </c>
      <c r="T28" s="20">
        <v>2768.9184431682488</v>
      </c>
      <c r="U28" s="21">
        <v>2641.6002604003402</v>
      </c>
      <c r="V28" s="19">
        <v>3176.0967726764525</v>
      </c>
      <c r="W28" s="21">
        <v>3282.0983887934508</v>
      </c>
    </row>
    <row r="29" spans="1:23" ht="13.9" customHeight="1" x14ac:dyDescent="0.2">
      <c r="A29" s="30" t="s">
        <v>214</v>
      </c>
      <c r="B29" s="19"/>
      <c r="C29" s="20"/>
      <c r="D29" s="20"/>
      <c r="E29" s="20"/>
      <c r="F29" s="21"/>
      <c r="G29" s="19"/>
      <c r="H29" s="20"/>
      <c r="I29" s="20">
        <v>694.4005271632559</v>
      </c>
      <c r="J29" s="20">
        <v>714.66836118218998</v>
      </c>
      <c r="K29" s="21">
        <v>888.20296794302919</v>
      </c>
      <c r="L29" s="19">
        <v>1062.1044100724307</v>
      </c>
      <c r="M29" s="20">
        <v>1150.1864749888562</v>
      </c>
      <c r="N29" s="20">
        <v>1229.7431384498705</v>
      </c>
      <c r="O29" s="20">
        <v>1295.0859613333421</v>
      </c>
      <c r="P29" s="20">
        <v>1313.90371704728</v>
      </c>
      <c r="Q29" s="19">
        <v>1386.7146977008076</v>
      </c>
      <c r="R29" s="20">
        <v>1607.1475740781318</v>
      </c>
      <c r="S29" s="20">
        <v>1749.8039730000289</v>
      </c>
      <c r="T29" s="20">
        <v>1750.7134038440061</v>
      </c>
      <c r="U29" s="21">
        <v>1627.6494522571516</v>
      </c>
      <c r="V29" s="19">
        <v>1988.8923975108025</v>
      </c>
      <c r="W29" s="21">
        <v>1927.2041407983827</v>
      </c>
    </row>
    <row r="30" spans="1:23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v>1767.901342125461</v>
      </c>
      <c r="J30" s="20">
        <v>1851.2764017040881</v>
      </c>
      <c r="K30" s="21">
        <v>2233.5254573509437</v>
      </c>
      <c r="L30" s="19">
        <v>2652.2804511754725</v>
      </c>
      <c r="M30" s="20">
        <v>2810.2476720913332</v>
      </c>
      <c r="N30" s="20">
        <v>2955.5508517473181</v>
      </c>
      <c r="O30" s="20">
        <v>3049.598654484786</v>
      </c>
      <c r="P30" s="20">
        <v>3047.6023438583661</v>
      </c>
      <c r="Q30" s="19">
        <v>3195.3661610663376</v>
      </c>
      <c r="R30" s="20">
        <v>3514.4279889072404</v>
      </c>
      <c r="S30" s="20">
        <v>3659.7021888682193</v>
      </c>
      <c r="T30" s="20">
        <v>3722.3333030256695</v>
      </c>
      <c r="U30" s="21">
        <v>3663.3945727849982</v>
      </c>
      <c r="V30" s="19">
        <v>4241.0609759775298</v>
      </c>
      <c r="W30" s="21">
        <v>4378.2009379019628</v>
      </c>
    </row>
    <row r="31" spans="1:23" ht="13.9" customHeight="1" x14ac:dyDescent="0.2">
      <c r="A31" s="30" t="s">
        <v>215</v>
      </c>
      <c r="B31" s="19"/>
      <c r="C31" s="20"/>
      <c r="D31" s="20"/>
      <c r="E31" s="20"/>
      <c r="F31" s="21"/>
      <c r="G31" s="19"/>
      <c r="H31" s="20"/>
      <c r="I31" s="20">
        <v>707.70053726013282</v>
      </c>
      <c r="J31" s="20">
        <v>728.35656568063916</v>
      </c>
      <c r="K31" s="21">
        <v>868.91557478910011</v>
      </c>
      <c r="L31" s="19">
        <v>1027.3154481748047</v>
      </c>
      <c r="M31" s="20">
        <v>1101.5073385079752</v>
      </c>
      <c r="N31" s="20">
        <v>1195.86467816087</v>
      </c>
      <c r="O31" s="20">
        <v>1274.4692669713031</v>
      </c>
      <c r="P31" s="20">
        <v>1290.5683998282011</v>
      </c>
      <c r="Q31" s="19">
        <v>1355.6974637941767</v>
      </c>
      <c r="R31" s="20">
        <v>1574.0617552970548</v>
      </c>
      <c r="S31" s="20">
        <v>1730.0103237342687</v>
      </c>
      <c r="T31" s="20">
        <v>1730.9094671658074</v>
      </c>
      <c r="U31" s="21">
        <v>1649.6368760600501</v>
      </c>
      <c r="V31" s="19">
        <v>1997.7939698123578</v>
      </c>
      <c r="W31" s="21">
        <v>2083.1435551560949</v>
      </c>
    </row>
    <row r="32" spans="1:23" ht="13.9" customHeight="1" x14ac:dyDescent="0.2">
      <c r="A32" s="30" t="s">
        <v>216</v>
      </c>
      <c r="B32" s="19"/>
      <c r="C32" s="20"/>
      <c r="D32" s="20"/>
      <c r="E32" s="20"/>
      <c r="F32" s="21"/>
      <c r="G32" s="19"/>
      <c r="H32" s="20"/>
      <c r="I32" s="20">
        <v>911.60069205360617</v>
      </c>
      <c r="J32" s="20">
        <v>926.99785509351943</v>
      </c>
      <c r="K32" s="21">
        <v>1092.4161308331393</v>
      </c>
      <c r="L32" s="19">
        <v>1272.2822677545569</v>
      </c>
      <c r="M32" s="20">
        <v>1374.077655850861</v>
      </c>
      <c r="N32" s="20">
        <v>1513.1141621834495</v>
      </c>
      <c r="O32" s="20">
        <v>1665.3467393526321</v>
      </c>
      <c r="P32" s="20">
        <v>1672.1590326007936</v>
      </c>
      <c r="Q32" s="19">
        <v>1708.5340920291119</v>
      </c>
      <c r="R32" s="20">
        <v>1967.4998052053454</v>
      </c>
      <c r="S32" s="20">
        <v>2186.7703758991765</v>
      </c>
      <c r="T32" s="20">
        <v>2158.0233059854831</v>
      </c>
      <c r="U32" s="21">
        <v>1972.7493616245627</v>
      </c>
      <c r="V32" s="19">
        <v>2468.5930080775088</v>
      </c>
      <c r="W32" s="21">
        <v>2497.1420053870911</v>
      </c>
    </row>
    <row r="33" spans="1:23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v>3408.2025873816369</v>
      </c>
      <c r="J33" s="20">
        <v>3391.6166641791879</v>
      </c>
      <c r="K33" s="21">
        <v>3859.4980708178568</v>
      </c>
      <c r="L33" s="19">
        <v>4310.6782924902254</v>
      </c>
      <c r="M33" s="20">
        <v>4462.4681978598592</v>
      </c>
      <c r="N33" s="20">
        <v>4593.6200957591973</v>
      </c>
      <c r="O33" s="20">
        <v>4690.8368641529569</v>
      </c>
      <c r="P33" s="20">
        <v>4781.2543899953389</v>
      </c>
      <c r="Q33" s="19">
        <v>5050.9450451232142</v>
      </c>
      <c r="R33" s="20">
        <v>5587.2772760826665</v>
      </c>
      <c r="S33" s="20">
        <v>6129.3098338874352</v>
      </c>
      <c r="T33" s="20">
        <v>6282.0684978630661</v>
      </c>
      <c r="U33" s="21">
        <v>6152.0529589530752</v>
      </c>
      <c r="V33" s="19">
        <v>6753.6438071886414</v>
      </c>
      <c r="W33" s="21">
        <v>6656.396030917992</v>
      </c>
    </row>
    <row r="34" spans="1:23" ht="13.9" customHeight="1" x14ac:dyDescent="0.2">
      <c r="A34" s="30" t="s">
        <v>209</v>
      </c>
      <c r="B34" s="19"/>
      <c r="C34" s="20"/>
      <c r="D34" s="20"/>
      <c r="E34" s="20"/>
      <c r="F34" s="21"/>
      <c r="G34" s="19"/>
      <c r="H34" s="20"/>
      <c r="I34" s="20">
        <v>7594.7057656203615</v>
      </c>
      <c r="J34" s="20">
        <v>8233.0582764270821</v>
      </c>
      <c r="K34" s="21">
        <v>9873.1716461249434</v>
      </c>
      <c r="L34" s="19">
        <v>11754.999587720577</v>
      </c>
      <c r="M34" s="20">
        <v>12787.099613506582</v>
      </c>
      <c r="N34" s="20">
        <v>13907.280625677899</v>
      </c>
      <c r="O34" s="20">
        <v>14861.832903527142</v>
      </c>
      <c r="P34" s="20">
        <v>15444.495754439948</v>
      </c>
      <c r="Q34" s="19">
        <v>16468.566947534313</v>
      </c>
      <c r="R34" s="20">
        <v>18043.445055433003</v>
      </c>
      <c r="S34" s="20">
        <v>19272.983068576188</v>
      </c>
      <c r="T34" s="20">
        <v>19696.878895295122</v>
      </c>
      <c r="U34" s="21">
        <v>19806.415285139785</v>
      </c>
      <c r="V34" s="19">
        <v>23231.600908935638</v>
      </c>
      <c r="W34" s="21">
        <v>25720.00992281779</v>
      </c>
    </row>
    <row r="35" spans="1:23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v>2587.4019642600924</v>
      </c>
      <c r="J35" s="20">
        <v>2809.7741352375892</v>
      </c>
      <c r="K35" s="21">
        <v>3360.7592533095376</v>
      </c>
      <c r="L35" s="19">
        <v>4112.9527578956458</v>
      </c>
      <c r="M35" s="20">
        <v>4586.2261353509812</v>
      </c>
      <c r="N35" s="20">
        <v>5050.2849579329986</v>
      </c>
      <c r="O35" s="20">
        <v>5494.779677332579</v>
      </c>
      <c r="P35" s="20">
        <v>5731.0634429073598</v>
      </c>
      <c r="Q35" s="19">
        <v>6286.9694383867254</v>
      </c>
      <c r="R35" s="20">
        <v>7458.8858149386815</v>
      </c>
      <c r="S35" s="20">
        <v>8436.2668648294366</v>
      </c>
      <c r="T35" s="20">
        <v>8778.2775298385786</v>
      </c>
      <c r="U35" s="21">
        <v>9040.5154886877699</v>
      </c>
      <c r="V35" s="19">
        <v>12287.55102553251</v>
      </c>
      <c r="W35" s="21">
        <v>12327.563531850383</v>
      </c>
    </row>
    <row r="36" spans="1:23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v>633.0004805506062</v>
      </c>
      <c r="J36" s="20">
        <v>659.85916485827727</v>
      </c>
      <c r="K36" s="21">
        <v>761.16502680923827</v>
      </c>
      <c r="L36" s="19">
        <v>877.00953952597558</v>
      </c>
      <c r="M36" s="20">
        <v>965.96897808100289</v>
      </c>
      <c r="N36" s="20">
        <v>1033.7207853614659</v>
      </c>
      <c r="O36" s="20">
        <v>1086.6448613678429</v>
      </c>
      <c r="P36" s="20">
        <v>1146.7788066038906</v>
      </c>
      <c r="Q36" s="19">
        <v>1204.6514697343941</v>
      </c>
      <c r="R36" s="20">
        <v>1345.2821533855754</v>
      </c>
      <c r="S36" s="20">
        <v>1492.4348274595486</v>
      </c>
      <c r="T36" s="20">
        <v>1630.1488233972616</v>
      </c>
      <c r="U36" s="21">
        <v>1620.1904872999933</v>
      </c>
      <c r="V36" s="19">
        <v>1891.5525786316018</v>
      </c>
      <c r="W36" s="21">
        <v>1986.1148653782011</v>
      </c>
    </row>
    <row r="37" spans="1:23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v>2883.0021886688746</v>
      </c>
      <c r="J37" s="20">
        <v>3055.7825868045834</v>
      </c>
      <c r="K37" s="21">
        <v>3727.9822164019265</v>
      </c>
      <c r="L37" s="19">
        <v>4366.9468722409565</v>
      </c>
      <c r="M37" s="20">
        <v>4682.3242414917613</v>
      </c>
      <c r="N37" s="20">
        <v>5028.9076729594299</v>
      </c>
      <c r="O37" s="20">
        <v>5291.2481688228863</v>
      </c>
      <c r="P37" s="20">
        <v>5418.3470213901046</v>
      </c>
      <c r="Q37" s="19">
        <v>5772.2543574861229</v>
      </c>
      <c r="R37" s="20">
        <v>6476.5693928703895</v>
      </c>
      <c r="S37" s="20">
        <v>6891.1934782524522</v>
      </c>
      <c r="T37" s="20">
        <v>7049.4870845267333</v>
      </c>
      <c r="U37" s="21">
        <v>6979.0004205387331</v>
      </c>
      <c r="V37" s="19">
        <v>8079.4917792260139</v>
      </c>
      <c r="W37" s="21">
        <v>8240.0589725244354</v>
      </c>
    </row>
    <row r="38" spans="1:23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v>5187.8039383893129</v>
      </c>
      <c r="J38" s="20">
        <v>5628.7581815099666</v>
      </c>
      <c r="K38" s="21">
        <v>7030.589353465095</v>
      </c>
      <c r="L38" s="19">
        <v>8640.6407221319441</v>
      </c>
      <c r="M38" s="20">
        <v>9357.2232631595507</v>
      </c>
      <c r="N38" s="20">
        <v>10122.468088555916</v>
      </c>
      <c r="O38" s="20">
        <v>10719.171559482726</v>
      </c>
      <c r="P38" s="20">
        <v>10834.230473740719</v>
      </c>
      <c r="Q38" s="19">
        <v>11423.890993970081</v>
      </c>
      <c r="R38" s="20">
        <v>12504.291953687391</v>
      </c>
      <c r="S38" s="20">
        <v>13485.296903819431</v>
      </c>
      <c r="T38" s="20">
        <v>14334.752059473703</v>
      </c>
      <c r="U38" s="21">
        <v>14330.826150726112</v>
      </c>
      <c r="V38" s="19">
        <v>16855.92295029225</v>
      </c>
      <c r="W38" s="21">
        <v>17243.425959903449</v>
      </c>
    </row>
    <row r="39" spans="1:23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v>9773.7074198380105</v>
      </c>
      <c r="J39" s="20">
        <v>10160.676991156828</v>
      </c>
      <c r="K39" s="21">
        <v>11773.358093091856</v>
      </c>
      <c r="L39" s="19">
        <v>13406.317301611809</v>
      </c>
      <c r="M39" s="20">
        <v>14296.175480235263</v>
      </c>
      <c r="N39" s="20">
        <v>15243.409609682854</v>
      </c>
      <c r="O39" s="20">
        <v>15684.160580893045</v>
      </c>
      <c r="P39" s="20">
        <v>15688.778495526043</v>
      </c>
      <c r="Q39" s="19">
        <v>15268.944689738328</v>
      </c>
      <c r="R39" s="20">
        <v>16165.020259981835</v>
      </c>
      <c r="S39" s="20">
        <v>17833.219452105724</v>
      </c>
      <c r="T39" s="20">
        <v>19130.628559013832</v>
      </c>
      <c r="U39" s="21">
        <v>19850.963290163178</v>
      </c>
      <c r="V39" s="19">
        <v>21878.606289058018</v>
      </c>
      <c r="W39" s="21">
        <v>22995.081561035015</v>
      </c>
    </row>
    <row r="40" spans="1:23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v>4117.9031261600967</v>
      </c>
      <c r="J40" s="20">
        <v>4393.9068331972139</v>
      </c>
      <c r="K40" s="21">
        <v>5164.2919321286736</v>
      </c>
      <c r="L40" s="19">
        <v>6089.6401343905618</v>
      </c>
      <c r="M40" s="20">
        <v>6713.2730674121904</v>
      </c>
      <c r="N40" s="20">
        <v>7464.2037789643146</v>
      </c>
      <c r="O40" s="20">
        <v>8128.3883045910716</v>
      </c>
      <c r="P40" s="20">
        <v>8585.9201863013168</v>
      </c>
      <c r="Q40" s="19">
        <v>9027.7128435209761</v>
      </c>
      <c r="R40" s="20">
        <v>9671.8616819739964</v>
      </c>
      <c r="S40" s="20">
        <v>10749.754866546331</v>
      </c>
      <c r="T40" s="20">
        <v>11458.373971382749</v>
      </c>
      <c r="U40" s="21">
        <v>11421.806149839256</v>
      </c>
      <c r="V40" s="19">
        <v>12924.32549371184</v>
      </c>
      <c r="W40" s="21">
        <v>14120.771178491113</v>
      </c>
    </row>
    <row r="41" spans="1:23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v>4414.8033515557918</v>
      </c>
      <c r="J41" s="20">
        <v>4593.7744458846264</v>
      </c>
      <c r="K41" s="21">
        <v>5675.839976340555</v>
      </c>
      <c r="L41" s="19">
        <v>6940.2952440407098</v>
      </c>
      <c r="M41" s="20">
        <v>7583.4540561368804</v>
      </c>
      <c r="N41" s="20">
        <v>8269.855635603004</v>
      </c>
      <c r="O41" s="20">
        <v>8941.631470254466</v>
      </c>
      <c r="P41" s="20">
        <v>9113.9845530728253</v>
      </c>
      <c r="Q41" s="19">
        <v>9763.4188661947501</v>
      </c>
      <c r="R41" s="20">
        <v>10985.64155785237</v>
      </c>
      <c r="S41" s="20">
        <v>11756.891253506043</v>
      </c>
      <c r="T41" s="20">
        <v>12141.712971874478</v>
      </c>
      <c r="U41" s="21">
        <v>12421.774161186662</v>
      </c>
      <c r="V41" s="19">
        <v>15692.75421460315</v>
      </c>
      <c r="W41" s="21">
        <v>16232.794841220792</v>
      </c>
    </row>
    <row r="42" spans="1:23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v>5121.6038881326776</v>
      </c>
      <c r="J42" s="20">
        <v>5377.6753964490099</v>
      </c>
      <c r="K42" s="21">
        <v>6795.144177719093</v>
      </c>
      <c r="L42" s="19">
        <v>8280.7426125211587</v>
      </c>
      <c r="M42" s="20">
        <v>8741.6784005320806</v>
      </c>
      <c r="N42" s="20">
        <v>9261.5147032889799</v>
      </c>
      <c r="O42" s="20">
        <v>9789.5203764338039</v>
      </c>
      <c r="P42" s="20">
        <v>9560.1351051725105</v>
      </c>
      <c r="Q42" s="19">
        <v>10023.660820399446</v>
      </c>
      <c r="R42" s="20">
        <v>11691.088254870228</v>
      </c>
      <c r="S42" s="20">
        <v>12921.693853572104</v>
      </c>
      <c r="T42" s="20">
        <v>13155.445171239578</v>
      </c>
      <c r="U42" s="21">
        <v>13446.095523164235</v>
      </c>
      <c r="V42" s="19">
        <v>16459.629600550139</v>
      </c>
      <c r="W42" s="21">
        <v>16889.305486949375</v>
      </c>
    </row>
    <row r="43" spans="1:23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v>3406.5025860910582</v>
      </c>
      <c r="J43" s="20">
        <v>3641.2691801942542</v>
      </c>
      <c r="K43" s="21">
        <v>4559.4620646232306</v>
      </c>
      <c r="L43" s="19">
        <v>5669.8678628897787</v>
      </c>
      <c r="M43" s="20">
        <v>6013.0812828759626</v>
      </c>
      <c r="N43" s="20">
        <v>6329.8201392924193</v>
      </c>
      <c r="O43" s="20">
        <v>6555.7701511259147</v>
      </c>
      <c r="P43" s="20">
        <v>6433.2658356391921</v>
      </c>
      <c r="Q43" s="19">
        <v>6796.1395788676937</v>
      </c>
      <c r="R43" s="20">
        <v>8019.9265656389625</v>
      </c>
      <c r="S43" s="20">
        <v>9170.0490954685556</v>
      </c>
      <c r="T43" s="20">
        <v>9568.6607926516044</v>
      </c>
      <c r="U43" s="21">
        <v>9891.7322198258898</v>
      </c>
      <c r="V43" s="19">
        <v>12130.209340963274</v>
      </c>
      <c r="W43" s="21">
        <v>13051.57249487105</v>
      </c>
    </row>
    <row r="44" spans="1:23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v>6336.6048105165419</v>
      </c>
      <c r="J44" s="20">
        <v>7096.9859246358001</v>
      </c>
      <c r="K44" s="21">
        <v>9019.2178149885876</v>
      </c>
      <c r="L44" s="19">
        <v>10485.506431569675</v>
      </c>
      <c r="M44" s="20">
        <v>11069.167269236703</v>
      </c>
      <c r="N44" s="20">
        <v>12339.556077785224</v>
      </c>
      <c r="O44" s="20">
        <v>13365.831541295836</v>
      </c>
      <c r="P44" s="20">
        <v>13534.66911416065</v>
      </c>
      <c r="Q44" s="19">
        <v>15477.328479211192</v>
      </c>
      <c r="R44" s="20">
        <v>18329.691478817189</v>
      </c>
      <c r="S44" s="20">
        <v>19824.414348227318</v>
      </c>
      <c r="T44" s="20">
        <v>19699.261141267809</v>
      </c>
      <c r="U44" s="21">
        <v>20421.849410489154</v>
      </c>
      <c r="V44" s="19">
        <v>23464.163891077344</v>
      </c>
      <c r="W44" s="21">
        <v>25904.376084846514</v>
      </c>
    </row>
    <row r="45" spans="1:23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v>2349.1017833513883</v>
      </c>
      <c r="J45" s="20">
        <v>2630.9897477451559</v>
      </c>
      <c r="K45" s="21">
        <v>3343.5982339408652</v>
      </c>
      <c r="L45" s="19">
        <v>3887.1797428274335</v>
      </c>
      <c r="M45" s="20">
        <v>3959.7025606471234</v>
      </c>
      <c r="N45" s="20">
        <v>4026.1356587651371</v>
      </c>
      <c r="O45" s="20">
        <v>4396.0939347552294</v>
      </c>
      <c r="P45" s="20">
        <v>4455.7976163754547</v>
      </c>
      <c r="Q45" s="19">
        <v>4552.7261380867694</v>
      </c>
      <c r="R45" s="20">
        <v>5103.4321108613012</v>
      </c>
      <c r="S45" s="20">
        <v>5540.6464176237805</v>
      </c>
      <c r="T45" s="20">
        <v>5808.5336622749837</v>
      </c>
      <c r="U45" s="21">
        <v>5631.8307687185261</v>
      </c>
      <c r="V45" s="19">
        <v>6648.6953373342867</v>
      </c>
      <c r="W45" s="21">
        <v>7070.8427354944824</v>
      </c>
    </row>
    <row r="46" spans="1:23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v>6512.5049440534312</v>
      </c>
      <c r="J46" s="20">
        <v>6899.7238232314576</v>
      </c>
      <c r="K46" s="21">
        <v>8503.4652257388989</v>
      </c>
      <c r="L46" s="19">
        <v>10106.573522269047</v>
      </c>
      <c r="M46" s="20">
        <v>10797.092557320457</v>
      </c>
      <c r="N46" s="20">
        <v>11617.23909183791</v>
      </c>
      <c r="O46" s="20">
        <v>12313.312260181528</v>
      </c>
      <c r="P46" s="20">
        <v>12538.969773687946</v>
      </c>
      <c r="Q46" s="19">
        <v>13469.701340250633</v>
      </c>
      <c r="R46" s="20">
        <v>15724.592211839945</v>
      </c>
      <c r="S46" s="20">
        <v>17395.977473322848</v>
      </c>
      <c r="T46" s="20">
        <v>18797.420235572485</v>
      </c>
      <c r="U46" s="21">
        <v>19907.377761640477</v>
      </c>
      <c r="V46" s="19">
        <v>25322.959175346121</v>
      </c>
      <c r="W46" s="21">
        <v>29429.259198386615</v>
      </c>
    </row>
    <row r="47" spans="1:23" x14ac:dyDescent="0.2">
      <c r="A47" s="30" t="s">
        <v>217</v>
      </c>
      <c r="B47" s="19"/>
      <c r="C47" s="20"/>
      <c r="D47" s="20"/>
      <c r="E47" s="20"/>
      <c r="F47" s="21"/>
      <c r="G47" s="19"/>
      <c r="H47" s="20"/>
      <c r="I47" s="20">
        <v>9128.6069301015214</v>
      </c>
      <c r="J47" s="20">
        <v>9092.8179728635132</v>
      </c>
      <c r="K47" s="21">
        <v>11036.376858495349</v>
      </c>
      <c r="L47" s="19">
        <v>13277.382624866073</v>
      </c>
      <c r="M47" s="20">
        <v>14494.87052903469</v>
      </c>
      <c r="N47" s="20">
        <v>15652.15218653846</v>
      </c>
      <c r="O47" s="20">
        <v>17014.592899814572</v>
      </c>
      <c r="P47" s="20">
        <v>17843.131690910417</v>
      </c>
      <c r="Q47" s="19">
        <v>19432.565429085258</v>
      </c>
      <c r="R47" s="20">
        <v>23342.034091913429</v>
      </c>
      <c r="S47" s="20">
        <v>27218.928636852241</v>
      </c>
      <c r="T47" s="20">
        <v>29039.757274750104</v>
      </c>
      <c r="U47" s="21">
        <v>30415.615726595752</v>
      </c>
      <c r="V47" s="19">
        <v>38325.473220416563</v>
      </c>
      <c r="W47" s="21">
        <v>42828.669797851893</v>
      </c>
    </row>
    <row r="48" spans="1:23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v>935.80071042536667</v>
      </c>
      <c r="J48" s="20">
        <v>902.91976759742204</v>
      </c>
      <c r="K48" s="21">
        <v>1121.2277926370361</v>
      </c>
      <c r="L48" s="19">
        <v>1353.5555442426646</v>
      </c>
      <c r="M48" s="20">
        <v>1484.2625498000748</v>
      </c>
      <c r="N48" s="20">
        <v>1607.0873453524314</v>
      </c>
      <c r="O48" s="20">
        <v>1703.3796202588117</v>
      </c>
      <c r="P48" s="20">
        <v>1703.8811492780646</v>
      </c>
      <c r="Q48" s="19">
        <v>1845.5380043238597</v>
      </c>
      <c r="R48" s="20">
        <v>2191.5017087998513</v>
      </c>
      <c r="S48" s="20">
        <v>2399.5845298647796</v>
      </c>
      <c r="T48" s="20">
        <v>2588.213657339672</v>
      </c>
      <c r="U48" s="21">
        <v>2602.606982377547</v>
      </c>
      <c r="V48" s="19">
        <v>3174.5645895868765</v>
      </c>
      <c r="W48" s="21">
        <v>3448.6620729459401</v>
      </c>
    </row>
    <row r="49" spans="1:23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v>391.50029721257863</v>
      </c>
      <c r="J49" s="20">
        <v>392.18743453880273</v>
      </c>
      <c r="K49" s="21">
        <v>477.23776185446434</v>
      </c>
      <c r="L49" s="19">
        <v>587.02373809841094</v>
      </c>
      <c r="M49" s="20">
        <v>611.69608142307857</v>
      </c>
      <c r="N49" s="20">
        <v>607.12188631318668</v>
      </c>
      <c r="O49" s="20">
        <v>618.79425438386795</v>
      </c>
      <c r="P49" s="20">
        <v>623.08729631946562</v>
      </c>
      <c r="Q49" s="19">
        <v>650.21334748826462</v>
      </c>
      <c r="R49" s="20">
        <v>726.80538906210836</v>
      </c>
      <c r="S49" s="20">
        <v>774.08416484508427</v>
      </c>
      <c r="T49" s="20">
        <v>775.99767505502462</v>
      </c>
      <c r="U49" s="21">
        <v>726.7325868770115</v>
      </c>
      <c r="V49" s="19">
        <v>864.2807243734494</v>
      </c>
      <c r="W49" s="21">
        <v>970.32073025940758</v>
      </c>
    </row>
    <row r="50" spans="1:23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v>204.70015540080419</v>
      </c>
      <c r="J50" s="20">
        <v>249.98274546210359</v>
      </c>
      <c r="K50" s="21">
        <v>329.88995949018982</v>
      </c>
      <c r="L50" s="19">
        <v>399.27320048521921</v>
      </c>
      <c r="M50" s="20">
        <v>447.55018573714801</v>
      </c>
      <c r="N50" s="20">
        <v>501.08581374340338</v>
      </c>
      <c r="O50" s="20">
        <v>565.5782196946501</v>
      </c>
      <c r="P50" s="20">
        <v>646.25870172844986</v>
      </c>
      <c r="Q50" s="19">
        <v>692.30909534191903</v>
      </c>
      <c r="R50" s="20">
        <v>740.9762543299646</v>
      </c>
      <c r="S50" s="20">
        <v>796.81650625592272</v>
      </c>
      <c r="T50" s="20">
        <v>879.67595284519336</v>
      </c>
      <c r="U50" s="21">
        <v>878.57955136179089</v>
      </c>
      <c r="V50" s="19">
        <v>1245.8037379199884</v>
      </c>
      <c r="W50" s="21">
        <v>1586.2618828929353</v>
      </c>
    </row>
    <row r="51" spans="1:23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v>120.10009117555731</v>
      </c>
      <c r="J51" s="20">
        <v>124.96881193955414</v>
      </c>
      <c r="K51" s="21">
        <v>154.405268904254</v>
      </c>
      <c r="L51" s="19">
        <v>188.80344722508136</v>
      </c>
      <c r="M51" s="20">
        <v>205.1966995536396</v>
      </c>
      <c r="N51" s="20">
        <v>229.94126299297713</v>
      </c>
      <c r="O51" s="20">
        <v>249.73370977544215</v>
      </c>
      <c r="P51" s="20">
        <v>257.86553734734042</v>
      </c>
      <c r="Q51" s="19">
        <v>271.90004836037383</v>
      </c>
      <c r="R51" s="20">
        <v>315.12141887486052</v>
      </c>
      <c r="S51" s="20">
        <v>362.58667589721591</v>
      </c>
      <c r="T51" s="20">
        <v>403.12279649782153</v>
      </c>
      <c r="U51" s="21">
        <v>379.09823240746709</v>
      </c>
      <c r="V51" s="19">
        <v>435.57382474173647</v>
      </c>
      <c r="W51" s="21">
        <v>507.562372919393</v>
      </c>
    </row>
    <row r="52" spans="1:23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v>7846.7059569296052</v>
      </c>
      <c r="J52" s="20">
        <v>7867.9005619927739</v>
      </c>
      <c r="K52" s="21">
        <v>9067.6626591607474</v>
      </c>
      <c r="L52" s="19">
        <v>10362.992571172948</v>
      </c>
      <c r="M52" s="20">
        <v>10596.702528659802</v>
      </c>
      <c r="N52" s="20">
        <v>10918.420513808534</v>
      </c>
      <c r="O52" s="20">
        <v>10810.987274413699</v>
      </c>
      <c r="P52" s="20">
        <v>10311.424311223325</v>
      </c>
      <c r="Q52" s="19">
        <v>10699.077012689037</v>
      </c>
      <c r="R52" s="20">
        <v>12173.946049591737</v>
      </c>
      <c r="S52" s="20">
        <v>13756.617118794198</v>
      </c>
      <c r="T52" s="20">
        <v>14300.889496692394</v>
      </c>
      <c r="U52" s="21">
        <v>14171.804811655176</v>
      </c>
      <c r="V52" s="19">
        <v>17116.47234304051</v>
      </c>
      <c r="W52" s="21">
        <v>18683.221705164229</v>
      </c>
    </row>
    <row r="53" spans="1:23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v>468.20035544043242</v>
      </c>
      <c r="J53" s="20">
        <v>507.55367361754389</v>
      </c>
      <c r="K53" s="21">
        <v>621.31135986434469</v>
      </c>
      <c r="L53" s="19">
        <v>729.4145331283554</v>
      </c>
      <c r="M53" s="20">
        <v>793.45781554895825</v>
      </c>
      <c r="N53" s="20">
        <v>903.76703485373821</v>
      </c>
      <c r="O53" s="20">
        <v>1020.0866529680699</v>
      </c>
      <c r="P53" s="20">
        <v>1075.5692179555595</v>
      </c>
      <c r="Q53" s="19">
        <v>1217.1692376485112</v>
      </c>
      <c r="R53" s="20">
        <v>1445.3392224683976</v>
      </c>
      <c r="S53" s="20">
        <v>1753.9450142791297</v>
      </c>
      <c r="T53" s="20">
        <v>1908.9415668830491</v>
      </c>
      <c r="U53" s="21">
        <v>1856.4384809055559</v>
      </c>
      <c r="V53" s="19">
        <v>2387.7453833454315</v>
      </c>
      <c r="W53" s="21">
        <v>2636.0647109423239</v>
      </c>
    </row>
    <row r="54" spans="1:23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v>569.20043211596362</v>
      </c>
      <c r="J54" s="20">
        <v>565.89200205548332</v>
      </c>
      <c r="K54" s="21">
        <v>620.45599866135126</v>
      </c>
      <c r="L54" s="25">
        <v>691.0559692480598</v>
      </c>
      <c r="M54" s="26">
        <v>703.27595673917983</v>
      </c>
      <c r="N54" s="26">
        <v>728.03917140253634</v>
      </c>
      <c r="O54" s="26">
        <v>757.5541325005787</v>
      </c>
      <c r="P54" s="26">
        <v>759.21508784252694</v>
      </c>
      <c r="Q54" s="25">
        <v>804.29428092632736</v>
      </c>
      <c r="R54" s="26">
        <v>922.80687840791347</v>
      </c>
      <c r="S54" s="26">
        <v>1016.1359081234936</v>
      </c>
      <c r="T54" s="26">
        <v>1070.2248640426317</v>
      </c>
      <c r="U54" s="27">
        <v>1091.7883404123318</v>
      </c>
      <c r="V54" s="25">
        <v>1301.9974257508991</v>
      </c>
      <c r="W54" s="27">
        <v>1388.7221350779319</v>
      </c>
    </row>
    <row r="55" spans="1:23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7"/>
    </row>
    <row r="56" spans="1:23" s="9" customFormat="1" x14ac:dyDescent="0.2">
      <c r="A56" s="4" t="s">
        <v>35</v>
      </c>
      <c r="B56" s="6">
        <f>B2-B3-B4-B5</f>
        <v>45283.3</v>
      </c>
      <c r="C56" s="7">
        <f t="shared" ref="C56:W56" si="4">C2-C3-C4-C5</f>
        <v>50924.7</v>
      </c>
      <c r="D56" s="7">
        <f t="shared" si="4"/>
        <v>57168.399999999994</v>
      </c>
      <c r="E56" s="7">
        <f t="shared" si="4"/>
        <v>65934.100000000006</v>
      </c>
      <c r="F56" s="8">
        <f t="shared" si="4"/>
        <v>76543.89999999998</v>
      </c>
      <c r="G56" s="6">
        <f t="shared" si="4"/>
        <v>90716.2</v>
      </c>
      <c r="H56" s="7">
        <f t="shared" si="4"/>
        <v>114569.79999999997</v>
      </c>
      <c r="I56" s="7">
        <f t="shared" si="4"/>
        <v>135284.9</v>
      </c>
      <c r="J56" s="7">
        <f t="shared" si="4"/>
        <v>153083.9</v>
      </c>
      <c r="K56" s="8">
        <f t="shared" si="4"/>
        <v>180117.9</v>
      </c>
      <c r="L56" s="6">
        <f t="shared" si="4"/>
        <v>213752.00000000003</v>
      </c>
      <c r="M56" s="7">
        <f t="shared" si="4"/>
        <v>242201.30000000002</v>
      </c>
      <c r="N56" s="7">
        <f t="shared" si="4"/>
        <v>275040.79999999993</v>
      </c>
      <c r="O56" s="7">
        <f t="shared" si="4"/>
        <v>307491.8</v>
      </c>
      <c r="P56" s="8">
        <f t="shared" si="4"/>
        <v>346275.39999999997</v>
      </c>
      <c r="Q56" s="6">
        <f t="shared" si="4"/>
        <v>387038.79999999993</v>
      </c>
      <c r="R56" s="7">
        <f t="shared" si="4"/>
        <v>434351.00000000006</v>
      </c>
      <c r="S56" s="7">
        <f t="shared" si="4"/>
        <v>485140.10000000009</v>
      </c>
      <c r="T56" s="7">
        <f t="shared" si="4"/>
        <v>530431.49999999988</v>
      </c>
      <c r="U56" s="8">
        <f t="shared" si="4"/>
        <v>546822.9</v>
      </c>
      <c r="V56" s="6">
        <f>V2-V3-V4-V5</f>
        <v>609748.19999999995</v>
      </c>
      <c r="W56" s="8">
        <f t="shared" si="4"/>
        <v>632597.4</v>
      </c>
    </row>
    <row r="57" spans="1:23" s="9" customFormat="1" x14ac:dyDescent="0.2">
      <c r="A57" s="10" t="s">
        <v>4</v>
      </c>
      <c r="B57" s="22">
        <f>B6</f>
        <v>6871.3</v>
      </c>
      <c r="C57" s="23">
        <f t="shared" ref="C57:W61" si="5">C6</f>
        <v>7494.3</v>
      </c>
      <c r="D57" s="23">
        <f t="shared" si="5"/>
        <v>7914.8</v>
      </c>
      <c r="E57" s="23">
        <f t="shared" si="5"/>
        <v>9306.5</v>
      </c>
      <c r="F57" s="24">
        <f t="shared" si="5"/>
        <v>10668.8</v>
      </c>
      <c r="G57" s="22">
        <f t="shared" si="5"/>
        <v>12186.3</v>
      </c>
      <c r="H57" s="23">
        <f t="shared" si="5"/>
        <v>14605.1</v>
      </c>
      <c r="I57" s="23">
        <f t="shared" si="5"/>
        <v>16367.6</v>
      </c>
      <c r="J57" s="23">
        <f t="shared" si="5"/>
        <v>16522.400000000001</v>
      </c>
      <c r="K57" s="24">
        <f t="shared" si="5"/>
        <v>18783.599999999999</v>
      </c>
      <c r="L57" s="22">
        <f t="shared" si="5"/>
        <v>21842</v>
      </c>
      <c r="M57" s="23">
        <f t="shared" si="5"/>
        <v>23763.200000000001</v>
      </c>
      <c r="N57" s="23">
        <f t="shared" si="5"/>
        <v>26042.7</v>
      </c>
      <c r="O57" s="23">
        <f t="shared" si="5"/>
        <v>28534.400000000001</v>
      </c>
      <c r="P57" s="24">
        <f t="shared" si="5"/>
        <v>30519.5</v>
      </c>
      <c r="Q57" s="22">
        <f t="shared" si="5"/>
        <v>33028.699999999997</v>
      </c>
      <c r="R57" s="23">
        <f t="shared" si="5"/>
        <v>37121.9</v>
      </c>
      <c r="S57" s="23">
        <f t="shared" si="5"/>
        <v>40337.199999999997</v>
      </c>
      <c r="T57" s="23">
        <f t="shared" si="5"/>
        <v>42466.3</v>
      </c>
      <c r="U57" s="23">
        <f t="shared" si="5"/>
        <v>40582.9</v>
      </c>
      <c r="V57" s="22">
        <f t="shared" si="5"/>
        <v>47061.2</v>
      </c>
      <c r="W57" s="24">
        <f t="shared" si="5"/>
        <v>49673.7</v>
      </c>
    </row>
    <row r="58" spans="1:23" s="9" customFormat="1" x14ac:dyDescent="0.2">
      <c r="A58" s="14" t="s">
        <v>5</v>
      </c>
      <c r="B58" s="19">
        <f>B7</f>
        <v>9120.7999999999993</v>
      </c>
      <c r="C58" s="20">
        <f t="shared" si="5"/>
        <v>9996.7999999999993</v>
      </c>
      <c r="D58" s="20">
        <f t="shared" si="5"/>
        <v>11171.2</v>
      </c>
      <c r="E58" s="20">
        <f t="shared" si="5"/>
        <v>12455.8</v>
      </c>
      <c r="F58" s="21">
        <f t="shared" si="5"/>
        <v>13968.5</v>
      </c>
      <c r="G58" s="19">
        <f t="shared" si="5"/>
        <v>16533.400000000001</v>
      </c>
      <c r="H58" s="20">
        <f t="shared" si="5"/>
        <v>20941.099999999999</v>
      </c>
      <c r="I58" s="20">
        <f t="shared" si="5"/>
        <v>26186.2</v>
      </c>
      <c r="J58" s="20">
        <f t="shared" si="5"/>
        <v>29004.6</v>
      </c>
      <c r="K58" s="21">
        <f t="shared" si="5"/>
        <v>35907.9</v>
      </c>
      <c r="L58" s="19">
        <f t="shared" si="5"/>
        <v>43734.5</v>
      </c>
      <c r="M58" s="20">
        <f t="shared" si="5"/>
        <v>49835.5</v>
      </c>
      <c r="N58" s="20">
        <f t="shared" si="5"/>
        <v>56288.9</v>
      </c>
      <c r="O58" s="20">
        <f t="shared" si="5"/>
        <v>63170.400000000001</v>
      </c>
      <c r="P58" s="21">
        <f t="shared" si="5"/>
        <v>67719.600000000006</v>
      </c>
      <c r="Q58" s="19">
        <f t="shared" si="5"/>
        <v>73724.5</v>
      </c>
      <c r="R58" s="20">
        <f t="shared" si="5"/>
        <v>81156.600000000006</v>
      </c>
      <c r="S58" s="20">
        <f t="shared" si="5"/>
        <v>88903.7</v>
      </c>
      <c r="T58" s="20">
        <f t="shared" si="5"/>
        <v>95650.9</v>
      </c>
      <c r="U58" s="20">
        <f t="shared" si="5"/>
        <v>96086.1</v>
      </c>
      <c r="V58" s="19">
        <f>V7</f>
        <v>110492.7</v>
      </c>
      <c r="W58" s="21">
        <f t="shared" si="5"/>
        <v>114517.7</v>
      </c>
    </row>
    <row r="59" spans="1:23" s="9" customFormat="1" x14ac:dyDescent="0.2">
      <c r="A59" s="14" t="s">
        <v>6</v>
      </c>
      <c r="B59" s="19">
        <f t="shared" ref="B59:B61" si="6">B8</f>
        <v>2400.1</v>
      </c>
      <c r="C59" s="20">
        <f t="shared" si="5"/>
        <v>2724.8</v>
      </c>
      <c r="D59" s="20">
        <f t="shared" si="5"/>
        <v>3126.1</v>
      </c>
      <c r="E59" s="20">
        <f t="shared" si="5"/>
        <v>3664.8</v>
      </c>
      <c r="F59" s="21">
        <f t="shared" si="5"/>
        <v>4195.7</v>
      </c>
      <c r="G59" s="19">
        <f t="shared" si="5"/>
        <v>4792.6000000000004</v>
      </c>
      <c r="H59" s="20">
        <f t="shared" si="5"/>
        <v>5548.1</v>
      </c>
      <c r="I59" s="20">
        <f t="shared" si="5"/>
        <v>6616.1</v>
      </c>
      <c r="J59" s="20">
        <f t="shared" si="5"/>
        <v>6957</v>
      </c>
      <c r="K59" s="21">
        <f t="shared" si="5"/>
        <v>7712</v>
      </c>
      <c r="L59" s="19">
        <f t="shared" si="5"/>
        <v>8565.4</v>
      </c>
      <c r="M59" s="20">
        <f t="shared" si="5"/>
        <v>9536.9</v>
      </c>
      <c r="N59" s="20">
        <f t="shared" si="5"/>
        <v>10228.299999999999</v>
      </c>
      <c r="O59" s="20">
        <f t="shared" si="5"/>
        <v>11228.7</v>
      </c>
      <c r="P59" s="21">
        <f t="shared" si="5"/>
        <v>12306.1</v>
      </c>
      <c r="Q59" s="19">
        <f t="shared" si="5"/>
        <v>13607.8</v>
      </c>
      <c r="R59" s="20">
        <f t="shared" si="5"/>
        <v>15056</v>
      </c>
      <c r="S59" s="20">
        <f t="shared" si="5"/>
        <v>16520.599999999999</v>
      </c>
      <c r="T59" s="20">
        <f t="shared" si="5"/>
        <v>17903.099999999999</v>
      </c>
      <c r="U59" s="20">
        <f t="shared" si="5"/>
        <v>15285.4</v>
      </c>
      <c r="V59" s="19">
        <f t="shared" si="5"/>
        <v>17852.599999999999</v>
      </c>
      <c r="W59" s="21">
        <f t="shared" si="5"/>
        <v>17855.3</v>
      </c>
    </row>
    <row r="60" spans="1:23" s="9" customFormat="1" x14ac:dyDescent="0.2">
      <c r="A60" s="14" t="s">
        <v>7</v>
      </c>
      <c r="B60" s="19">
        <f t="shared" si="6"/>
        <v>5202.8</v>
      </c>
      <c r="C60" s="20">
        <f t="shared" si="5"/>
        <v>5555.8</v>
      </c>
      <c r="D60" s="20">
        <f t="shared" si="5"/>
        <v>6045.7</v>
      </c>
      <c r="E60" s="20">
        <f t="shared" si="5"/>
        <v>6600.2</v>
      </c>
      <c r="F60" s="21">
        <f t="shared" si="5"/>
        <v>7486</v>
      </c>
      <c r="G60" s="19">
        <f t="shared" si="5"/>
        <v>9972.2999999999993</v>
      </c>
      <c r="H60" s="20">
        <f t="shared" si="5"/>
        <v>15200</v>
      </c>
      <c r="I60" s="20">
        <f t="shared" si="5"/>
        <v>18345.599999999999</v>
      </c>
      <c r="J60" s="20">
        <f t="shared" si="5"/>
        <v>21836.799999999999</v>
      </c>
      <c r="K60" s="21">
        <f t="shared" si="5"/>
        <v>25733.1</v>
      </c>
      <c r="L60" s="19">
        <f t="shared" si="5"/>
        <v>30747.200000000001</v>
      </c>
      <c r="M60" s="20">
        <f t="shared" si="5"/>
        <v>35272.199999999997</v>
      </c>
      <c r="N60" s="20">
        <f t="shared" si="5"/>
        <v>41293.4</v>
      </c>
      <c r="O60" s="20">
        <f t="shared" si="5"/>
        <v>46853.4</v>
      </c>
      <c r="P60" s="21">
        <f t="shared" si="5"/>
        <v>56299.8</v>
      </c>
      <c r="Q60" s="19">
        <f t="shared" si="5"/>
        <v>59964</v>
      </c>
      <c r="R60" s="20">
        <f t="shared" si="5"/>
        <v>64844.3</v>
      </c>
      <c r="S60" s="20">
        <f t="shared" si="5"/>
        <v>70610.3</v>
      </c>
      <c r="T60" s="20">
        <f t="shared" si="5"/>
        <v>76250.600000000006</v>
      </c>
      <c r="U60" s="20">
        <f t="shared" si="5"/>
        <v>83617.7</v>
      </c>
      <c r="V60" s="19">
        <f t="shared" si="5"/>
        <v>91205.6</v>
      </c>
      <c r="W60" s="21">
        <f t="shared" si="5"/>
        <v>96811</v>
      </c>
    </row>
    <row r="61" spans="1:23" s="9" customFormat="1" x14ac:dyDescent="0.2">
      <c r="A61" s="14" t="s">
        <v>8</v>
      </c>
      <c r="B61" s="19">
        <f t="shared" si="6"/>
        <v>4705.8</v>
      </c>
      <c r="C61" s="20">
        <f t="shared" si="5"/>
        <v>5334.5</v>
      </c>
      <c r="D61" s="20">
        <f t="shared" si="5"/>
        <v>6157</v>
      </c>
      <c r="E61" s="20">
        <f t="shared" si="5"/>
        <v>7152.1</v>
      </c>
      <c r="F61" s="21">
        <f t="shared" si="5"/>
        <v>8482.7000000000007</v>
      </c>
      <c r="G61" s="19">
        <f t="shared" si="5"/>
        <v>10320.9</v>
      </c>
      <c r="H61" s="20">
        <f t="shared" si="5"/>
        <v>13714</v>
      </c>
      <c r="I61" s="20">
        <f t="shared" si="5"/>
        <v>14600.3</v>
      </c>
      <c r="J61" s="20">
        <f t="shared" si="5"/>
        <v>18760.5</v>
      </c>
      <c r="K61" s="21">
        <f t="shared" si="5"/>
        <v>23326.6</v>
      </c>
      <c r="L61" s="19">
        <f t="shared" si="5"/>
        <v>27780.7</v>
      </c>
      <c r="M61" s="20">
        <f t="shared" si="5"/>
        <v>30751.9</v>
      </c>
      <c r="N61" s="20">
        <f t="shared" si="5"/>
        <v>35340.400000000001</v>
      </c>
      <c r="O61" s="20">
        <f t="shared" si="5"/>
        <v>38086.400000000001</v>
      </c>
      <c r="P61" s="21">
        <f t="shared" si="5"/>
        <v>42573.8</v>
      </c>
      <c r="Q61" s="19">
        <f t="shared" si="5"/>
        <v>49969.4</v>
      </c>
      <c r="R61" s="20">
        <f t="shared" si="5"/>
        <v>57086</v>
      </c>
      <c r="S61" s="20">
        <f t="shared" si="5"/>
        <v>64623</v>
      </c>
      <c r="T61" s="20">
        <f t="shared" si="5"/>
        <v>70444.800000000003</v>
      </c>
      <c r="U61" s="20">
        <f t="shared" si="5"/>
        <v>73425.3</v>
      </c>
      <c r="V61" s="19">
        <f t="shared" si="5"/>
        <v>77560.800000000003</v>
      </c>
      <c r="W61" s="21">
        <f t="shared" si="5"/>
        <v>73821.3</v>
      </c>
    </row>
    <row r="62" spans="1:23" x14ac:dyDescent="0.2">
      <c r="A62" s="33" t="s">
        <v>207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统计资料!I13</f>
        <v>9049.7000000000007</v>
      </c>
      <c r="L62" s="19">
        <f>统计资料!J13</f>
        <v>10304.799999999999</v>
      </c>
      <c r="M62" s="20">
        <f>统计资料!K13</f>
        <v>11928.7</v>
      </c>
      <c r="N62" s="20">
        <f>统计资料!L13</f>
        <v>13729.7</v>
      </c>
      <c r="O62" s="20">
        <f>统计资料!M13</f>
        <v>15470.6</v>
      </c>
      <c r="P62" s="21">
        <f>统计资料!N13</f>
        <v>17516.8</v>
      </c>
      <c r="Q62" s="19">
        <f>统计资料!O13</f>
        <v>20124.099999999999</v>
      </c>
      <c r="R62" s="20">
        <f>统计资料!P13</f>
        <v>23808.9</v>
      </c>
      <c r="S62" s="20">
        <f>统计资料!Q13</f>
        <v>28733.5</v>
      </c>
      <c r="T62" s="20">
        <f>统计资料!R13</f>
        <v>33391.800000000003</v>
      </c>
      <c r="U62" s="20">
        <f>统计资料!S13</f>
        <v>38244.1</v>
      </c>
      <c r="V62" s="89">
        <f>$U62/SUM($U$62:$U$70)*($V$56-SUM($V$57:$V$61))</f>
        <v>42706.509066655221</v>
      </c>
      <c r="W62" s="101">
        <f>$U62/SUM($U$62:$U$70)*($W$56-SUM($W$57:$W$61))</f>
        <v>45012.987606617135</v>
      </c>
    </row>
    <row r="63" spans="1:23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统计资料!I16</f>
        <v>7259.8</v>
      </c>
      <c r="L63" s="19">
        <f>统计资料!J16</f>
        <v>9150.2000000000007</v>
      </c>
      <c r="M63" s="20">
        <f>统计资料!K16</f>
        <v>10887.4</v>
      </c>
      <c r="N63" s="20">
        <f>统计资料!L16</f>
        <v>12904.9</v>
      </c>
      <c r="O63" s="20">
        <f>统计资料!M16</f>
        <v>15451.3</v>
      </c>
      <c r="P63" s="21">
        <f>统计资料!N16</f>
        <v>18089.7</v>
      </c>
      <c r="Q63" s="19">
        <f>统计资料!O16</f>
        <v>21528.6</v>
      </c>
      <c r="R63" s="20">
        <f>统计资料!P16</f>
        <v>25273.3</v>
      </c>
      <c r="S63" s="20">
        <f>统计资料!Q16</f>
        <v>29468.5</v>
      </c>
      <c r="T63" s="20">
        <f>统计资料!R16</f>
        <v>32638</v>
      </c>
      <c r="U63" s="20">
        <f>统计资料!S16</f>
        <v>32467.599999999999</v>
      </c>
      <c r="V63" s="89">
        <f t="shared" ref="V63:V70" si="7">$U63/SUM($U$62:$U$70)*($V$56-SUM($V$57:$V$61))</f>
        <v>36255.993833624932</v>
      </c>
      <c r="W63" s="101">
        <f t="shared" ref="W63:W70" si="8">$U63/SUM($U$62:$U$70)*($W$56-SUM($W$57:$W$61))</f>
        <v>38214.095152366055</v>
      </c>
    </row>
    <row r="64" spans="1:23" x14ac:dyDescent="0.2">
      <c r="A64" s="33" t="s">
        <v>218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统计资料!I17</f>
        <v>6464.3</v>
      </c>
      <c r="L64" s="19">
        <f>统计资料!J17</f>
        <v>7944.8</v>
      </c>
      <c r="M64" s="20">
        <f>统计资料!K17</f>
        <v>9456.1</v>
      </c>
      <c r="N64" s="20">
        <f>统计资料!L17</f>
        <v>11023.2</v>
      </c>
      <c r="O64" s="20">
        <f>统计资料!M17</f>
        <v>12476</v>
      </c>
      <c r="P64" s="21">
        <f>统计资料!N17</f>
        <v>13887.2</v>
      </c>
      <c r="Q64" s="19">
        <f>统计资料!O17</f>
        <v>15394.2</v>
      </c>
      <c r="R64" s="20">
        <f>统计资料!P17</f>
        <v>17444.7</v>
      </c>
      <c r="S64" s="20">
        <f>统计资料!Q17</f>
        <v>20175.3</v>
      </c>
      <c r="T64" s="20">
        <f>统计资料!R17</f>
        <v>22624.3</v>
      </c>
      <c r="U64" s="20">
        <f>统计资料!S17</f>
        <v>24166.2</v>
      </c>
      <c r="V64" s="89">
        <f t="shared" si="7"/>
        <v>26985.967493197735</v>
      </c>
      <c r="W64" s="101">
        <f>$U64/SUM($U$62:$U$70)*($W$56-SUM($W$57:$W$61))</f>
        <v>28443.41639884403</v>
      </c>
    </row>
    <row r="65" spans="1:23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统计资料!I18</f>
        <v>2035.1</v>
      </c>
      <c r="L65" s="19">
        <f>统计资料!J18</f>
        <v>2499.3000000000002</v>
      </c>
      <c r="M65" s="20">
        <f>统计资料!K18</f>
        <v>3024.7</v>
      </c>
      <c r="N65" s="20">
        <f>统计资料!L18</f>
        <v>3665.1</v>
      </c>
      <c r="O65" s="20">
        <f>统计资料!M18</f>
        <v>3940.9</v>
      </c>
      <c r="P65" s="21">
        <f>统计资料!N18</f>
        <v>4128.6000000000004</v>
      </c>
      <c r="Q65" s="19">
        <f>统计资料!O18</f>
        <v>4354.6000000000004</v>
      </c>
      <c r="R65" s="20">
        <f>统计资料!P18</f>
        <v>4602.6000000000004</v>
      </c>
      <c r="S65" s="20">
        <f>统计资料!Q18</f>
        <v>5096.1000000000004</v>
      </c>
      <c r="T65" s="20">
        <f>统计资料!R18</f>
        <v>5861.3</v>
      </c>
      <c r="U65" s="20">
        <f>统计资料!S18</f>
        <v>5863.1</v>
      </c>
      <c r="V65" s="89">
        <f t="shared" si="7"/>
        <v>6547.2199191170994</v>
      </c>
      <c r="W65" s="101">
        <f t="shared" si="8"/>
        <v>6900.8199339599296</v>
      </c>
    </row>
    <row r="66" spans="1:23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统计资料!I19</f>
        <v>6458</v>
      </c>
      <c r="L66" s="19">
        <f>统计资料!J19</f>
        <v>7574.7</v>
      </c>
      <c r="M66" s="20">
        <f>统计资料!K19</f>
        <v>8227.7999999999993</v>
      </c>
      <c r="N66" s="20">
        <f>统计资料!L19</f>
        <v>8707.7000000000007</v>
      </c>
      <c r="O66" s="20">
        <f>统计资料!M19</f>
        <v>9633.5</v>
      </c>
      <c r="P66" s="21">
        <f>统计资料!N19</f>
        <v>10586.7</v>
      </c>
      <c r="Q66" s="19">
        <f>统计资料!O19</f>
        <v>12183.5</v>
      </c>
      <c r="R66" s="20">
        <f>统计资料!P19</f>
        <v>13725.4</v>
      </c>
      <c r="S66" s="20">
        <f>统计资料!Q19</f>
        <v>14793.3</v>
      </c>
      <c r="T66" s="20">
        <f>统计资料!R19</f>
        <v>16983.400000000001</v>
      </c>
      <c r="U66" s="20">
        <f>统计资料!S19</f>
        <v>16353.2</v>
      </c>
      <c r="V66" s="89">
        <f>$U66/SUM($U$62:$U$70)*($V$56-SUM($V$57:$V$61))</f>
        <v>18261.328781925218</v>
      </c>
      <c r="W66" s="101">
        <f t="shared" si="8"/>
        <v>19247.580383079519</v>
      </c>
    </row>
    <row r="67" spans="1:23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统计资料!I20</f>
        <v>12367.9</v>
      </c>
      <c r="L67" s="19">
        <f>统计资料!J20</f>
        <v>14774.6</v>
      </c>
      <c r="M67" s="20">
        <f>统计资料!K20</f>
        <v>16645.7</v>
      </c>
      <c r="N67" s="20">
        <f>统计资料!L20</f>
        <v>18951.400000000001</v>
      </c>
      <c r="O67" s="20">
        <f>统计资料!M20</f>
        <v>21211</v>
      </c>
      <c r="P67" s="21">
        <f>统计资料!N20</f>
        <v>24370.5</v>
      </c>
      <c r="Q67" s="19">
        <f>统计资料!O20</f>
        <v>26964.9</v>
      </c>
      <c r="R67" s="20">
        <f>统计资料!P20</f>
        <v>30208.400000000001</v>
      </c>
      <c r="S67" s="20">
        <f>统计资料!Q20</f>
        <v>34001.4</v>
      </c>
      <c r="T67" s="20">
        <f>统计资料!R20</f>
        <v>37934.1</v>
      </c>
      <c r="U67" s="20">
        <f>统计资料!S20</f>
        <v>40091.9</v>
      </c>
      <c r="V67" s="89">
        <f t="shared" si="7"/>
        <v>44769.914597269504</v>
      </c>
      <c r="W67" s="101">
        <f t="shared" si="8"/>
        <v>47187.832837633352</v>
      </c>
    </row>
    <row r="68" spans="1:23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统计资料!I21</f>
        <v>5889.4</v>
      </c>
      <c r="L68" s="19">
        <f>统计资料!J21</f>
        <v>7428.8</v>
      </c>
      <c r="M68" s="20">
        <f>统计资料!K21</f>
        <v>9011.2000000000007</v>
      </c>
      <c r="N68" s="20">
        <f>统计资料!L21</f>
        <v>11034.4</v>
      </c>
      <c r="O68" s="20">
        <f>统计资料!M21</f>
        <v>12653.3</v>
      </c>
      <c r="P68" s="21">
        <f>统计资料!N21</f>
        <v>14765.4</v>
      </c>
      <c r="Q68" s="19">
        <f>统计资料!O21</f>
        <v>16766.8</v>
      </c>
      <c r="R68" s="20">
        <f>统计资料!P21</f>
        <v>18548.8</v>
      </c>
      <c r="S68" s="20">
        <f>统计资料!Q21</f>
        <v>20652.599999999999</v>
      </c>
      <c r="T68" s="20">
        <f>统计资料!R21</f>
        <v>22354.6</v>
      </c>
      <c r="U68" s="20">
        <f>统计资料!S21</f>
        <v>24396.1</v>
      </c>
      <c r="V68" s="89">
        <f t="shared" si="7"/>
        <v>27242.692751065588</v>
      </c>
      <c r="W68" s="101">
        <f t="shared" si="8"/>
        <v>28714.006786662318</v>
      </c>
    </row>
    <row r="69" spans="1:23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统计资料!I22</f>
        <v>2827.7</v>
      </c>
      <c r="L69" s="19">
        <f>统计资料!J22</f>
        <v>3325.9</v>
      </c>
      <c r="M69" s="20">
        <f>统计资料!K22</f>
        <v>3758.2</v>
      </c>
      <c r="N69" s="20">
        <f>统计资料!L22</f>
        <v>4137.8999999999996</v>
      </c>
      <c r="O69" s="20">
        <f>统计资料!M22</f>
        <v>4480.7</v>
      </c>
      <c r="P69" s="21">
        <f>统计资料!N22</f>
        <v>5063.8</v>
      </c>
      <c r="Q69" s="19">
        <f>统计资料!O22</f>
        <v>5579.8</v>
      </c>
      <c r="R69" s="20">
        <f>统计资料!P22</f>
        <v>6625.4</v>
      </c>
      <c r="S69" s="20">
        <f>统计资料!Q22</f>
        <v>7301.3</v>
      </c>
      <c r="T69" s="20">
        <f>统计资料!R22</f>
        <v>8137.8</v>
      </c>
      <c r="U69" s="20">
        <f>统计资料!S22</f>
        <v>6981.2</v>
      </c>
      <c r="V69" s="89">
        <f t="shared" si="7"/>
        <v>7795.7823846327528</v>
      </c>
      <c r="W69" s="101">
        <f t="shared" si="8"/>
        <v>8216.8143342192798</v>
      </c>
    </row>
    <row r="70" spans="1:23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统计资料!I23</f>
        <v>16302.7</v>
      </c>
      <c r="L70" s="25">
        <f>统计资料!J23</f>
        <v>18079</v>
      </c>
      <c r="M70" s="26">
        <f>统计资料!K23</f>
        <v>20101.7</v>
      </c>
      <c r="N70" s="26">
        <f>统计资料!L23</f>
        <v>21693</v>
      </c>
      <c r="O70" s="26">
        <f>统计资料!M23</f>
        <v>24301.200000000001</v>
      </c>
      <c r="P70" s="27">
        <f>统计资料!N23</f>
        <v>28447.8</v>
      </c>
      <c r="Q70" s="25">
        <f>统计资料!O23</f>
        <v>33847.800000000003</v>
      </c>
      <c r="R70" s="26">
        <f>统计资料!P23</f>
        <v>38848.800000000003</v>
      </c>
      <c r="S70" s="26">
        <f>统计资料!Q23</f>
        <v>43923.1</v>
      </c>
      <c r="T70" s="26">
        <f>统计资料!R23</f>
        <v>47790.5</v>
      </c>
      <c r="U70" s="26">
        <f>统计资料!S23</f>
        <v>49261.9</v>
      </c>
      <c r="V70" s="91">
        <f t="shared" si="7"/>
        <v>55009.891172511918</v>
      </c>
      <c r="W70" s="102">
        <f t="shared" si="8"/>
        <v>57980.846566618457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3B0F-7AA7-44FD-A0E7-1AA990A52865}">
  <dimension ref="A1:T126"/>
  <sheetViews>
    <sheetView topLeftCell="A46" zoomScale="90" zoomScaleNormal="90" workbookViewId="0">
      <selection activeCell="G77" sqref="G77:G79"/>
    </sheetView>
  </sheetViews>
  <sheetFormatPr defaultRowHeight="14.25" x14ac:dyDescent="0.2"/>
  <cols>
    <col min="1" max="1" width="18.375" customWidth="1"/>
    <col min="2" max="2" width="24.875" style="124" customWidth="1"/>
    <col min="3" max="4" width="15.625" style="124" customWidth="1"/>
    <col min="5" max="10" width="17" style="124" customWidth="1"/>
    <col min="11" max="18" width="17" customWidth="1"/>
    <col min="19" max="19" width="16.25" customWidth="1"/>
    <col min="20" max="20" width="10.5" bestFit="1" customWidth="1"/>
  </cols>
  <sheetData>
    <row r="1" spans="1:7" x14ac:dyDescent="0.2">
      <c r="A1" s="180" t="s">
        <v>159</v>
      </c>
      <c r="B1" s="181"/>
      <c r="C1" s="151"/>
      <c r="D1" s="151"/>
    </row>
    <row r="2" spans="1:7" x14ac:dyDescent="0.2">
      <c r="A2" s="149"/>
      <c r="B2" s="150" t="s">
        <v>201</v>
      </c>
    </row>
    <row r="3" spans="1:7" x14ac:dyDescent="0.2">
      <c r="A3" s="62" t="s">
        <v>161</v>
      </c>
      <c r="B3" s="126">
        <v>5.3999999999999999E-2</v>
      </c>
    </row>
    <row r="4" spans="1:7" x14ac:dyDescent="0.2">
      <c r="A4" s="62" t="s">
        <v>199</v>
      </c>
      <c r="B4" s="126">
        <v>5.1999999999999998E-2</v>
      </c>
    </row>
    <row r="5" spans="1:7" x14ac:dyDescent="0.2">
      <c r="A5" s="62" t="s">
        <v>200</v>
      </c>
      <c r="B5" s="126">
        <v>4.1000000000000002E-2</v>
      </c>
    </row>
    <row r="6" spans="1:7" x14ac:dyDescent="0.2">
      <c r="A6" s="62" t="s">
        <v>162</v>
      </c>
      <c r="B6" s="126">
        <v>0.03</v>
      </c>
    </row>
    <row r="7" spans="1:7" x14ac:dyDescent="0.2">
      <c r="A7" s="62" t="s">
        <v>208</v>
      </c>
      <c r="B7" s="126">
        <v>2.3E-2</v>
      </c>
    </row>
    <row r="8" spans="1:7" x14ac:dyDescent="0.2">
      <c r="A8" s="93" t="s">
        <v>160</v>
      </c>
    </row>
    <row r="9" spans="1:7" x14ac:dyDescent="0.2">
      <c r="A9" s="94" t="s">
        <v>187</v>
      </c>
    </row>
    <row r="10" spans="1:7" x14ac:dyDescent="0.2">
      <c r="A10" s="94" t="s">
        <v>191</v>
      </c>
    </row>
    <row r="11" spans="1:7" x14ac:dyDescent="0.2">
      <c r="A11" s="95" t="s">
        <v>163</v>
      </c>
    </row>
    <row r="13" spans="1:7" x14ac:dyDescent="0.2">
      <c r="A13" s="177" t="s">
        <v>164</v>
      </c>
      <c r="B13" s="178"/>
      <c r="C13" s="178"/>
      <c r="D13" s="178"/>
      <c r="E13" s="178"/>
      <c r="F13" s="179"/>
      <c r="G13" s="130"/>
    </row>
    <row r="14" spans="1:7" x14ac:dyDescent="0.2">
      <c r="A14" s="62"/>
      <c r="B14" s="125" t="s">
        <v>165</v>
      </c>
      <c r="C14" s="125" t="s">
        <v>166</v>
      </c>
      <c r="D14" s="125" t="s">
        <v>168</v>
      </c>
      <c r="E14" s="125" t="s">
        <v>169</v>
      </c>
      <c r="F14" s="125" t="s">
        <v>167</v>
      </c>
    </row>
    <row r="15" spans="1:7" x14ac:dyDescent="0.2">
      <c r="A15" s="97">
        <v>2025</v>
      </c>
      <c r="B15" s="126">
        <f>1-C15-F15</f>
        <v>7.3999999999999955E-2</v>
      </c>
      <c r="C15" s="126">
        <f>SUM(D15:E15)</f>
        <v>0.38100000000000001</v>
      </c>
      <c r="D15" s="126">
        <v>0.313</v>
      </c>
      <c r="E15" s="126">
        <v>6.8000000000000005E-2</v>
      </c>
      <c r="F15" s="126">
        <v>0.54500000000000004</v>
      </c>
      <c r="G15" s="152"/>
    </row>
    <row r="16" spans="1:7" x14ac:dyDescent="0.2">
      <c r="A16" s="97">
        <v>2030</v>
      </c>
      <c r="B16" s="126">
        <f t="shared" ref="B16:B17" si="0">1-C16-F16</f>
        <v>7.2000000000000064E-2</v>
      </c>
      <c r="C16" s="126">
        <f>SUM(D16:E16)</f>
        <v>0.35499999999999998</v>
      </c>
      <c r="D16" s="126">
        <v>0.28999999999999998</v>
      </c>
      <c r="E16" s="126">
        <v>6.5000000000000002E-2</v>
      </c>
      <c r="F16" s="126">
        <v>0.57299999999999995</v>
      </c>
      <c r="G16" s="152"/>
    </row>
    <row r="17" spans="1:20" x14ac:dyDescent="0.2">
      <c r="A17" s="97">
        <v>2035</v>
      </c>
      <c r="B17" s="126">
        <f t="shared" si="0"/>
        <v>6.3999999999999946E-2</v>
      </c>
      <c r="C17" s="126">
        <f t="shared" ref="C17:C18" si="1">SUM(D17:E17)</f>
        <v>0.33800000000000002</v>
      </c>
      <c r="D17" s="126">
        <v>0.27800000000000002</v>
      </c>
      <c r="E17" s="126">
        <v>0.06</v>
      </c>
      <c r="F17" s="126">
        <v>0.59799999999999998</v>
      </c>
      <c r="G17" s="152"/>
    </row>
    <row r="18" spans="1:20" x14ac:dyDescent="0.2">
      <c r="A18" s="97">
        <v>2050</v>
      </c>
      <c r="B18" s="126">
        <f t="shared" ref="B18" si="2">1-C18-F18</f>
        <v>5.2999999999999936E-2</v>
      </c>
      <c r="C18" s="126">
        <f t="shared" si="1"/>
        <v>0.26700000000000002</v>
      </c>
      <c r="D18" s="126">
        <v>0.215</v>
      </c>
      <c r="E18" s="126">
        <v>5.1999999999999998E-2</v>
      </c>
      <c r="F18" s="126">
        <v>0.68</v>
      </c>
      <c r="G18" s="152"/>
    </row>
    <row r="19" spans="1:20" x14ac:dyDescent="0.2">
      <c r="A19" s="97">
        <v>2060</v>
      </c>
      <c r="B19" s="126">
        <f>1-C19-F19</f>
        <v>5.0000000000000044E-2</v>
      </c>
      <c r="C19" s="126">
        <f>SUM(D19:E19)</f>
        <v>0.245</v>
      </c>
      <c r="D19" s="126">
        <v>0.19500000000000001</v>
      </c>
      <c r="E19" s="126">
        <v>0.05</v>
      </c>
      <c r="F19" s="126">
        <v>0.70499999999999996</v>
      </c>
      <c r="G19" s="152"/>
    </row>
    <row r="20" spans="1:20" x14ac:dyDescent="0.2">
      <c r="A20" s="94" t="s">
        <v>160</v>
      </c>
    </row>
    <row r="21" spans="1:20" x14ac:dyDescent="0.2">
      <c r="A21" s="94" t="s">
        <v>190</v>
      </c>
    </row>
    <row r="22" spans="1:20" x14ac:dyDescent="0.2">
      <c r="A22" s="94" t="s">
        <v>188</v>
      </c>
    </row>
    <row r="23" spans="1:20" x14ac:dyDescent="0.2">
      <c r="A23" s="94" t="s">
        <v>189</v>
      </c>
    </row>
    <row r="26" spans="1:20" x14ac:dyDescent="0.2">
      <c r="A26" s="182" t="s">
        <v>219</v>
      </c>
      <c r="B26" s="182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8"/>
      <c r="O26" s="154"/>
      <c r="P26" s="154"/>
      <c r="Q26" s="154"/>
      <c r="R26" s="154"/>
      <c r="S26" s="154"/>
    </row>
    <row r="27" spans="1:20" x14ac:dyDescent="0.2">
      <c r="A27" s="62"/>
      <c r="B27" s="97"/>
      <c r="C27" s="170" t="s">
        <v>274</v>
      </c>
      <c r="D27" s="171" t="s">
        <v>275</v>
      </c>
      <c r="E27" s="171" t="s">
        <v>276</v>
      </c>
      <c r="F27" s="171" t="s">
        <v>277</v>
      </c>
      <c r="G27" s="171" t="s">
        <v>278</v>
      </c>
      <c r="H27" s="171" t="s">
        <v>279</v>
      </c>
      <c r="I27" s="171" t="s">
        <v>280</v>
      </c>
      <c r="J27" s="171" t="s">
        <v>281</v>
      </c>
      <c r="K27" s="171" t="s">
        <v>282</v>
      </c>
      <c r="L27" s="171" t="s">
        <v>283</v>
      </c>
      <c r="M27" s="171" t="s">
        <v>284</v>
      </c>
      <c r="N27" s="171" t="s">
        <v>285</v>
      </c>
      <c r="O27" s="171" t="s">
        <v>220</v>
      </c>
      <c r="P27" s="171" t="s">
        <v>221</v>
      </c>
      <c r="Q27" s="171" t="s">
        <v>222</v>
      </c>
      <c r="R27" s="171" t="s">
        <v>223</v>
      </c>
      <c r="S27" s="171" t="s">
        <v>224</v>
      </c>
    </row>
    <row r="28" spans="1:20" x14ac:dyDescent="0.2">
      <c r="A28" s="62"/>
      <c r="B28" s="97" t="s">
        <v>167</v>
      </c>
      <c r="C28" s="166">
        <f>(VLOOKUP($B28,'增加值 (2001-2060, 2020RMB)'!$A$56:$W$70,20,0)/VLOOKUP($B28,'增加值 (2001-2060, 2020RMB)'!$A$56:$W$70,17,0))^(1/3)-1</f>
        <v>7.8274323441529514E-2</v>
      </c>
      <c r="D28" s="166">
        <f>(VLOOKUP($B28,'增加值 (2001-2060, 2020RMB)'!$A$56:$W$70,23,0)/VLOOKUP($B28,'增加值 (2001-2060, 2020RMB)'!$A$56:$W$70,20,0))^(1/3)-1</f>
        <v>3.5189477967090044E-2</v>
      </c>
      <c r="E28" s="166"/>
      <c r="F28" s="166"/>
      <c r="G28" s="166"/>
      <c r="H28" s="166"/>
      <c r="I28" s="166"/>
      <c r="J28" s="166">
        <f>('增加值 (2001-2060, 2020RMB)'!Z56/'增加值 (2001-2060, 2020RMB)'!W56)^(1/3)-1</f>
        <v>6.87682775595162E-2</v>
      </c>
      <c r="K28" s="166">
        <f>('增加值 (2001-2060, 2020RMB)'!AE56/'增加值 (2001-2060, 2020RMB)'!Z56)^0.2-1</f>
        <v>6.2594010875053341E-2</v>
      </c>
      <c r="L28" s="166">
        <f>('增加值 (2001-2060, 2020RMB)'!AJ56/'增加值 (2001-2060, 2020RMB)'!AE56)^0.2-1</f>
        <v>4.9929266938674166E-2</v>
      </c>
      <c r="M28" s="166">
        <f>('增加值 (2001-2060, 2020RMB)'!AY56/'增加值 (2001-2060, 2020RMB)'!AJ56)^(1/15)-1</f>
        <v>3.886171110605563E-2</v>
      </c>
      <c r="N28" s="166">
        <f>('增加值 (2001-2060, 2020RMB)'!BI56/'增加值 (2001-2060, 2020RMB)'!AY56)^0.1-1</f>
        <v>1.6251659177582756E-2</v>
      </c>
      <c r="O28" s="169">
        <f>SUM(O29:O42)</f>
        <v>717891.66631726944</v>
      </c>
      <c r="P28" s="169">
        <f>SUM(P29:P42)</f>
        <v>1000612.4353600605</v>
      </c>
      <c r="Q28" s="169">
        <f>SUM(Q29:Q42)</f>
        <v>1324973.2995548693</v>
      </c>
      <c r="R28" s="169">
        <f>SUM(R29:R42)</f>
        <v>2694470.6046624589</v>
      </c>
      <c r="S28" s="169">
        <f>SUM(S29:S42)</f>
        <v>3909709.8204083969</v>
      </c>
      <c r="T28" s="175"/>
    </row>
    <row r="29" spans="1:20" x14ac:dyDescent="0.2">
      <c r="A29" s="62" t="s">
        <v>272</v>
      </c>
      <c r="B29" s="62" t="s">
        <v>193</v>
      </c>
      <c r="C29" s="166">
        <f>(VLOOKUP($B29,'增加值 (2001-2060, 2020RMB)'!$A$56:$W$70,20,0)/VLOOKUP($B29,'增加值 (2001-2060, 2020RMB)'!$A$56:$W$70,17,0))^(1/3)-1</f>
        <v>5.8758080155827841E-2</v>
      </c>
      <c r="D29" s="166">
        <f>(VLOOKUP($B29,'增加值 (2001-2060, 2020RMB)'!$A$56:$W$70,23,0)/VLOOKUP($B29,'增加值 (2001-2060, 2020RMB)'!$A$56:$W$70,20,0))^(1/3)-1</f>
        <v>3.6529505831279563E-2</v>
      </c>
      <c r="E29" s="167">
        <v>0.7</v>
      </c>
      <c r="F29" s="167">
        <v>0.6</v>
      </c>
      <c r="G29" s="167">
        <v>0.5</v>
      </c>
      <c r="H29" s="167">
        <v>0.4</v>
      </c>
      <c r="I29" s="167">
        <v>0.3</v>
      </c>
      <c r="J29" s="129">
        <f>$C29*E29</f>
        <v>4.1130656109079483E-2</v>
      </c>
      <c r="K29" s="129">
        <f t="shared" ref="K29:N42" si="3">$C29*F29</f>
        <v>3.5254848093496702E-2</v>
      </c>
      <c r="L29" s="129">
        <f t="shared" si="3"/>
        <v>2.937904007791392E-2</v>
      </c>
      <c r="M29" s="129">
        <f t="shared" si="3"/>
        <v>2.3503232062331139E-2</v>
      </c>
      <c r="N29" s="129">
        <f t="shared" si="3"/>
        <v>1.7627424046748351E-2</v>
      </c>
      <c r="O29" s="169">
        <f>VLOOKUP($B29,'增加值 (2001-2060, 2020RMB)'!$A$56:$BI$70,23,0)*(1+J29)^3</f>
        <v>120850.25110351965</v>
      </c>
      <c r="P29" s="169">
        <f>VLOOKUP($B29,'增加值 (2001-2060, 2020RMB)'!$A$56:$BI$70,26,0)*(1+K29)^5</f>
        <v>144564.71828097681</v>
      </c>
      <c r="Q29" s="169">
        <f>VLOOKUP($B29,'增加值 (2001-2060, 2020RMB)'!$A$56:$BI$70,31,0)*(1+L29)^5</f>
        <v>163360.53470991532</v>
      </c>
      <c r="R29" s="169">
        <f>VLOOKUP($B29,'增加值 (2001-2060, 2020RMB)'!$A$56:$BI$70,36,0)*(1+M29)^15</f>
        <v>218048.26159701147</v>
      </c>
      <c r="S29" s="169">
        <f>VLOOKUP($B29,'增加值 (2001-2060, 2020RMB)'!$A$56:$BI$70,51,0)*(1+N29)^10</f>
        <v>213111.86656336708</v>
      </c>
    </row>
    <row r="30" spans="1:20" x14ac:dyDescent="0.2">
      <c r="A30" s="62"/>
      <c r="B30" s="62" t="s">
        <v>194</v>
      </c>
      <c r="C30" s="166">
        <f>(VLOOKUP($B30,'增加值 (2001-2060, 2020RMB)'!$A$56:$W$70,20,0)/VLOOKUP($B30,'增加值 (2001-2060, 2020RMB)'!$A$56:$W$70,17,0))^(1/3)-1</f>
        <v>6.3696595965439418E-2</v>
      </c>
      <c r="D30" s="166">
        <f>(VLOOKUP($B30,'增加值 (2001-2060, 2020RMB)'!$A$56:$W$70,23,0)/VLOOKUP($B30,'增加值 (2001-2060, 2020RMB)'!$A$56:$W$70,20,0))^(1/3)-1</f>
        <v>-2.4710709867632796E-2</v>
      </c>
      <c r="E30" s="167">
        <v>0.7</v>
      </c>
      <c r="F30" s="167">
        <v>0.6</v>
      </c>
      <c r="G30" s="167">
        <v>0.5</v>
      </c>
      <c r="H30" s="167">
        <v>0.4</v>
      </c>
      <c r="I30" s="167">
        <v>0.3</v>
      </c>
      <c r="J30" s="129">
        <f t="shared" ref="J30:J42" si="4">$C30*E30</f>
        <v>4.4587617175807587E-2</v>
      </c>
      <c r="K30" s="129">
        <f t="shared" si="3"/>
        <v>3.8217957579263648E-2</v>
      </c>
      <c r="L30" s="129">
        <f t="shared" si="3"/>
        <v>3.1848297982719709E-2</v>
      </c>
      <c r="M30" s="129">
        <f t="shared" si="3"/>
        <v>2.547863838617577E-2</v>
      </c>
      <c r="N30" s="129">
        <f t="shared" si="3"/>
        <v>1.9108978789631824E-2</v>
      </c>
      <c r="O30" s="169">
        <f>VLOOKUP($B30,'增加值 (2001-2060, 2020RMB)'!$A$56:$BI$70,23,0)*(1+J30)^3</f>
        <v>19030.973656543098</v>
      </c>
      <c r="P30" s="169">
        <f>VLOOKUP($B30,'增加值 (2001-2060, 2020RMB)'!$A$56:$BI$70,26,0)*(1+K30)^5</f>
        <v>23093.091816906119</v>
      </c>
      <c r="Q30" s="169">
        <f>VLOOKUP($B30,'增加值 (2001-2060, 2020RMB)'!$A$56:$BI$70,31,0)*(1+L30)^5</f>
        <v>26410.071072728479</v>
      </c>
      <c r="R30" s="169">
        <f>VLOOKUP($B30,'增加值 (2001-2060, 2020RMB)'!$A$56:$BI$70,36,0)*(1+M30)^15</f>
        <v>36285.745210255358</v>
      </c>
      <c r="S30" s="169">
        <f>VLOOKUP($B30,'增加值 (2001-2060, 2020RMB)'!$A$56:$BI$70,51,0)*(1+N30)^10</f>
        <v>35983.989194674068</v>
      </c>
    </row>
    <row r="31" spans="1:20" x14ac:dyDescent="0.2">
      <c r="B31" s="62" t="s">
        <v>206</v>
      </c>
      <c r="C31" s="166">
        <f>(VLOOKUP($B31,'增加值 (2001-2060, 2020RMB)'!$A$56:$W$70,20,0)/VLOOKUP($B31,'增加值 (2001-2060, 2020RMB)'!$A$56:$W$70,17,0))^(1/3)-1</f>
        <v>5.5573901176045437E-2</v>
      </c>
      <c r="D31" s="166">
        <f>(VLOOKUP($B31,'增加值 (2001-2060, 2020RMB)'!$A$56:$W$70,23,0)/VLOOKUP($B31,'增加值 (2001-2060, 2020RMB)'!$A$56:$W$70,20,0))^(1/3)-1</f>
        <v>2.8524195486400394E-2</v>
      </c>
      <c r="E31" s="167">
        <v>0.7</v>
      </c>
      <c r="F31" s="167">
        <v>0.6</v>
      </c>
      <c r="G31" s="167">
        <v>0.5</v>
      </c>
      <c r="H31" s="167">
        <v>0.4</v>
      </c>
      <c r="I31" s="167">
        <v>0.3</v>
      </c>
      <c r="J31" s="129">
        <f t="shared" si="4"/>
        <v>3.8901730823231805E-2</v>
      </c>
      <c r="K31" s="129">
        <f t="shared" si="3"/>
        <v>3.3344340705627258E-2</v>
      </c>
      <c r="L31" s="129">
        <f t="shared" si="3"/>
        <v>2.7786950588022719E-2</v>
      </c>
      <c r="M31" s="129">
        <f t="shared" si="3"/>
        <v>2.2229560470418176E-2</v>
      </c>
      <c r="N31" s="129">
        <f t="shared" si="3"/>
        <v>1.6672170352813629E-2</v>
      </c>
      <c r="O31" s="169">
        <f>VLOOKUP($B31,'增加值 (2001-2060, 2020RMB)'!$A$56:$BI$70,23,0)*(1+J31)^3</f>
        <v>52084.578779459756</v>
      </c>
      <c r="P31" s="169">
        <f>VLOOKUP($B31,'增加值 (2001-2060, 2020RMB)'!$A$56:$BI$70,26,0)*(1+K31)^5</f>
        <v>61732.35927848288</v>
      </c>
      <c r="Q31" s="169">
        <f>VLOOKUP($B31,'增加值 (2001-2060, 2020RMB)'!$A$56:$BI$70,31,0)*(1+L31)^5</f>
        <v>69220.797509766096</v>
      </c>
      <c r="R31" s="169">
        <f>VLOOKUP($B31,'增加值 (2001-2060, 2020RMB)'!$A$56:$BI$70,36,0)*(1+M31)^15</f>
        <v>90683.931039104253</v>
      </c>
      <c r="S31" s="169">
        <f>VLOOKUP($B31,'增加值 (2001-2060, 2020RMB)'!$A$56:$BI$70,51,0)*(1+N31)^10</f>
        <v>87802.458452972816</v>
      </c>
    </row>
    <row r="32" spans="1:20" x14ac:dyDescent="0.2">
      <c r="A32" s="62" t="s">
        <v>273</v>
      </c>
      <c r="B32" s="62" t="s">
        <v>58</v>
      </c>
      <c r="C32" s="166">
        <f>(VLOOKUP($B32,'增加值 (2001-2060, 2020RMB)'!$A$56:$W$70,20,0)/VLOOKUP($B32,'增加值 (2001-2060, 2020RMB)'!$A$56:$W$70,17,0))^(1/3)-1</f>
        <v>5.1691957445564096E-2</v>
      </c>
      <c r="D32" s="166">
        <f>(VLOOKUP($B32,'增加值 (2001-2060, 2020RMB)'!$A$56:$W$70,23,0)/VLOOKUP($B32,'增加值 (2001-2060, 2020RMB)'!$A$56:$W$70,20,0))^(1/3)-1</f>
        <v>5.7014546537245137E-2</v>
      </c>
      <c r="E32" s="167">
        <v>1</v>
      </c>
      <c r="F32" s="167">
        <v>1</v>
      </c>
      <c r="G32" s="167">
        <v>0.8</v>
      </c>
      <c r="H32" s="167">
        <v>0.5</v>
      </c>
      <c r="I32" s="167">
        <v>0.5</v>
      </c>
      <c r="J32" s="129">
        <f t="shared" si="4"/>
        <v>5.1691957445564096E-2</v>
      </c>
      <c r="K32" s="129">
        <f t="shared" si="3"/>
        <v>5.1691957445564096E-2</v>
      </c>
      <c r="L32" s="129">
        <f t="shared" si="3"/>
        <v>4.1353565956451281E-2</v>
      </c>
      <c r="M32" s="129">
        <f t="shared" si="3"/>
        <v>2.5845978722782048E-2</v>
      </c>
      <c r="N32" s="129">
        <f t="shared" si="3"/>
        <v>2.5845978722782048E-2</v>
      </c>
      <c r="O32" s="169">
        <f>VLOOKUP($B32,'增加值 (2001-2060, 2020RMB)'!$A$56:$BI$70,23,0)*(1+J32)^3</f>
        <v>105305.14760304173</v>
      </c>
      <c r="P32" s="169">
        <f>VLOOKUP($B32,'增加值 (2001-2060, 2020RMB)'!$A$56:$BI$70,26,0)*(1+K32)^5</f>
        <v>136292.12323488144</v>
      </c>
      <c r="Q32" s="169">
        <f>VLOOKUP($B32,'增加值 (2001-2060, 2020RMB)'!$A$56:$BI$70,31,0)*(1+L32)^5</f>
        <v>163181.16408162398</v>
      </c>
      <c r="R32" s="169">
        <f>VLOOKUP($B32,'增加值 (2001-2060, 2020RMB)'!$A$56:$BI$70,36,0)*(1+M32)^15</f>
        <v>225408.16230503251</v>
      </c>
      <c r="S32" s="169">
        <f>VLOOKUP($B32,'增加值 (2001-2060, 2020RMB)'!$A$56:$BI$70,51,0)*(1+N32)^10</f>
        <v>238758.16022671579</v>
      </c>
    </row>
    <row r="33" spans="1:20" x14ac:dyDescent="0.2">
      <c r="A33" s="62"/>
      <c r="B33" s="62" t="s">
        <v>195</v>
      </c>
      <c r="C33" s="166">
        <f>(VLOOKUP($B33,'增加值 (2001-2060, 2020RMB)'!$A$56:$W$70,20,0)/VLOOKUP($B33,'增加值 (2001-2060, 2020RMB)'!$A$56:$W$70,17,0))^(1/3)-1</f>
        <v>8.8477020211982893E-2</v>
      </c>
      <c r="D33" s="166">
        <f>(VLOOKUP($B33,'增加值 (2001-2060, 2020RMB)'!$A$56:$W$70,23,0)/VLOOKUP($B33,'增加值 (2001-2060, 2020RMB)'!$A$56:$W$70,20,0))^(1/3)-1</f>
        <v>-8.4877901632879338E-3</v>
      </c>
      <c r="E33" s="167">
        <v>0.6</v>
      </c>
      <c r="F33" s="167">
        <v>0.5</v>
      </c>
      <c r="G33" s="167">
        <v>0.4</v>
      </c>
      <c r="H33" s="167">
        <v>0.4</v>
      </c>
      <c r="I33" s="167">
        <v>0.4</v>
      </c>
      <c r="J33" s="129">
        <f t="shared" si="4"/>
        <v>5.3086212127189732E-2</v>
      </c>
      <c r="K33" s="129">
        <f t="shared" si="3"/>
        <v>4.4238510105991447E-2</v>
      </c>
      <c r="L33" s="129">
        <f t="shared" si="3"/>
        <v>3.5390808084793161E-2</v>
      </c>
      <c r="M33" s="129">
        <f t="shared" si="3"/>
        <v>3.5390808084793161E-2</v>
      </c>
      <c r="N33" s="129">
        <f t="shared" si="3"/>
        <v>3.5390808084793161E-2</v>
      </c>
      <c r="O33" s="169">
        <f>VLOOKUP($B33,'增加值 (2001-2060, 2020RMB)'!$A$56:$BI$70,23,0)*(1+J33)^3</f>
        <v>80618.127305617847</v>
      </c>
      <c r="P33" s="169">
        <f>VLOOKUP($B33,'增加值 (2001-2060, 2020RMB)'!$A$56:$BI$70,26,0)*(1+K33)^5</f>
        <v>100695.39842843084</v>
      </c>
      <c r="Q33" s="169">
        <f>VLOOKUP($B33,'增加值 (2001-2060, 2020RMB)'!$A$56:$BI$70,31,0)*(1+L33)^5</f>
        <v>117149.21347888358</v>
      </c>
      <c r="R33" s="169">
        <f>VLOOKUP($B33,'增加值 (2001-2060, 2020RMB)'!$A$56:$BI$70,36,0)*(1+M33)^15</f>
        <v>185939.28631684935</v>
      </c>
      <c r="S33" s="169">
        <f>VLOOKUP($B33,'增加值 (2001-2060, 2020RMB)'!$A$56:$BI$70,51,0)*(1+N33)^10</f>
        <v>216063.39333104299</v>
      </c>
    </row>
    <row r="34" spans="1:20" x14ac:dyDescent="0.2">
      <c r="A34" s="62"/>
      <c r="B34" s="62" t="s">
        <v>207</v>
      </c>
      <c r="C34" s="166">
        <f>(VLOOKUP($B34,'增加值 (2001-2060, 2020RMB)'!$A$56:$W$70,20,0)/VLOOKUP($B34,'增加值 (2001-2060, 2020RMB)'!$A$56:$W$70,17,0))^(1/3)-1</f>
        <v>0.14924366218699059</v>
      </c>
      <c r="D34" s="166">
        <f>(VLOOKUP($B34,'增加值 (2001-2060, 2020RMB)'!$A$56:$W$70,23,0)/VLOOKUP($B34,'增加值 (2001-2060, 2020RMB)'!$A$56:$W$70,20,0))^(1/3)-1</f>
        <v>7.8333638749526591E-2</v>
      </c>
      <c r="E34" s="167">
        <v>0.9</v>
      </c>
      <c r="F34" s="167">
        <v>0.9</v>
      </c>
      <c r="G34" s="167">
        <v>0.8</v>
      </c>
      <c r="H34" s="167">
        <v>0.6</v>
      </c>
      <c r="I34" s="167">
        <v>0.6</v>
      </c>
      <c r="J34" s="129">
        <f t="shared" si="4"/>
        <v>0.13431929596829154</v>
      </c>
      <c r="K34" s="129">
        <f t="shared" si="3"/>
        <v>0.13431929596829154</v>
      </c>
      <c r="L34" s="129">
        <f t="shared" si="3"/>
        <v>0.11939492974959248</v>
      </c>
      <c r="M34" s="129">
        <f t="shared" si="3"/>
        <v>8.9546197312194348E-2</v>
      </c>
      <c r="N34" s="129">
        <f t="shared" si="3"/>
        <v>8.9546197312194348E-2</v>
      </c>
      <c r="O34" s="169">
        <f>VLOOKUP($B34,'增加值 (2001-2060, 2020RMB)'!$A$56:$BI$70,23,0)*(1+J34)^3</f>
        <v>61433.185516590151</v>
      </c>
      <c r="P34" s="169">
        <f>VLOOKUP($B34,'增加值 (2001-2060, 2020RMB)'!$A$56:$BI$70,26,0)*(1+K34)^5</f>
        <v>116053.44250267564</v>
      </c>
      <c r="Q34" s="169">
        <f>VLOOKUP($B34,'增加值 (2001-2060, 2020RMB)'!$A$56:$BI$70,31,0)*(1+L34)^5</f>
        <v>199426.52957395744</v>
      </c>
      <c r="R34" s="169">
        <f>VLOOKUP($B34,'增加值 (2001-2060, 2020RMB)'!$A$56:$BI$70,36,0)*(1+M34)^15</f>
        <v>680040.65454163589</v>
      </c>
      <c r="S34" s="169">
        <f>VLOOKUP($B34,'增加值 (2001-2060, 2020RMB)'!$A$56:$BI$70,51,0)*(1+N34)^10</f>
        <v>1315704.4729815593</v>
      </c>
    </row>
    <row r="35" spans="1:20" x14ac:dyDescent="0.2">
      <c r="A35" s="62"/>
      <c r="B35" s="62" t="s">
        <v>37</v>
      </c>
      <c r="C35" s="166">
        <f>(VLOOKUP($B35,'增加值 (2001-2060, 2020RMB)'!$A$56:$W$70,20,0)/VLOOKUP($B35,'增加值 (2001-2060, 2020RMB)'!$A$56:$W$70,17,0))^(1/3)-1</f>
        <v>0.11516786438456816</v>
      </c>
      <c r="D35" s="166">
        <f>(VLOOKUP($B35,'增加值 (2001-2060, 2020RMB)'!$A$56:$W$70,23,0)/VLOOKUP($B35,'增加值 (2001-2060, 2020RMB)'!$A$56:$W$70,20,0))^(1/3)-1</f>
        <v>2.8854191814652763E-2</v>
      </c>
      <c r="E35" s="167">
        <v>0.9</v>
      </c>
      <c r="F35" s="167">
        <v>0.9</v>
      </c>
      <c r="G35" s="167">
        <v>0.8</v>
      </c>
      <c r="H35" s="167">
        <v>0.6</v>
      </c>
      <c r="I35" s="167">
        <v>0.6</v>
      </c>
      <c r="J35" s="129">
        <f t="shared" si="4"/>
        <v>0.10365107794611135</v>
      </c>
      <c r="K35" s="129">
        <f t="shared" si="3"/>
        <v>0.10365107794611135</v>
      </c>
      <c r="L35" s="129">
        <f t="shared" si="3"/>
        <v>9.2134291507654537E-2</v>
      </c>
      <c r="M35" s="129">
        <f t="shared" si="3"/>
        <v>6.9100718630740895E-2</v>
      </c>
      <c r="N35" s="129">
        <f t="shared" si="3"/>
        <v>6.9100718630740895E-2</v>
      </c>
      <c r="O35" s="169">
        <f>VLOOKUP($B35,'增加值 (2001-2060, 2020RMB)'!$A$56:$BI$70,23,0)*(1+J35)^3</f>
        <v>48037.256141527272</v>
      </c>
      <c r="P35" s="169">
        <f>VLOOKUP($B35,'增加值 (2001-2060, 2020RMB)'!$A$56:$BI$70,26,0)*(1+K35)^5</f>
        <v>79125.331773668528</v>
      </c>
      <c r="Q35" s="169">
        <f>VLOOKUP($B35,'增加值 (2001-2060, 2020RMB)'!$A$56:$BI$70,31,0)*(1+L35)^5</f>
        <v>120199.8674617549</v>
      </c>
      <c r="R35" s="169">
        <f>VLOOKUP($B35,'增加值 (2001-2060, 2020RMB)'!$A$56:$BI$70,36,0)*(1+M35)^15</f>
        <v>308496.69569002051</v>
      </c>
      <c r="S35" s="169">
        <f>VLOOKUP($B35,'增加值 (2001-2060, 2020RMB)'!$A$56:$BI$70,51,0)*(1+N35)^10</f>
        <v>493859.84190530755</v>
      </c>
    </row>
    <row r="36" spans="1:20" x14ac:dyDescent="0.2">
      <c r="A36" s="62"/>
      <c r="B36" s="62" t="s">
        <v>38</v>
      </c>
      <c r="C36" s="166">
        <f>(VLOOKUP($B36,'增加值 (2001-2060, 2020RMB)'!$A$56:$W$70,20,0)/VLOOKUP($B36,'增加值 (2001-2060, 2020RMB)'!$A$56:$W$70,17,0))^(1/3)-1</f>
        <v>0.10368126786441612</v>
      </c>
      <c r="D36" s="166">
        <f>(VLOOKUP($B36,'增加值 (2001-2060, 2020RMB)'!$A$56:$W$70,23,0)/VLOOKUP($B36,'增加值 (2001-2060, 2020RMB)'!$A$56:$W$70,20,0))^(1/3)-1</f>
        <v>5.3552106832185586E-2</v>
      </c>
      <c r="E36" s="167">
        <v>0.9</v>
      </c>
      <c r="F36" s="167">
        <v>0.9</v>
      </c>
      <c r="G36" s="167">
        <v>0.8</v>
      </c>
      <c r="H36" s="167">
        <v>0.6</v>
      </c>
      <c r="I36" s="167">
        <v>0.6</v>
      </c>
      <c r="J36" s="129">
        <f t="shared" si="4"/>
        <v>9.3313141077974504E-2</v>
      </c>
      <c r="K36" s="129">
        <f t="shared" si="3"/>
        <v>9.3313141077974504E-2</v>
      </c>
      <c r="L36" s="129">
        <f t="shared" si="3"/>
        <v>8.2945014291532893E-2</v>
      </c>
      <c r="M36" s="129">
        <f t="shared" si="3"/>
        <v>6.2208760718649669E-2</v>
      </c>
      <c r="N36" s="129">
        <f t="shared" si="3"/>
        <v>6.2208760718649669E-2</v>
      </c>
      <c r="O36" s="169">
        <f>VLOOKUP($B36,'增加值 (2001-2060, 2020RMB)'!$A$56:$BI$70,23,0)*(1+J36)^3</f>
        <v>34759.594418240617</v>
      </c>
      <c r="P36" s="169">
        <f>VLOOKUP($B36,'增加值 (2001-2060, 2020RMB)'!$A$56:$BI$70,26,0)*(1+K36)^5</f>
        <v>54623.048363599613</v>
      </c>
      <c r="Q36" s="169">
        <f>VLOOKUP($B36,'增加值 (2001-2060, 2020RMB)'!$A$56:$BI$70,31,0)*(1+L36)^5</f>
        <v>79545.605361304843</v>
      </c>
      <c r="R36" s="169">
        <f>VLOOKUP($B36,'增加值 (2001-2060, 2020RMB)'!$A$56:$BI$70,36,0)*(1+M36)^15</f>
        <v>185281.29697103752</v>
      </c>
      <c r="S36" s="169">
        <f>VLOOKUP($B36,'增加值 (2001-2060, 2020RMB)'!$A$56:$BI$70,51,0)*(1+N36)^10</f>
        <v>278033.64533345116</v>
      </c>
    </row>
    <row r="37" spans="1:20" x14ac:dyDescent="0.2">
      <c r="A37" s="62"/>
      <c r="B37" s="62" t="s">
        <v>39</v>
      </c>
      <c r="C37" s="166">
        <f>(VLOOKUP($B37,'增加值 (2001-2060, 2020RMB)'!$A$56:$W$70,20,0)/VLOOKUP($B37,'增加值 (2001-2060, 2020RMB)'!$A$56:$W$70,17,0))^(1/3)-1</f>
        <v>7.181432431626944E-2</v>
      </c>
      <c r="D37" s="166">
        <f>(VLOOKUP($B37,'增加值 (2001-2060, 2020RMB)'!$A$56:$W$70,23,0)/VLOOKUP($B37,'增加值 (2001-2060, 2020RMB)'!$A$56:$W$70,20,0))^(1/3)-1</f>
        <v>3.075646025990264E-2</v>
      </c>
      <c r="E37" s="167">
        <v>0.9</v>
      </c>
      <c r="F37" s="167">
        <v>0.9</v>
      </c>
      <c r="G37" s="167">
        <v>0.8</v>
      </c>
      <c r="H37" s="167">
        <v>0.6</v>
      </c>
      <c r="I37" s="167">
        <v>0.6</v>
      </c>
      <c r="J37" s="129">
        <f t="shared" si="4"/>
        <v>6.4632891884642496E-2</v>
      </c>
      <c r="K37" s="129">
        <f t="shared" si="3"/>
        <v>6.4632891884642496E-2</v>
      </c>
      <c r="L37" s="129">
        <f t="shared" si="3"/>
        <v>5.7451459453015552E-2</v>
      </c>
      <c r="M37" s="129">
        <f t="shared" si="3"/>
        <v>4.3088594589761664E-2</v>
      </c>
      <c r="N37" s="129">
        <f t="shared" si="3"/>
        <v>4.3088594589761664E-2</v>
      </c>
      <c r="O37" s="169">
        <f>VLOOKUP($B37,'增加值 (2001-2060, 2020RMB)'!$A$56:$BI$70,23,0)*(1+J37)^3</f>
        <v>7786.8098727277329</v>
      </c>
      <c r="P37" s="169">
        <f>VLOOKUP($B37,'增加值 (2001-2060, 2020RMB)'!$A$56:$BI$70,26,0)*(1+K37)^5</f>
        <v>10713.647694318281</v>
      </c>
      <c r="Q37" s="169">
        <f>VLOOKUP($B37,'增加值 (2001-2060, 2020RMB)'!$A$56:$BI$70,31,0)*(1+L37)^5</f>
        <v>13849.936832200141</v>
      </c>
      <c r="R37" s="169">
        <f>VLOOKUP($B37,'增加值 (2001-2060, 2020RMB)'!$A$56:$BI$70,36,0)*(1+M37)^15</f>
        <v>24565.915263944076</v>
      </c>
      <c r="S37" s="169">
        <f>VLOOKUP($B37,'增加值 (2001-2060, 2020RMB)'!$A$56:$BI$70,51,0)*(1+N37)^10</f>
        <v>30740.568759481881</v>
      </c>
    </row>
    <row r="38" spans="1:20" x14ac:dyDescent="0.2">
      <c r="A38" s="62"/>
      <c r="B38" s="62" t="s">
        <v>40</v>
      </c>
      <c r="C38" s="166">
        <f>(VLOOKUP($B38,'增加值 (2001-2060, 2020RMB)'!$A$56:$W$70,20,0)/VLOOKUP($B38,'增加值 (2001-2060, 2020RMB)'!$A$56:$W$70,17,0))^(1/3)-1</f>
        <v>8.439753008648565E-2</v>
      </c>
      <c r="D38" s="166">
        <f>(VLOOKUP($B38,'增加值 (2001-2060, 2020RMB)'!$A$56:$W$70,23,0)/VLOOKUP($B38,'增加值 (2001-2060, 2020RMB)'!$A$56:$W$70,20,0))^(1/3)-1</f>
        <v>1.7741893187910973E-2</v>
      </c>
      <c r="E38" s="167">
        <v>0.9</v>
      </c>
      <c r="F38" s="167">
        <v>0.9</v>
      </c>
      <c r="G38" s="167">
        <v>0.8</v>
      </c>
      <c r="H38" s="167">
        <v>0.6</v>
      </c>
      <c r="I38" s="167">
        <v>0.6</v>
      </c>
      <c r="J38" s="129">
        <f t="shared" si="4"/>
        <v>7.5957777077837088E-2</v>
      </c>
      <c r="K38" s="129">
        <f t="shared" si="3"/>
        <v>7.5957777077837088E-2</v>
      </c>
      <c r="L38" s="129">
        <f t="shared" si="3"/>
        <v>6.7518024069188526E-2</v>
      </c>
      <c r="M38" s="129">
        <f t="shared" si="3"/>
        <v>5.0638518051891387E-2</v>
      </c>
      <c r="N38" s="129">
        <f t="shared" si="3"/>
        <v>5.0638518051891387E-2</v>
      </c>
      <c r="O38" s="169">
        <f>VLOOKUP($B38,'增加值 (2001-2060, 2020RMB)'!$A$56:$BI$70,23,0)*(1+J38)^3</f>
        <v>22419.249272701731</v>
      </c>
      <c r="P38" s="169">
        <f>VLOOKUP($B38,'增加值 (2001-2060, 2020RMB)'!$A$56:$BI$70,26,0)*(1+K38)^5</f>
        <v>32521.87700523929</v>
      </c>
      <c r="Q38" s="169">
        <f>VLOOKUP($B38,'增加值 (2001-2060, 2020RMB)'!$A$56:$BI$70,31,0)*(1+L38)^5</f>
        <v>44081.860114721669</v>
      </c>
      <c r="R38" s="169">
        <f>VLOOKUP($B38,'增加值 (2001-2060, 2020RMB)'!$A$56:$BI$70,36,0)*(1+M38)^15</f>
        <v>87121.811696567194</v>
      </c>
      <c r="S38" s="169">
        <f>VLOOKUP($B38,'增加值 (2001-2060, 2020RMB)'!$A$56:$BI$70,51,0)*(1+N38)^10</f>
        <v>117172.86969044607</v>
      </c>
    </row>
    <row r="39" spans="1:20" x14ac:dyDescent="0.2">
      <c r="A39" s="62"/>
      <c r="B39" s="62" t="s">
        <v>41</v>
      </c>
      <c r="C39" s="166">
        <f>(VLOOKUP($B39,'增加值 (2001-2060, 2020RMB)'!$A$56:$W$70,20,0)/VLOOKUP($B39,'增加值 (2001-2060, 2020RMB)'!$A$56:$W$70,17,0))^(1/3)-1</f>
        <v>8.7713836318461524E-2</v>
      </c>
      <c r="D39" s="166">
        <f>(VLOOKUP($B39,'增加值 (2001-2060, 2020RMB)'!$A$56:$W$70,23,0)/VLOOKUP($B39,'增加值 (2001-2060, 2020RMB)'!$A$56:$W$70,20,0))^(1/3)-1</f>
        <v>4.9833837021771021E-2</v>
      </c>
      <c r="E39" s="167">
        <v>0.9</v>
      </c>
      <c r="F39" s="167">
        <v>0.9</v>
      </c>
      <c r="G39" s="167">
        <v>0.8</v>
      </c>
      <c r="H39" s="167">
        <v>0.6</v>
      </c>
      <c r="I39" s="167">
        <v>0.6</v>
      </c>
      <c r="J39" s="129">
        <f t="shared" si="4"/>
        <v>7.8942452686615372E-2</v>
      </c>
      <c r="K39" s="129">
        <f t="shared" si="3"/>
        <v>7.8942452686615372E-2</v>
      </c>
      <c r="L39" s="129">
        <f t="shared" si="3"/>
        <v>7.017106905476922E-2</v>
      </c>
      <c r="M39" s="129">
        <f t="shared" si="3"/>
        <v>5.2628301791076915E-2</v>
      </c>
      <c r="N39" s="129">
        <f t="shared" si="3"/>
        <v>5.2628301791076915E-2</v>
      </c>
      <c r="O39" s="169">
        <f>VLOOKUP($B39,'增加值 (2001-2060, 2020RMB)'!$A$56:$BI$70,23,0)*(1+J39)^3</f>
        <v>55422.24492894506</v>
      </c>
      <c r="P39" s="169">
        <f>VLOOKUP($B39,'增加值 (2001-2060, 2020RMB)'!$A$56:$BI$70,26,0)*(1+K39)^5</f>
        <v>81518.074464851175</v>
      </c>
      <c r="Q39" s="169">
        <f>VLOOKUP($B39,'增加值 (2001-2060, 2020RMB)'!$A$56:$BI$70,31,0)*(1+L39)^5</f>
        <v>111873.74337342005</v>
      </c>
      <c r="R39" s="169">
        <f>VLOOKUP($B39,'增加值 (2001-2060, 2020RMB)'!$A$56:$BI$70,36,0)*(1+M39)^15</f>
        <v>227468.36983280131</v>
      </c>
      <c r="S39" s="169">
        <f>VLOOKUP($B39,'增加值 (2001-2060, 2020RMB)'!$A$56:$BI$70,51,0)*(1+N39)^10</f>
        <v>311772.94339977956</v>
      </c>
    </row>
    <row r="40" spans="1:20" x14ac:dyDescent="0.2">
      <c r="A40" s="62"/>
      <c r="B40" s="62" t="s">
        <v>42</v>
      </c>
      <c r="C40" s="166">
        <f>(VLOOKUP($B40,'增加值 (2001-2060, 2020RMB)'!$A$56:$W$70,20,0)/VLOOKUP($B40,'增加值 (2001-2060, 2020RMB)'!$A$56:$W$70,17,0))^(1/3)-1</f>
        <v>6.8423018137201419E-2</v>
      </c>
      <c r="D40" s="166">
        <f>(VLOOKUP($B40,'增加值 (2001-2060, 2020RMB)'!$A$56:$W$70,23,0)/VLOOKUP($B40,'增加值 (2001-2060, 2020RMB)'!$A$56:$W$70,20,0))^(1/3)-1</f>
        <v>6.1115802628005866E-2</v>
      </c>
      <c r="E40" s="167">
        <v>0.9</v>
      </c>
      <c r="F40" s="167">
        <v>0.9</v>
      </c>
      <c r="G40" s="167">
        <v>0.8</v>
      </c>
      <c r="H40" s="167">
        <v>0.6</v>
      </c>
      <c r="I40" s="167">
        <v>0.6</v>
      </c>
      <c r="J40" s="129">
        <f t="shared" si="4"/>
        <v>6.1580716323481277E-2</v>
      </c>
      <c r="K40" s="129">
        <f t="shared" si="3"/>
        <v>6.1580716323481277E-2</v>
      </c>
      <c r="L40" s="129">
        <f t="shared" si="3"/>
        <v>5.4738414509761135E-2</v>
      </c>
      <c r="M40" s="129">
        <f t="shared" si="3"/>
        <v>4.1053810882320851E-2</v>
      </c>
      <c r="N40" s="129">
        <f t="shared" si="3"/>
        <v>4.1053810882320851E-2</v>
      </c>
      <c r="O40" s="169">
        <f>VLOOKUP($B40,'增加值 (2001-2060, 2020RMB)'!$A$56:$BI$70,23,0)*(1+J40)^3</f>
        <v>32122.704178408349</v>
      </c>
      <c r="P40" s="169">
        <f>VLOOKUP($B40,'增加值 (2001-2060, 2020RMB)'!$A$56:$BI$70,26,0)*(1+K40)^5</f>
        <v>43566.793297695178</v>
      </c>
      <c r="Q40" s="169">
        <f>VLOOKUP($B40,'增加值 (2001-2060, 2020RMB)'!$A$56:$BI$70,31,0)*(1+L40)^5</f>
        <v>55601.644998451709</v>
      </c>
      <c r="R40" s="169">
        <f>VLOOKUP($B40,'增加值 (2001-2060, 2020RMB)'!$A$56:$BI$70,36,0)*(1+M40)^15</f>
        <v>95775.079356935239</v>
      </c>
      <c r="S40" s="169">
        <f>VLOOKUP($B40,'增加值 (2001-2060, 2020RMB)'!$A$56:$BI$70,51,0)*(1+N40)^10</f>
        <v>117530.68975956365</v>
      </c>
    </row>
    <row r="41" spans="1:20" x14ac:dyDescent="0.2">
      <c r="A41" s="62"/>
      <c r="B41" s="62" t="s">
        <v>43</v>
      </c>
      <c r="C41" s="166">
        <f>(VLOOKUP($B41,'增加值 (2001-2060, 2020RMB)'!$A$56:$W$70,20,0)/VLOOKUP($B41,'增加值 (2001-2060, 2020RMB)'!$A$56:$W$70,17,0))^(1/3)-1</f>
        <v>0.10086430289678239</v>
      </c>
      <c r="D41" s="166">
        <f>(VLOOKUP($B41,'增加值 (2001-2060, 2020RMB)'!$A$56:$W$70,23,0)/VLOOKUP($B41,'增加值 (2001-2060, 2020RMB)'!$A$56:$W$70,20,0))^(1/3)-1</f>
        <v>-2.069199526272103E-2</v>
      </c>
      <c r="E41" s="167">
        <v>0.8</v>
      </c>
      <c r="F41" s="167">
        <v>0.9</v>
      </c>
      <c r="G41" s="167">
        <v>0.8</v>
      </c>
      <c r="H41" s="167">
        <v>0.5</v>
      </c>
      <c r="I41" s="167">
        <v>0.5</v>
      </c>
      <c r="J41" s="129">
        <f t="shared" si="4"/>
        <v>8.0691442317425921E-2</v>
      </c>
      <c r="K41" s="129">
        <f t="shared" si="3"/>
        <v>9.0777872607104154E-2</v>
      </c>
      <c r="L41" s="129">
        <f t="shared" si="3"/>
        <v>8.0691442317425921E-2</v>
      </c>
      <c r="M41" s="129">
        <f t="shared" si="3"/>
        <v>5.0432151448391194E-2</v>
      </c>
      <c r="N41" s="129">
        <f t="shared" si="3"/>
        <v>5.0432151448391194E-2</v>
      </c>
      <c r="O41" s="169">
        <f>VLOOKUP($B41,'增加值 (2001-2060, 2020RMB)'!$A$56:$BI$70,23,0)*(1+J41)^3</f>
        <v>9697.6799668559506</v>
      </c>
      <c r="P41" s="169">
        <f>VLOOKUP($B41,'增加值 (2001-2060, 2020RMB)'!$A$56:$BI$70,26,0)*(1+K41)^5</f>
        <v>15063.567456774803</v>
      </c>
      <c r="Q41" s="169">
        <f>VLOOKUP($B41,'增加值 (2001-2060, 2020RMB)'!$A$56:$BI$70,31,0)*(1+L41)^5</f>
        <v>21709.24029117497</v>
      </c>
      <c r="R41" s="169">
        <f>VLOOKUP($B41,'增加值 (2001-2060, 2020RMB)'!$A$56:$BI$70,36,0)*(1+M41)^15</f>
        <v>42779.127525294709</v>
      </c>
      <c r="S41" s="169">
        <f>VLOOKUP($B41,'增加值 (2001-2060, 2020RMB)'!$A$56:$BI$70,51,0)*(1+N41)^10</f>
        <v>57422.086039960421</v>
      </c>
    </row>
    <row r="42" spans="1:20" x14ac:dyDescent="0.2">
      <c r="A42" s="62"/>
      <c r="B42" s="62" t="s">
        <v>44</v>
      </c>
      <c r="C42" s="166">
        <f>(VLOOKUP($B42,'增加值 (2001-2060, 2020RMB)'!$A$56:$W$70,20,0)/VLOOKUP($B42,'增加值 (2001-2060, 2020RMB)'!$A$56:$W$70,17,0))^(1/3)-1</f>
        <v>8.9033832957701176E-2</v>
      </c>
      <c r="D42" s="166">
        <f>(VLOOKUP($B42,'增加值 (2001-2060, 2020RMB)'!$A$56:$W$70,23,0)/VLOOKUP($B42,'增加值 (2001-2060, 2020RMB)'!$A$56:$W$70,20,0))^(1/3)-1</f>
        <v>4.1121647025851304E-2</v>
      </c>
      <c r="E42" s="167">
        <v>0.9</v>
      </c>
      <c r="F42" s="167">
        <v>0.9</v>
      </c>
      <c r="G42" s="167">
        <v>0.8</v>
      </c>
      <c r="H42" s="167">
        <v>0.6</v>
      </c>
      <c r="I42" s="167">
        <v>0.6</v>
      </c>
      <c r="J42" s="129">
        <f t="shared" si="4"/>
        <v>8.0130449661931058E-2</v>
      </c>
      <c r="K42" s="129">
        <f t="shared" si="3"/>
        <v>8.0130449661931058E-2</v>
      </c>
      <c r="L42" s="129">
        <f t="shared" si="3"/>
        <v>7.122706636616094E-2</v>
      </c>
      <c r="M42" s="129">
        <f t="shared" si="3"/>
        <v>5.3420299774620705E-2</v>
      </c>
      <c r="N42" s="129">
        <f t="shared" si="3"/>
        <v>5.3420299774620705E-2</v>
      </c>
      <c r="O42" s="169">
        <f>VLOOKUP($B42,'增加值 (2001-2060, 2020RMB)'!$A$56:$BI$70,23,0)*(1+J42)^3</f>
        <v>68323.863573090479</v>
      </c>
      <c r="P42" s="169">
        <f>VLOOKUP($B42,'增加值 (2001-2060, 2020RMB)'!$A$56:$BI$70,26,0)*(1+K42)^5</f>
        <v>101048.96176155997</v>
      </c>
      <c r="Q42" s="169">
        <f>VLOOKUP($B42,'增加值 (2001-2060, 2020RMB)'!$A$56:$BI$70,31,0)*(1+L42)^5</f>
        <v>139363.090694966</v>
      </c>
      <c r="R42" s="169">
        <f>VLOOKUP($B42,'增加值 (2001-2060, 2020RMB)'!$A$56:$BI$70,36,0)*(1+M42)^15</f>
        <v>286576.26731596998</v>
      </c>
      <c r="S42" s="169">
        <f>VLOOKUP($B42,'增加值 (2001-2060, 2020RMB)'!$A$56:$BI$70,51,0)*(1+N42)^10</f>
        <v>395752.8347700747</v>
      </c>
    </row>
    <row r="43" spans="1:20" x14ac:dyDescent="0.2">
      <c r="B43"/>
      <c r="E43" s="168"/>
      <c r="F43" s="168"/>
      <c r="G43" s="168"/>
      <c r="H43" s="168"/>
      <c r="I43" s="168"/>
      <c r="K43" s="124"/>
      <c r="L43" s="124"/>
      <c r="M43" s="124"/>
      <c r="N43" s="124"/>
    </row>
    <row r="44" spans="1:20" x14ac:dyDescent="0.2">
      <c r="B44"/>
      <c r="K44" s="124"/>
      <c r="L44" s="124"/>
      <c r="M44" s="124"/>
      <c r="N44" s="124"/>
    </row>
    <row r="45" spans="1:20" x14ac:dyDescent="0.2">
      <c r="A45" s="182" t="s">
        <v>271</v>
      </c>
      <c r="B45" s="182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30"/>
    </row>
    <row r="46" spans="1:20" x14ac:dyDescent="0.2">
      <c r="A46" s="114"/>
      <c r="C46" s="162" t="s">
        <v>274</v>
      </c>
      <c r="D46" s="162" t="s">
        <v>275</v>
      </c>
      <c r="E46" s="171" t="s">
        <v>276</v>
      </c>
      <c r="F46" s="171" t="s">
        <v>277</v>
      </c>
      <c r="G46" s="171" t="s">
        <v>278</v>
      </c>
      <c r="H46" s="171" t="s">
        <v>279</v>
      </c>
      <c r="I46" s="171" t="s">
        <v>280</v>
      </c>
      <c r="J46" s="171" t="s">
        <v>281</v>
      </c>
      <c r="K46" s="171" t="s">
        <v>282</v>
      </c>
      <c r="L46" s="171" t="s">
        <v>283</v>
      </c>
      <c r="M46" s="171" t="s">
        <v>284</v>
      </c>
      <c r="N46" s="171" t="s">
        <v>285</v>
      </c>
      <c r="O46" s="171" t="s">
        <v>220</v>
      </c>
      <c r="P46" s="171" t="s">
        <v>221</v>
      </c>
      <c r="Q46" s="171" t="s">
        <v>222</v>
      </c>
      <c r="R46" s="171" t="s">
        <v>223</v>
      </c>
      <c r="S46" s="171" t="s">
        <v>224</v>
      </c>
    </row>
    <row r="47" spans="1:20" x14ac:dyDescent="0.2">
      <c r="A47" s="114"/>
      <c r="B47" s="97" t="s">
        <v>168</v>
      </c>
      <c r="C47" s="161">
        <f>(VLOOKUP(B47,'增加值 (2001-2060, 2020RMB)'!$A$13:$W$54,20,0)/VLOOKUP(B47,'增加值 (2001-2060, 2020RMB)'!$A$13:$W$54,17,0))^(1/3)-1</f>
        <v>5.1465407664526452E-2</v>
      </c>
      <c r="D47" s="160">
        <f>(VLOOKUP(B47,'增加值 (2001-2060, 2020RMB)'!$A$13:$W$54,23,0)/VLOOKUP(B47,'增加值 (2001-2060, 2020RMB)'!$A$13:$W$54,20,0))^(1/3)-1</f>
        <v>6.2058400554165782E-2</v>
      </c>
      <c r="E47" s="172"/>
      <c r="F47" s="173"/>
      <c r="G47" s="173"/>
      <c r="H47" s="173"/>
      <c r="I47" s="173"/>
      <c r="J47" s="163">
        <f>('增加值 (2001-2060, 2020RMB)'!Z13/'增加值 (2001-2060, 2020RMB)'!W13)^(1/3)-1</f>
        <v>3.3621255278647011E-2</v>
      </c>
      <c r="K47" s="163">
        <f>('增加值 (2001-2060, 2020RMB)'!AE13/'增加值 (2001-2060, 2020RMB)'!Z13)^0.2-1</f>
        <v>3.6063733537413878E-2</v>
      </c>
      <c r="L47" s="163">
        <f>('增加值 (2001-2060, 2020RMB)'!AJ13/'增加值 (2001-2060, 2020RMB)'!AE13)^0.2-1</f>
        <v>3.2238585433107092E-2</v>
      </c>
      <c r="M47" s="163">
        <f>('增加值 (2001-2060, 2020RMB)'!AY13/'增加值 (2001-2060, 2020RMB)'!AJ13)^(1/15)-1</f>
        <v>1.2504127503936813E-2</v>
      </c>
      <c r="N47" s="163">
        <f>('增加值 (2001-2060, 2020RMB)'!BI13/'增加值 (2001-2060, 2020RMB)'!AY13)^0.1-1</f>
        <v>2.7504426510394087E-3</v>
      </c>
      <c r="O47" s="164">
        <f>SUM(O48:O88)</f>
        <v>437238.17660328513</v>
      </c>
      <c r="P47" s="164">
        <f t="shared" ref="P47:S47" si="5">SUM(P48:P88)</f>
        <v>519537.39441253</v>
      </c>
      <c r="Q47" s="164">
        <f t="shared" si="5"/>
        <v>614789.48204566084</v>
      </c>
      <c r="R47" s="164">
        <f t="shared" si="5"/>
        <v>1015661.1223483444</v>
      </c>
      <c r="S47" s="164">
        <f t="shared" si="5"/>
        <v>993111.71328007651</v>
      </c>
    </row>
    <row r="48" spans="1:20" x14ac:dyDescent="0.15">
      <c r="A48" s="155" t="s">
        <v>225</v>
      </c>
      <c r="B48" s="158" t="s">
        <v>226</v>
      </c>
      <c r="C48" s="161">
        <f>(VLOOKUP(B48,'增加值 (2001-2060, 2020RMB)'!$A$13:$W$54,20,0)/VLOOKUP(B48,'增加值 (2001-2060, 2020RMB)'!$A$13:$W$54,17,0))^(1/3)-1</f>
        <v>8.507076768611288E-3</v>
      </c>
      <c r="D48" s="160">
        <f>(VLOOKUP(B48,'增加值 (2001-2060, 2020RMB)'!$A$13:$W$54,23,0)/VLOOKUP(B48,'增加值 (2001-2060, 2020RMB)'!$A$13:$W$54,20,0))^(1/3)-1</f>
        <v>6.2061126117941567E-2</v>
      </c>
      <c r="E48" s="172">
        <v>0.8</v>
      </c>
      <c r="F48" s="173">
        <v>0.8</v>
      </c>
      <c r="G48" s="173">
        <v>0.5</v>
      </c>
      <c r="H48" s="173">
        <v>0.3</v>
      </c>
      <c r="I48" s="173">
        <v>0.2</v>
      </c>
      <c r="J48" s="159">
        <f>AVERAGE($C48:$D48)*E48</f>
        <v>2.8227281154621142E-2</v>
      </c>
      <c r="K48" s="159">
        <f t="shared" ref="K48:N63" si="6">AVERAGE($C48:$D48)*F48</f>
        <v>2.8227281154621142E-2</v>
      </c>
      <c r="L48" s="159">
        <f t="shared" si="6"/>
        <v>1.7642050721638214E-2</v>
      </c>
      <c r="M48" s="159">
        <f t="shared" si="6"/>
        <v>1.0585230432982928E-2</v>
      </c>
      <c r="N48" s="159">
        <f t="shared" si="6"/>
        <v>7.0568202886552855E-3</v>
      </c>
      <c r="O48" s="165">
        <f>VLOOKUP(B48,'增加值 (2001-2060, 2020RMB)'!$A$14:$W$54,23,0)*(1+J48)^3</f>
        <v>19569.944919039062</v>
      </c>
      <c r="P48" s="165">
        <f>VLOOKUP(B48,'增加值 (2001-2060, 2020RMB)'!$A$14:$AE$54,26,0)*(1+K48)^5</f>
        <v>21335.473248080747</v>
      </c>
      <c r="Q48" s="165">
        <f>VLOOKUP(B48,'增加值 (2001-2060, 2020RMB)'!$A$14:$AE$54,31,0)*(1+L48)^5</f>
        <v>22191.06725527767</v>
      </c>
      <c r="R48" s="165">
        <f>VLOOKUP(B48,'增加值 (2001-2060, 2020RMB)'!$A$14:$AJ$54,36,0)*(1+M48)^15</f>
        <v>24528.099936476847</v>
      </c>
      <c r="S48" s="165">
        <f>VLOOKUP(B48,'增加值 (2001-2060, 2020RMB)'!$A$14:$AY$54,51,0)*(1+N48)^10</f>
        <v>18114.435628623531</v>
      </c>
    </row>
    <row r="49" spans="1:19" ht="15" x14ac:dyDescent="0.25">
      <c r="A49" s="156"/>
      <c r="B49" s="158" t="s">
        <v>227</v>
      </c>
      <c r="C49" s="161">
        <f>(VLOOKUP(B49,'增加值 (2001-2060, 2020RMB)'!$A$13:$W$54,20,0)/VLOOKUP(B49,'增加值 (2001-2060, 2020RMB)'!$A$13:$W$54,17,0))^(1/3)-1</f>
        <v>3.2675207571886133E-5</v>
      </c>
      <c r="D49" s="160">
        <f>(VLOOKUP(B49,'增加值 (2001-2060, 2020RMB)'!$A$13:$W$54,23,0)/VLOOKUP(B49,'增加值 (2001-2060, 2020RMB)'!$A$13:$W$54,20,0))^(1/3)-1</f>
        <v>4.1028013857423495E-2</v>
      </c>
      <c r="E49" s="172">
        <v>0.8</v>
      </c>
      <c r="F49" s="173">
        <v>0.8</v>
      </c>
      <c r="G49" s="173">
        <v>0.5</v>
      </c>
      <c r="H49" s="173">
        <v>0.5</v>
      </c>
      <c r="I49" s="173">
        <v>0.4</v>
      </c>
      <c r="J49" s="159">
        <f t="shared" ref="J49:J88" si="7">AVERAGE($C49:$D49)*E49</f>
        <v>1.6424275625998155E-2</v>
      </c>
      <c r="K49" s="159">
        <f t="shared" si="6"/>
        <v>1.6424275625998155E-2</v>
      </c>
      <c r="L49" s="159">
        <f t="shared" si="6"/>
        <v>1.0265172266248845E-2</v>
      </c>
      <c r="M49" s="159">
        <f t="shared" si="6"/>
        <v>1.0265172266248845E-2</v>
      </c>
      <c r="N49" s="159">
        <f t="shared" si="6"/>
        <v>8.2121378129990773E-3</v>
      </c>
      <c r="O49" s="165">
        <f>VLOOKUP(B49,'增加值 (2001-2060, 2020RMB)'!$A$14:$W$54,23,0)*(1+J49)^3</f>
        <v>12920.435534597742</v>
      </c>
      <c r="P49" s="165">
        <f>VLOOKUP(B49,'增加值 (2001-2060, 2020RMB)'!$A$14:$AE$54,26,0)*(1+K49)^5</f>
        <v>13295.949682412194</v>
      </c>
      <c r="Q49" s="165">
        <f>VLOOKUP(B49,'增加值 (2001-2060, 2020RMB)'!$A$14:$AE$54,31,0)*(1+L49)^5</f>
        <v>13335.120881934374</v>
      </c>
      <c r="R49" s="165">
        <f>VLOOKUP(B49,'增加值 (2001-2060, 2020RMB)'!$A$14:$AJ$54,36,0)*(1+M49)^15</f>
        <v>14669.6311430803</v>
      </c>
      <c r="S49" s="165">
        <f>VLOOKUP(B49,'增加值 (2001-2060, 2020RMB)'!$A$14:$AY$54,51,0)*(1+N49)^10</f>
        <v>10958.713168112676</v>
      </c>
    </row>
    <row r="50" spans="1:19" ht="15" x14ac:dyDescent="0.25">
      <c r="A50" s="156"/>
      <c r="B50" s="158" t="s">
        <v>267</v>
      </c>
      <c r="C50" s="161">
        <f>(VLOOKUP(B50,'增加值 (2001-2060, 2020RMB)'!$A$13:$W$54,20,0)/VLOOKUP(B50,'增加值 (2001-2060, 2020RMB)'!$A$13:$W$54,17,0))^(1/3)-1</f>
        <v>6.9325463225565986E-2</v>
      </c>
      <c r="D50" s="160">
        <f>(VLOOKUP(B50,'增加值 (2001-2060, 2020RMB)'!$A$13:$W$54,23,0)/VLOOKUP(B50,'增加值 (2001-2060, 2020RMB)'!$A$13:$W$54,20,0))^(1/3)-1</f>
        <v>6.7128509401518821E-2</v>
      </c>
      <c r="E50" s="172">
        <v>1</v>
      </c>
      <c r="F50" s="173">
        <v>1</v>
      </c>
      <c r="G50" s="173">
        <v>0.8</v>
      </c>
      <c r="H50" s="173">
        <v>0.5</v>
      </c>
      <c r="I50" s="173">
        <v>0.5</v>
      </c>
      <c r="J50" s="159">
        <f t="shared" si="7"/>
        <v>6.8226986313542404E-2</v>
      </c>
      <c r="K50" s="159">
        <f t="shared" si="6"/>
        <v>6.8226986313542404E-2</v>
      </c>
      <c r="L50" s="159">
        <f t="shared" si="6"/>
        <v>5.4581589050833927E-2</v>
      </c>
      <c r="M50" s="159">
        <f t="shared" si="6"/>
        <v>3.4113493156771202E-2</v>
      </c>
      <c r="N50" s="159">
        <f t="shared" si="6"/>
        <v>3.4113493156771202E-2</v>
      </c>
      <c r="O50" s="165">
        <f>VLOOKUP(B50,'增加值 (2001-2060, 2020RMB)'!$A$14:$W$54,23,0)*(1+J50)^3</f>
        <v>21296.176613128999</v>
      </c>
      <c r="P50" s="165">
        <f>VLOOKUP(B50,'增加值 (2001-2060, 2020RMB)'!$A$14:$AE$54,26,0)*(1+K50)^5</f>
        <v>28098.71314988871</v>
      </c>
      <c r="Q50" s="165">
        <f>VLOOKUP(B50,'增加值 (2001-2060, 2020RMB)'!$A$14:$AE$54,31,0)*(1+L50)^5</f>
        <v>34929.152087317583</v>
      </c>
      <c r="R50" s="165">
        <f>VLOOKUP(B50,'增加值 (2001-2060, 2020RMB)'!$A$14:$AJ$54,36,0)*(1+M50)^15</f>
        <v>54525.873475054163</v>
      </c>
      <c r="S50" s="165">
        <f>VLOOKUP(B50,'增加值 (2001-2060, 2020RMB)'!$A$14:$AY$54,51,0)*(1+N50)^10</f>
        <v>52493.536247181379</v>
      </c>
    </row>
    <row r="51" spans="1:19" ht="15" x14ac:dyDescent="0.25">
      <c r="A51" s="156"/>
      <c r="B51" s="158" t="s">
        <v>228</v>
      </c>
      <c r="C51" s="161">
        <f>(VLOOKUP(B51,'增加值 (2001-2060, 2020RMB)'!$A$13:$W$54,20,0)/VLOOKUP(B51,'增加值 (2001-2060, 2020RMB)'!$A$13:$W$54,17,0))^(1/3)-1</f>
        <v>0.12785054008628594</v>
      </c>
      <c r="D51" s="160">
        <f>(VLOOKUP(B51,'增加值 (2001-2060, 2020RMB)'!$A$13:$W$54,23,0)/VLOOKUP(B51,'增加值 (2001-2060, 2020RMB)'!$A$13:$W$54,20,0))^(1/3)-1</f>
        <v>8.7030245339022816E-2</v>
      </c>
      <c r="E51" s="172">
        <v>1</v>
      </c>
      <c r="F51" s="173">
        <v>1</v>
      </c>
      <c r="G51" s="173">
        <v>0.8</v>
      </c>
      <c r="H51" s="173">
        <v>0.5</v>
      </c>
      <c r="I51" s="173">
        <v>0.5</v>
      </c>
      <c r="J51" s="159">
        <f t="shared" si="7"/>
        <v>0.10744039271265438</v>
      </c>
      <c r="K51" s="159">
        <f t="shared" si="6"/>
        <v>0.10744039271265438</v>
      </c>
      <c r="L51" s="159">
        <f t="shared" si="6"/>
        <v>8.5952314170123501E-2</v>
      </c>
      <c r="M51" s="159">
        <f t="shared" si="6"/>
        <v>5.3720196356327188E-2</v>
      </c>
      <c r="N51" s="159">
        <f t="shared" si="6"/>
        <v>5.3720196356327188E-2</v>
      </c>
      <c r="O51" s="165">
        <f>VLOOKUP(B51,'增加值 (2001-2060, 2020RMB)'!$A$14:$W$54,23,0)*(1+J51)^3</f>
        <v>3347.9301131455663</v>
      </c>
      <c r="P51" s="165">
        <f>VLOOKUP(B51,'增加值 (2001-2060, 2020RMB)'!$A$14:$AE$54,26,0)*(1+K51)^5</f>
        <v>5289.8730290175336</v>
      </c>
      <c r="Q51" s="165">
        <f>VLOOKUP(B51,'增加值 (2001-2060, 2020RMB)'!$A$14:$AE$54,31,0)*(1+L51)^5</f>
        <v>7613.7692476631682</v>
      </c>
      <c r="R51" s="165">
        <f>VLOOKUP(B51,'增加值 (2001-2060, 2020RMB)'!$A$14:$AJ$54,36,0)*(1+M51)^15</f>
        <v>15753.272583463011</v>
      </c>
      <c r="S51" s="165">
        <f>VLOOKUP(B51,'增加值 (2001-2060, 2020RMB)'!$A$14:$AY$54,51,0)*(1+N51)^10</f>
        <v>18299.742521355412</v>
      </c>
    </row>
    <row r="52" spans="1:19" ht="15" x14ac:dyDescent="0.25">
      <c r="A52" s="156"/>
      <c r="B52" s="158" t="s">
        <v>229</v>
      </c>
      <c r="C52" s="161">
        <f>(VLOOKUP(B52,'增加值 (2001-2060, 2020RMB)'!$A$13:$W$54,20,0)/VLOOKUP(B52,'增加值 (2001-2060, 2020RMB)'!$A$13:$W$54,17,0))^(1/3)-1</f>
        <v>6.7720746545205213E-2</v>
      </c>
      <c r="D52" s="160">
        <f>(VLOOKUP(B52,'增加值 (2001-2060, 2020RMB)'!$A$13:$W$54,23,0)/VLOOKUP(B52,'增加值 (2001-2060, 2020RMB)'!$A$13:$W$54,20,0))^(1/3)-1</f>
        <v>6.4716352530419963E-2</v>
      </c>
      <c r="E52" s="172">
        <v>1</v>
      </c>
      <c r="F52" s="173">
        <v>1</v>
      </c>
      <c r="G52" s="173">
        <v>0.8</v>
      </c>
      <c r="H52" s="173">
        <v>0.5</v>
      </c>
      <c r="I52" s="173">
        <v>0.5</v>
      </c>
      <c r="J52" s="159">
        <f t="shared" si="7"/>
        <v>6.6218549537812588E-2</v>
      </c>
      <c r="K52" s="159">
        <f t="shared" si="6"/>
        <v>6.6218549537812588E-2</v>
      </c>
      <c r="L52" s="159">
        <f t="shared" si="6"/>
        <v>5.297483963025007E-2</v>
      </c>
      <c r="M52" s="159">
        <f t="shared" si="6"/>
        <v>3.3109274768906294E-2</v>
      </c>
      <c r="N52" s="159">
        <f t="shared" si="6"/>
        <v>3.3109274768906294E-2</v>
      </c>
      <c r="O52" s="165">
        <f>VLOOKUP(B52,'增加值 (2001-2060, 2020RMB)'!$A$14:$W$54,23,0)*(1+J52)^3</f>
        <v>1574.031053931564</v>
      </c>
      <c r="P52" s="165">
        <f>VLOOKUP(B52,'增加值 (2001-2060, 2020RMB)'!$A$14:$AE$54,26,0)*(1+K52)^5</f>
        <v>2057.3658678965012</v>
      </c>
      <c r="Q52" s="165">
        <f>VLOOKUP(B52,'增加值 (2001-2060, 2020RMB)'!$A$14:$AE$54,31,0)*(1+L52)^5</f>
        <v>2538.0617698547749</v>
      </c>
      <c r="R52" s="165">
        <f>VLOOKUP(B52,'增加值 (2001-2060, 2020RMB)'!$A$14:$AJ$54,36,0)*(1+M52)^15</f>
        <v>3904.6994362413361</v>
      </c>
      <c r="S52" s="165">
        <f>VLOOKUP(B52,'增加值 (2001-2060, 2020RMB)'!$A$14:$AY$54,51,0)*(1+N52)^10</f>
        <v>3722.8142224411986</v>
      </c>
    </row>
    <row r="53" spans="1:19" x14ac:dyDescent="0.15">
      <c r="A53" s="155" t="s">
        <v>230</v>
      </c>
      <c r="B53" s="158" t="s">
        <v>231</v>
      </c>
      <c r="C53" s="161">
        <f>(VLOOKUP(B53,'增加值 (2001-2060, 2020RMB)'!$A$13:$W$54,20,0)/VLOOKUP(B53,'增加值 (2001-2060, 2020RMB)'!$A$13:$W$54,17,0))^(1/3)-1</f>
        <v>1.1202932590575365E-2</v>
      </c>
      <c r="D53" s="160">
        <f>(VLOOKUP(B53,'增加值 (2001-2060, 2020RMB)'!$A$13:$W$54,23,0)/VLOOKUP(B53,'增加值 (2001-2060, 2020RMB)'!$A$13:$W$54,20,0))^(1/3)-1</f>
        <v>5.4812951575273772E-3</v>
      </c>
      <c r="E53" s="172">
        <v>0.6</v>
      </c>
      <c r="F53" s="173">
        <v>0.3</v>
      </c>
      <c r="G53" s="173">
        <v>0.25</v>
      </c>
      <c r="H53" s="173">
        <v>0.2</v>
      </c>
      <c r="I53" s="173">
        <v>0.1</v>
      </c>
      <c r="J53" s="159">
        <f t="shared" si="7"/>
        <v>5.0052683244308227E-3</v>
      </c>
      <c r="K53" s="159">
        <f t="shared" si="6"/>
        <v>2.5026341622154114E-3</v>
      </c>
      <c r="L53" s="159">
        <f t="shared" si="6"/>
        <v>2.0855284685128428E-3</v>
      </c>
      <c r="M53" s="159">
        <f t="shared" si="6"/>
        <v>1.6684227748102742E-3</v>
      </c>
      <c r="N53" s="159">
        <f t="shared" si="6"/>
        <v>8.3421138740513712E-4</v>
      </c>
      <c r="O53" s="165">
        <f>VLOOKUP(B53,'增加值 (2001-2060, 2020RMB)'!$A$14:$W$54,23,0)*(1+J53)^3</f>
        <v>8242.3733083779152</v>
      </c>
      <c r="P53" s="165">
        <f>VLOOKUP(B53,'增加值 (2001-2060, 2020RMB)'!$A$14:$AE$54,26,0)*(1+K53)^5</f>
        <v>7916.7504863737477</v>
      </c>
      <c r="Q53" s="165">
        <f>VLOOKUP(B53,'增加值 (2001-2060, 2020RMB)'!$A$14:$AE$54,31,0)*(1+L53)^5</f>
        <v>7623.801778391774</v>
      </c>
      <c r="R53" s="165">
        <f>VLOOKUP(B53,'增加值 (2001-2060, 2020RMB)'!$A$14:$AJ$54,36,0)*(1+M53)^15</f>
        <v>7377.7316850260822</v>
      </c>
      <c r="S53" s="165">
        <f>VLOOKUP(B53,'增加值 (2001-2060, 2020RMB)'!$A$14:$AY$54,51,0)*(1+N53)^10</f>
        <v>5121.1256364477558</v>
      </c>
    </row>
    <row r="54" spans="1:19" ht="15" x14ac:dyDescent="0.25">
      <c r="A54" s="156"/>
      <c r="B54" s="158" t="s">
        <v>232</v>
      </c>
      <c r="C54" s="161">
        <f>(VLOOKUP(B54,'增加值 (2001-2060, 2020RMB)'!$A$13:$W$54,20,0)/VLOOKUP(B54,'增加值 (2001-2060, 2020RMB)'!$A$13:$W$54,17,0))^(1/3)-1</f>
        <v>2.69344232492299E-2</v>
      </c>
      <c r="D54" s="160">
        <f>(VLOOKUP(B54,'增加值 (2001-2060, 2020RMB)'!$A$13:$W$54,23,0)/VLOOKUP(B54,'增加值 (2001-2060, 2020RMB)'!$A$13:$W$54,20,0))^(1/3)-1</f>
        <v>-3.0027664574899804E-3</v>
      </c>
      <c r="E54" s="172">
        <v>0.6</v>
      </c>
      <c r="F54" s="173">
        <v>0.3</v>
      </c>
      <c r="G54" s="173">
        <v>0.25</v>
      </c>
      <c r="H54" s="173">
        <v>0.2</v>
      </c>
      <c r="I54" s="173">
        <v>0.1</v>
      </c>
      <c r="J54" s="159">
        <f t="shared" si="7"/>
        <v>7.1794970375219751E-3</v>
      </c>
      <c r="K54" s="159">
        <f t="shared" si="6"/>
        <v>3.5897485187609875E-3</v>
      </c>
      <c r="L54" s="159">
        <f t="shared" si="6"/>
        <v>2.9914570989674899E-3</v>
      </c>
      <c r="M54" s="159">
        <f t="shared" si="6"/>
        <v>2.3931656791739923E-3</v>
      </c>
      <c r="N54" s="159">
        <f t="shared" si="6"/>
        <v>1.1965828395869961E-3</v>
      </c>
      <c r="O54" s="165">
        <f>VLOOKUP(B54,'增加值 (2001-2060, 2020RMB)'!$A$14:$W$54,23,0)*(1+J54)^3</f>
        <v>5255.8410488755435</v>
      </c>
      <c r="P54" s="165">
        <f>VLOOKUP(B54,'增加值 (2001-2060, 2020RMB)'!$A$14:$AE$54,26,0)*(1+K54)^5</f>
        <v>5075.6348357142588</v>
      </c>
      <c r="Q54" s="165">
        <f>VLOOKUP(B54,'增加值 (2001-2060, 2020RMB)'!$A$14:$AE$54,31,0)*(1+L54)^5</f>
        <v>4909.9517693370444</v>
      </c>
      <c r="R54" s="165">
        <f>VLOOKUP(B54,'增加值 (2001-2060, 2020RMB)'!$A$14:$AJ$54,36,0)*(1+M54)^15</f>
        <v>4803.3053515132578</v>
      </c>
      <c r="S54" s="165">
        <f>VLOOKUP(B54,'增加值 (2001-2060, 2020RMB)'!$A$14:$AY$54,51,0)*(1+N54)^10</f>
        <v>3346.223407120131</v>
      </c>
    </row>
    <row r="55" spans="1:19" ht="15" x14ac:dyDescent="0.25">
      <c r="A55" s="156"/>
      <c r="B55" s="158" t="s">
        <v>233</v>
      </c>
      <c r="C55" s="161">
        <f>(VLOOKUP(B55,'增加值 (2001-2060, 2020RMB)'!$A$13:$W$54,20,0)/VLOOKUP(B55,'增加值 (2001-2060, 2020RMB)'!$A$13:$W$54,17,0))^(1/3)-1</f>
        <v>2.1415721542173971E-2</v>
      </c>
      <c r="D55" s="160">
        <f>(VLOOKUP(B55,'增加值 (2001-2060, 2020RMB)'!$A$13:$W$54,23,0)/VLOOKUP(B55,'增加值 (2001-2060, 2020RMB)'!$A$13:$W$54,20,0))^(1/3)-1</f>
        <v>3.0419244367445586E-2</v>
      </c>
      <c r="E55" s="172">
        <v>0.6</v>
      </c>
      <c r="F55" s="173">
        <v>0.3</v>
      </c>
      <c r="G55" s="173">
        <v>0.25</v>
      </c>
      <c r="H55" s="173">
        <v>0.2</v>
      </c>
      <c r="I55" s="173">
        <v>0.1</v>
      </c>
      <c r="J55" s="159">
        <f t="shared" si="7"/>
        <v>1.5550489772885867E-2</v>
      </c>
      <c r="K55" s="159">
        <f t="shared" si="6"/>
        <v>7.7752448864429335E-3</v>
      </c>
      <c r="L55" s="159">
        <f t="shared" si="6"/>
        <v>6.4793707387024446E-3</v>
      </c>
      <c r="M55" s="159">
        <f t="shared" si="6"/>
        <v>5.1834965909619557E-3</v>
      </c>
      <c r="N55" s="159">
        <f t="shared" si="6"/>
        <v>2.5917482954809778E-3</v>
      </c>
      <c r="O55" s="165">
        <f>VLOOKUP(B55,'增加值 (2001-2060, 2020RMB)'!$A$14:$W$54,23,0)*(1+J55)^3</f>
        <v>4288.0465000529648</v>
      </c>
      <c r="P55" s="165">
        <f>VLOOKUP(B55,'增加值 (2001-2060, 2020RMB)'!$A$14:$AE$54,26,0)*(1+K55)^5</f>
        <v>4228.09738214349</v>
      </c>
      <c r="Q55" s="165">
        <f>VLOOKUP(B55,'增加值 (2001-2060, 2020RMB)'!$A$14:$AE$54,31,0)*(1+L55)^5</f>
        <v>4161.6931664120475</v>
      </c>
      <c r="R55" s="165">
        <f>VLOOKUP(B55,'增加值 (2001-2060, 2020RMB)'!$A$14:$AJ$54,36,0)*(1+M55)^15</f>
        <v>4244.6493280357972</v>
      </c>
      <c r="S55" s="165">
        <f>VLOOKUP(B55,'增加值 (2001-2060, 2020RMB)'!$A$14:$AY$54,51,0)*(1+N55)^10</f>
        <v>2998.5011917281718</v>
      </c>
    </row>
    <row r="56" spans="1:19" ht="15" x14ac:dyDescent="0.25">
      <c r="A56" s="156"/>
      <c r="B56" s="157" t="s">
        <v>234</v>
      </c>
      <c r="C56" s="161">
        <f>(VLOOKUP(B56,'增加值 (2001-2060, 2020RMB)'!$A$13:$W$54,20,0)/VLOOKUP(B56,'增加值 (2001-2060, 2020RMB)'!$A$13:$W$54,17,0))^(1/3)-1</f>
        <v>4.3953138286075832E-2</v>
      </c>
      <c r="D56" s="160">
        <f>(VLOOKUP(B56,'增加值 (2001-2060, 2020RMB)'!$A$13:$W$54,23,0)/VLOOKUP(B56,'增加值 (2001-2060, 2020RMB)'!$A$13:$W$54,20,0))^(1/3)-1</f>
        <v>-4.8253326651807038E-3</v>
      </c>
      <c r="E56" s="172">
        <v>0.6</v>
      </c>
      <c r="F56" s="173">
        <v>0.3</v>
      </c>
      <c r="G56" s="173">
        <v>0.25</v>
      </c>
      <c r="H56" s="173">
        <v>0.2</v>
      </c>
      <c r="I56" s="173">
        <v>0.1</v>
      </c>
      <c r="J56" s="159">
        <f t="shared" si="7"/>
        <v>1.1738341686268538E-2</v>
      </c>
      <c r="K56" s="159">
        <f t="shared" si="6"/>
        <v>5.8691708431342689E-3</v>
      </c>
      <c r="L56" s="159">
        <f t="shared" si="6"/>
        <v>4.8909757026118911E-3</v>
      </c>
      <c r="M56" s="159">
        <f t="shared" si="6"/>
        <v>3.9127805620895132E-3</v>
      </c>
      <c r="N56" s="159">
        <f t="shared" si="6"/>
        <v>1.9563902810447566E-3</v>
      </c>
      <c r="O56" s="165">
        <f>VLOOKUP(B56,'增加值 (2001-2060, 2020RMB)'!$A$14:$W$54,23,0)*(1+J56)^3</f>
        <v>6446.1887188938781</v>
      </c>
      <c r="P56" s="165">
        <f>VLOOKUP(B56,'增加值 (2001-2060, 2020RMB)'!$A$14:$AE$54,26,0)*(1+K56)^5</f>
        <v>6296.1862748761077</v>
      </c>
      <c r="Q56" s="165">
        <f>VLOOKUP(B56,'增加值 (2001-2060, 2020RMB)'!$A$14:$AE$54,31,0)*(1+L56)^5</f>
        <v>6148.5539159363443</v>
      </c>
      <c r="R56" s="165">
        <f>VLOOKUP(B56,'增加值 (2001-2060, 2020RMB)'!$A$14:$AJ$54,36,0)*(1+M56)^15</f>
        <v>6153.2455816586071</v>
      </c>
      <c r="S56" s="165">
        <f>VLOOKUP(B56,'增加值 (2001-2060, 2020RMB)'!$A$14:$AY$54,51,0)*(1+N56)^10</f>
        <v>4319.3022273583056</v>
      </c>
    </row>
    <row r="57" spans="1:19" ht="15" x14ac:dyDescent="0.25">
      <c r="A57" s="156"/>
      <c r="B57" s="157" t="s">
        <v>235</v>
      </c>
      <c r="C57" s="161">
        <f>(VLOOKUP(B57,'增加值 (2001-2060, 2020RMB)'!$A$13:$W$54,20,0)/VLOOKUP(B57,'增加值 (2001-2060, 2020RMB)'!$A$13:$W$54,17,0))^(1/3)-1</f>
        <v>3.0429296625402502E-2</v>
      </c>
      <c r="D57" s="160">
        <f>(VLOOKUP(B57,'增加值 (2001-2060, 2020RMB)'!$A$13:$W$54,23,0)/VLOOKUP(B57,'增加值 (2001-2060, 2020RMB)'!$A$13:$W$54,20,0))^(1/3)-1</f>
        <v>6.6952428340167458E-2</v>
      </c>
      <c r="E57" s="172">
        <v>0.6</v>
      </c>
      <c r="F57" s="173">
        <v>0.3</v>
      </c>
      <c r="G57" s="173">
        <v>0.25</v>
      </c>
      <c r="H57" s="173">
        <v>0.2</v>
      </c>
      <c r="I57" s="173">
        <v>0.1</v>
      </c>
      <c r="J57" s="159">
        <f t="shared" si="7"/>
        <v>2.9214517489670987E-2</v>
      </c>
      <c r="K57" s="159">
        <f t="shared" si="6"/>
        <v>1.4607258744835493E-2</v>
      </c>
      <c r="L57" s="159">
        <f t="shared" si="6"/>
        <v>1.2172715620696245E-2</v>
      </c>
      <c r="M57" s="159">
        <f t="shared" si="6"/>
        <v>9.7381724965569967E-3</v>
      </c>
      <c r="N57" s="159">
        <f t="shared" si="6"/>
        <v>4.8690862482784984E-3</v>
      </c>
      <c r="O57" s="165">
        <f>VLOOKUP(B57,'增加值 (2001-2060, 2020RMB)'!$A$14:$W$54,23,0)*(1+J57)^3</f>
        <v>26220.929267557425</v>
      </c>
      <c r="P57" s="165">
        <f>VLOOKUP(B57,'增加值 (2001-2060, 2020RMB)'!$A$14:$AE$54,26,0)*(1+K57)^5</f>
        <v>26742.682545531268</v>
      </c>
      <c r="Q57" s="165">
        <f>VLOOKUP(B57,'增加值 (2001-2060, 2020RMB)'!$A$14:$AE$54,31,0)*(1+L57)^5</f>
        <v>27075.643468054655</v>
      </c>
      <c r="R57" s="165">
        <f>VLOOKUP(B57,'增加值 (2001-2060, 2020RMB)'!$A$14:$AJ$54,36,0)*(1+M57)^15</f>
        <v>29553.023829726368</v>
      </c>
      <c r="S57" s="165">
        <f>VLOOKUP(B57,'增加值 (2001-2060, 2020RMB)'!$A$14:$AY$54,51,0)*(1+N57)^10</f>
        <v>21355.902637895029</v>
      </c>
    </row>
    <row r="58" spans="1:19" ht="15" x14ac:dyDescent="0.25">
      <c r="A58" s="156"/>
      <c r="B58" s="158" t="s">
        <v>236</v>
      </c>
      <c r="C58" s="161">
        <f>(VLOOKUP(B58,'增加值 (2001-2060, 2020RMB)'!$A$13:$W$54,20,0)/VLOOKUP(B58,'增加值 (2001-2060, 2020RMB)'!$A$13:$W$54,17,0))^(1/3)-1</f>
        <v>7.3724697676555095E-2</v>
      </c>
      <c r="D58" s="160">
        <f>(VLOOKUP(B58,'增加值 (2001-2060, 2020RMB)'!$A$13:$W$54,23,0)/VLOOKUP(B58,'增加值 (2001-2060, 2020RMB)'!$A$13:$W$54,20,0))^(1/3)-1</f>
        <v>4.2588314219098589E-2</v>
      </c>
      <c r="E58" s="172">
        <v>0.6</v>
      </c>
      <c r="F58" s="173">
        <v>0.3</v>
      </c>
      <c r="G58" s="173">
        <v>0.25</v>
      </c>
      <c r="H58" s="173">
        <v>0.2</v>
      </c>
      <c r="I58" s="173">
        <v>0.1</v>
      </c>
      <c r="J58" s="159">
        <f t="shared" si="7"/>
        <v>3.4893903568696101E-2</v>
      </c>
      <c r="K58" s="159">
        <f t="shared" si="6"/>
        <v>1.7446951784348051E-2</v>
      </c>
      <c r="L58" s="159">
        <f t="shared" si="6"/>
        <v>1.4539126486956711E-2</v>
      </c>
      <c r="M58" s="159">
        <f t="shared" si="6"/>
        <v>1.1631301189565369E-2</v>
      </c>
      <c r="N58" s="159">
        <f t="shared" si="6"/>
        <v>5.8156505947826844E-3</v>
      </c>
      <c r="O58" s="165">
        <f>VLOOKUP(B58,'增加值 (2001-2060, 2020RMB)'!$A$14:$W$54,23,0)*(1+J58)^3</f>
        <v>2058.5010100844338</v>
      </c>
      <c r="P58" s="165">
        <f>VLOOKUP(B58,'增加值 (2001-2060, 2020RMB)'!$A$14:$AE$54,26,0)*(1+K58)^5</f>
        <v>2129.0066806974087</v>
      </c>
      <c r="Q58" s="165">
        <f>VLOOKUP(B58,'增加值 (2001-2060, 2020RMB)'!$A$14:$AE$54,31,0)*(1+L58)^5</f>
        <v>2180.82950393688</v>
      </c>
      <c r="R58" s="165">
        <f>VLOOKUP(B58,'增加值 (2001-2060, 2020RMB)'!$A$14:$AJ$54,36,0)*(1+M58)^15</f>
        <v>2448.2012040437899</v>
      </c>
      <c r="S58" s="165">
        <f>VLOOKUP(B58,'增加值 (2001-2060, 2020RMB)'!$A$14:$AY$54,51,0)*(1+N58)^10</f>
        <v>1785.8794806495587</v>
      </c>
    </row>
    <row r="59" spans="1:19" ht="15" x14ac:dyDescent="0.25">
      <c r="A59" s="156"/>
      <c r="B59" s="157" t="s">
        <v>237</v>
      </c>
      <c r="C59" s="161">
        <f>(VLOOKUP(B59,'增加值 (2001-2060, 2020RMB)'!$A$13:$W$54,20,0)/VLOOKUP(B59,'增加值 (2001-2060, 2020RMB)'!$A$13:$W$54,17,0))^(1/3)-1</f>
        <v>4.7039440342731886E-2</v>
      </c>
      <c r="D59" s="160">
        <f>(VLOOKUP(B59,'增加值 (2001-2060, 2020RMB)'!$A$13:$W$54,23,0)/VLOOKUP(B59,'增加值 (2001-2060, 2020RMB)'!$A$13:$W$54,20,0))^(1/3)-1</f>
        <v>3.8161551876011446E-2</v>
      </c>
      <c r="E59" s="172">
        <v>0.6</v>
      </c>
      <c r="F59" s="173">
        <v>0.3</v>
      </c>
      <c r="G59" s="173">
        <v>0.25</v>
      </c>
      <c r="H59" s="173">
        <v>0.2</v>
      </c>
      <c r="I59" s="173">
        <v>0.1</v>
      </c>
      <c r="J59" s="159">
        <f t="shared" si="7"/>
        <v>2.5560297665623E-2</v>
      </c>
      <c r="K59" s="159">
        <f t="shared" si="6"/>
        <v>1.27801488328115E-2</v>
      </c>
      <c r="L59" s="159">
        <f t="shared" si="6"/>
        <v>1.0650124027342917E-2</v>
      </c>
      <c r="M59" s="159">
        <f t="shared" si="6"/>
        <v>8.5200992218743329E-3</v>
      </c>
      <c r="N59" s="159">
        <f t="shared" si="6"/>
        <v>4.2600496109371664E-3</v>
      </c>
      <c r="O59" s="165">
        <f>VLOOKUP(B59,'增加值 (2001-2060, 2020RMB)'!$A$14:$W$54,23,0)*(1+J59)^3</f>
        <v>17392.675430244861</v>
      </c>
      <c r="P59" s="165">
        <f>VLOOKUP(B59,'增加值 (2001-2060, 2020RMB)'!$A$14:$AE$54,26,0)*(1+K59)^5</f>
        <v>17579.614966511497</v>
      </c>
      <c r="Q59" s="165">
        <f>VLOOKUP(B59,'增加值 (2001-2060, 2020RMB)'!$A$14:$AE$54,31,0)*(1+L59)^5</f>
        <v>17665.023265264965</v>
      </c>
      <c r="R59" s="165">
        <f>VLOOKUP(B59,'增加值 (2001-2060, 2020RMB)'!$A$14:$AJ$54,36,0)*(1+M59)^15</f>
        <v>18935.383147805969</v>
      </c>
      <c r="S59" s="165">
        <f>VLOOKUP(B59,'增加值 (2001-2060, 2020RMB)'!$A$14:$AY$54,51,0)*(1+N59)^10</f>
        <v>13600.570043196636</v>
      </c>
    </row>
    <row r="60" spans="1:19" ht="15" x14ac:dyDescent="0.25">
      <c r="A60" s="156"/>
      <c r="B60" s="157" t="s">
        <v>238</v>
      </c>
      <c r="C60" s="161">
        <f>(VLOOKUP(B60,'增加值 (2001-2060, 2020RMB)'!$A$13:$W$54,20,0)/VLOOKUP(B60,'增加值 (2001-2060, 2020RMB)'!$A$13:$W$54,17,0))^(1/3)-1</f>
        <v>4.6512456367293176E-2</v>
      </c>
      <c r="D60" s="160">
        <f>(VLOOKUP(B60,'增加值 (2001-2060, 2020RMB)'!$A$13:$W$54,23,0)/VLOOKUP(B60,'增加值 (2001-2060, 2020RMB)'!$A$13:$W$54,20,0))^(1/3)-1</f>
        <v>3.7900502191664298E-2</v>
      </c>
      <c r="E60" s="172">
        <v>0.6</v>
      </c>
      <c r="F60" s="173">
        <v>0.3</v>
      </c>
      <c r="G60" s="173">
        <v>0.25</v>
      </c>
      <c r="H60" s="173">
        <v>0.2</v>
      </c>
      <c r="I60" s="173">
        <v>0.1</v>
      </c>
      <c r="J60" s="159">
        <f t="shared" si="7"/>
        <v>2.5323887567687241E-2</v>
      </c>
      <c r="K60" s="159">
        <f t="shared" si="6"/>
        <v>1.266194378384362E-2</v>
      </c>
      <c r="L60" s="159">
        <f t="shared" si="6"/>
        <v>1.0551619819869684E-2</v>
      </c>
      <c r="M60" s="159">
        <f t="shared" si="6"/>
        <v>8.4412958558957481E-3</v>
      </c>
      <c r="N60" s="159">
        <f t="shared" si="6"/>
        <v>4.220647927947874E-3</v>
      </c>
      <c r="O60" s="165">
        <f>VLOOKUP(B60,'增加值 (2001-2060, 2020RMB)'!$A$14:$W$54,23,0)*(1+J60)^3</f>
        <v>23178.077867388925</v>
      </c>
      <c r="P60" s="165">
        <f>VLOOKUP(B60,'增加值 (2001-2060, 2020RMB)'!$A$14:$AE$54,26,0)*(1+K60)^5</f>
        <v>23413.531773292809</v>
      </c>
      <c r="Q60" s="165">
        <f>VLOOKUP(B60,'增加值 (2001-2060, 2020RMB)'!$A$14:$AE$54,31,0)*(1+L60)^5</f>
        <v>23515.820069199137</v>
      </c>
      <c r="R60" s="165">
        <f>VLOOKUP(B60,'增加值 (2001-2060, 2020RMB)'!$A$14:$AJ$54,36,0)*(1+M60)^15</f>
        <v>25177.405297108118</v>
      </c>
      <c r="S60" s="165">
        <f>VLOOKUP(B60,'增加值 (2001-2060, 2020RMB)'!$A$14:$AY$54,51,0)*(1+N60)^10</f>
        <v>18076.884719210804</v>
      </c>
    </row>
    <row r="61" spans="1:19" ht="15" x14ac:dyDescent="0.25">
      <c r="A61" s="156"/>
      <c r="B61" s="157" t="s">
        <v>239</v>
      </c>
      <c r="C61" s="161">
        <f>(VLOOKUP(B61,'增加值 (2001-2060, 2020RMB)'!$A$13:$W$54,20,0)/VLOOKUP(B61,'增加值 (2001-2060, 2020RMB)'!$A$13:$W$54,17,0))^(1/3)-1</f>
        <v>5.1040412039642602E-2</v>
      </c>
      <c r="D61" s="160">
        <f>(VLOOKUP(B61,'增加值 (2001-2060, 2020RMB)'!$A$13:$W$54,23,0)/VLOOKUP(B61,'增加值 (2001-2060, 2020RMB)'!$A$13:$W$54,20,0))^(1/3)-1</f>
        <v>4.6563598012598018E-2</v>
      </c>
      <c r="E61" s="172">
        <v>0.6</v>
      </c>
      <c r="F61" s="173">
        <v>0.3</v>
      </c>
      <c r="G61" s="173">
        <v>0.25</v>
      </c>
      <c r="H61" s="173">
        <v>0.2</v>
      </c>
      <c r="I61" s="173">
        <v>0.1</v>
      </c>
      <c r="J61" s="159">
        <f t="shared" si="7"/>
        <v>2.9281203015672184E-2</v>
      </c>
      <c r="K61" s="159">
        <f t="shared" si="6"/>
        <v>1.4640601507836092E-2</v>
      </c>
      <c r="L61" s="159">
        <f t="shared" si="6"/>
        <v>1.2200501256530077E-2</v>
      </c>
      <c r="M61" s="159">
        <f t="shared" si="6"/>
        <v>9.7604010052240626E-3</v>
      </c>
      <c r="N61" s="159">
        <f t="shared" si="6"/>
        <v>4.8802005026120313E-3</v>
      </c>
      <c r="O61" s="165">
        <f>VLOOKUP(B61,'增加值 (2001-2060, 2020RMB)'!$A$14:$W$54,23,0)*(1+J61)^3</f>
        <v>14398.583762915088</v>
      </c>
      <c r="P61" s="165">
        <f>VLOOKUP(B61,'增加值 (2001-2060, 2020RMB)'!$A$14:$AE$54,26,0)*(1+K61)^5</f>
        <v>14687.504969174897</v>
      </c>
      <c r="Q61" s="165">
        <f>VLOOKUP(B61,'增加值 (2001-2060, 2020RMB)'!$A$14:$AE$54,31,0)*(1+L61)^5</f>
        <v>14872.413563785907</v>
      </c>
      <c r="R61" s="165">
        <f>VLOOKUP(B61,'增加值 (2001-2060, 2020RMB)'!$A$14:$AJ$54,36,0)*(1+M61)^15</f>
        <v>16238.57810394939</v>
      </c>
      <c r="S61" s="165">
        <f>VLOOKUP(B61,'增加值 (2001-2060, 2020RMB)'!$A$14:$AY$54,51,0)*(1+N61)^10</f>
        <v>11735.782205546813</v>
      </c>
    </row>
    <row r="62" spans="1:19" x14ac:dyDescent="0.15">
      <c r="A62" s="155" t="s">
        <v>240</v>
      </c>
      <c r="B62" s="158" t="s">
        <v>241</v>
      </c>
      <c r="C62" s="161">
        <f>(VLOOKUP(B62,'增加值 (2001-2060, 2020RMB)'!$A$13:$W$54,20,0)/VLOOKUP(B62,'增加值 (2001-2060, 2020RMB)'!$A$13:$W$54,17,0))^(1/3)-1</f>
        <v>3.8478237653810199E-2</v>
      </c>
      <c r="D62" s="160">
        <f>(VLOOKUP(B62,'增加值 (2001-2060, 2020RMB)'!$A$13:$W$54,23,0)/VLOOKUP(B62,'增加值 (2001-2060, 2020RMB)'!$A$13:$W$54,20,0))^(1/3)-1</f>
        <v>3.0088112665055178E-2</v>
      </c>
      <c r="E62" s="172">
        <v>0.7</v>
      </c>
      <c r="F62" s="173">
        <v>0.5</v>
      </c>
      <c r="G62" s="173">
        <v>0.4</v>
      </c>
      <c r="H62" s="173">
        <v>0.2</v>
      </c>
      <c r="I62" s="173">
        <v>0.2</v>
      </c>
      <c r="J62" s="159">
        <f t="shared" si="7"/>
        <v>2.3998222611602879E-2</v>
      </c>
      <c r="K62" s="159">
        <f t="shared" si="6"/>
        <v>1.7141587579716344E-2</v>
      </c>
      <c r="L62" s="159">
        <f t="shared" si="6"/>
        <v>1.3713270063773077E-2</v>
      </c>
      <c r="M62" s="159">
        <f t="shared" si="6"/>
        <v>6.8566350318865384E-3</v>
      </c>
      <c r="N62" s="159">
        <f t="shared" si="6"/>
        <v>6.8566350318865384E-3</v>
      </c>
      <c r="O62" s="165">
        <f>VLOOKUP(B62,'增加值 (2001-2060, 2020RMB)'!$A$14:$W$54,23,0)*(1+J62)^3</f>
        <v>12865.168475545936</v>
      </c>
      <c r="P62" s="165">
        <f>VLOOKUP(B62,'增加值 (2001-2060, 2020RMB)'!$A$14:$AE$54,26,0)*(1+K62)^5</f>
        <v>13285.857818233286</v>
      </c>
      <c r="Q62" s="165">
        <f>VLOOKUP(B62,'增加值 (2001-2060, 2020RMB)'!$A$14:$AE$54,31,0)*(1+L62)^5</f>
        <v>13553.952073274084</v>
      </c>
      <c r="R62" s="165">
        <f>VLOOKUP(B62,'增加值 (2001-2060, 2020RMB)'!$A$14:$AJ$54,36,0)*(1+M62)^15</f>
        <v>14173.333500943092</v>
      </c>
      <c r="S62" s="165">
        <f>VLOOKUP(B62,'增加值 (2001-2060, 2020RMB)'!$A$14:$AY$54,51,0)*(1+N62)^10</f>
        <v>10446.46900052433</v>
      </c>
    </row>
    <row r="63" spans="1:19" ht="15" x14ac:dyDescent="0.25">
      <c r="A63" s="156"/>
      <c r="B63" s="158" t="s">
        <v>242</v>
      </c>
      <c r="C63" s="161">
        <f>(VLOOKUP(B63,'增加值 (2001-2060, 2020RMB)'!$A$13:$W$54,20,0)/VLOOKUP(B63,'增加值 (2001-2060, 2020RMB)'!$A$13:$W$54,17,0))^(1/3)-1</f>
        <v>6.0041288590014119E-2</v>
      </c>
      <c r="D63" s="160">
        <f>(VLOOKUP(B63,'增加值 (2001-2060, 2020RMB)'!$A$13:$W$54,23,0)/VLOOKUP(B63,'增加值 (2001-2060, 2020RMB)'!$A$13:$W$54,20,0))^(1/3)-1</f>
        <v>4.6893213334837647E-2</v>
      </c>
      <c r="E63" s="172">
        <v>0.7</v>
      </c>
      <c r="F63" s="173">
        <v>0.5</v>
      </c>
      <c r="G63" s="173">
        <v>0.4</v>
      </c>
      <c r="H63" s="173">
        <v>0.3</v>
      </c>
      <c r="I63" s="173">
        <v>0.2</v>
      </c>
      <c r="J63" s="159">
        <f t="shared" si="7"/>
        <v>3.7427075673698115E-2</v>
      </c>
      <c r="K63" s="159">
        <f t="shared" si="6"/>
        <v>2.6733625481212941E-2</v>
      </c>
      <c r="L63" s="159">
        <f t="shared" si="6"/>
        <v>2.1386900384970355E-2</v>
      </c>
      <c r="M63" s="159">
        <f t="shared" si="6"/>
        <v>1.6040175288727764E-2</v>
      </c>
      <c r="N63" s="159">
        <f t="shared" si="6"/>
        <v>1.0693450192485177E-2</v>
      </c>
      <c r="O63" s="165">
        <f>VLOOKUP(B63,'增加值 (2001-2060, 2020RMB)'!$A$14:$W$54,23,0)*(1+J63)^3</f>
        <v>7400.311414477721</v>
      </c>
      <c r="P63" s="165">
        <f>VLOOKUP(B63,'增加值 (2001-2060, 2020RMB)'!$A$14:$AE$54,26,0)*(1+K63)^5</f>
        <v>8009.5107290037831</v>
      </c>
      <c r="Q63" s="165">
        <f>VLOOKUP(B63,'增加值 (2001-2060, 2020RMB)'!$A$14:$AE$54,31,0)*(1+L63)^5</f>
        <v>8485.1220230142062</v>
      </c>
      <c r="R63" s="165">
        <f>VLOOKUP(B63,'增加值 (2001-2060, 2020RMB)'!$A$14:$AJ$54,36,0)*(1+M63)^15</f>
        <v>10167.468107301567</v>
      </c>
      <c r="S63" s="165">
        <f>VLOOKUP(B63,'增加值 (2001-2060, 2020RMB)'!$A$14:$AY$54,51,0)*(1+N63)^10</f>
        <v>7784.4598235460999</v>
      </c>
    </row>
    <row r="64" spans="1:19" ht="15" x14ac:dyDescent="0.25">
      <c r="A64" s="156"/>
      <c r="B64" s="158" t="s">
        <v>243</v>
      </c>
      <c r="C64" s="161">
        <f>(VLOOKUP(B64,'增加值 (2001-2060, 2020RMB)'!$A$13:$W$54,20,0)/VLOOKUP(B64,'增加值 (2001-2060, 2020RMB)'!$A$13:$W$54,17,0))^(1/3)-1</f>
        <v>6.5041663653590875E-2</v>
      </c>
      <c r="D64" s="160">
        <f>(VLOOKUP(B64,'增加值 (2001-2060, 2020RMB)'!$A$13:$W$54,23,0)/VLOOKUP(B64,'增加值 (2001-2060, 2020RMB)'!$A$13:$W$54,20,0))^(1/3)-1</f>
        <v>5.3855301278841861E-2</v>
      </c>
      <c r="E64" s="172">
        <v>0.7</v>
      </c>
      <c r="F64" s="173">
        <v>0.5</v>
      </c>
      <c r="G64" s="173">
        <v>0.4</v>
      </c>
      <c r="H64" s="173">
        <v>0.3</v>
      </c>
      <c r="I64" s="173">
        <v>0.2</v>
      </c>
      <c r="J64" s="159">
        <f t="shared" si="7"/>
        <v>4.1613937726351455E-2</v>
      </c>
      <c r="K64" s="159">
        <f t="shared" ref="K64:K88" si="8">AVERAGE($C64:$D64)*F64</f>
        <v>2.9724241233108184E-2</v>
      </c>
      <c r="L64" s="159">
        <f t="shared" ref="L64:L88" si="9">AVERAGE($C64:$D64)*G64</f>
        <v>2.3779392986486549E-2</v>
      </c>
      <c r="M64" s="159">
        <f t="shared" ref="M64:M88" si="10">AVERAGE($C64:$D64)*H64</f>
        <v>1.783454473986491E-2</v>
      </c>
      <c r="N64" s="159">
        <f t="shared" ref="N64:N88" si="11">AVERAGE($C64:$D64)*I64</f>
        <v>1.1889696493243274E-2</v>
      </c>
      <c r="O64" s="165">
        <f>VLOOKUP(B64,'增加值 (2001-2060, 2020RMB)'!$A$14:$W$54,23,0)*(1+J64)^3</f>
        <v>8218.2868008334754</v>
      </c>
      <c r="P64" s="165">
        <f>VLOOKUP(B64,'增加值 (2001-2060, 2020RMB)'!$A$14:$AE$54,26,0)*(1+K64)^5</f>
        <v>9025.1211811363464</v>
      </c>
      <c r="Q64" s="165">
        <f>VLOOKUP(B64,'增加值 (2001-2060, 2020RMB)'!$A$14:$AE$54,31,0)*(1+L64)^5</f>
        <v>9673.5447939583264</v>
      </c>
      <c r="R64" s="165">
        <f>VLOOKUP(B64,'增加值 (2001-2060, 2020RMB)'!$A$14:$AJ$54,36,0)*(1+M64)^15</f>
        <v>11902.411472671816</v>
      </c>
      <c r="S64" s="165">
        <f>VLOOKUP(B64,'增加值 (2001-2060, 2020RMB)'!$A$14:$AY$54,51,0)*(1+N64)^10</f>
        <v>9221.2086211925853</v>
      </c>
    </row>
    <row r="65" spans="1:19" ht="15" x14ac:dyDescent="0.25">
      <c r="A65" s="156"/>
      <c r="B65" s="158" t="s">
        <v>244</v>
      </c>
      <c r="C65" s="161">
        <f>(VLOOKUP(B65,'增加值 (2001-2060, 2020RMB)'!$A$13:$W$54,20,0)/VLOOKUP(B65,'增加值 (2001-2060, 2020RMB)'!$A$13:$W$54,17,0))^(1/3)-1</f>
        <v>3.8972978413204906E-2</v>
      </c>
      <c r="D65" s="160">
        <f>(VLOOKUP(B65,'增加值 (2001-2060, 2020RMB)'!$A$13:$W$54,23,0)/VLOOKUP(B65,'增加值 (2001-2060, 2020RMB)'!$A$13:$W$54,20,0))^(1/3)-1</f>
        <v>5.3533902155058266E-2</v>
      </c>
      <c r="E65" s="172">
        <v>0.7</v>
      </c>
      <c r="F65" s="173">
        <v>0.5</v>
      </c>
      <c r="G65" s="173">
        <v>0.4</v>
      </c>
      <c r="H65" s="173">
        <v>0.3</v>
      </c>
      <c r="I65" s="173">
        <v>0.2</v>
      </c>
      <c r="J65" s="159">
        <f t="shared" si="7"/>
        <v>3.2377408198892108E-2</v>
      </c>
      <c r="K65" s="159">
        <f t="shared" si="8"/>
        <v>2.3126720142065793E-2</v>
      </c>
      <c r="L65" s="159">
        <f t="shared" si="9"/>
        <v>1.8501376113652636E-2</v>
      </c>
      <c r="M65" s="159">
        <f t="shared" si="10"/>
        <v>1.3876032085239475E-2</v>
      </c>
      <c r="N65" s="159">
        <f t="shared" si="11"/>
        <v>9.2506880568263179E-3</v>
      </c>
      <c r="O65" s="165">
        <f>VLOOKUP(B65,'增加值 (2001-2060, 2020RMB)'!$A$14:$W$54,23,0)*(1+J65)^3</f>
        <v>9924.2040539720856</v>
      </c>
      <c r="P65" s="165">
        <f>VLOOKUP(B65,'增加值 (2001-2060, 2020RMB)'!$A$14:$AE$54,26,0)*(1+K65)^5</f>
        <v>10553.82490615011</v>
      </c>
      <c r="Q65" s="165">
        <f>VLOOKUP(B65,'增加值 (2001-2060, 2020RMB)'!$A$14:$AE$54,31,0)*(1+L65)^5</f>
        <v>11023.478822450967</v>
      </c>
      <c r="R65" s="165">
        <f>VLOOKUP(B65,'增加值 (2001-2060, 2020RMB)'!$A$14:$AJ$54,36,0)*(1+M65)^15</f>
        <v>12793.313284654203</v>
      </c>
      <c r="S65" s="165">
        <f>VLOOKUP(B65,'增加值 (2001-2060, 2020RMB)'!$A$14:$AY$54,51,0)*(1+N65)^10</f>
        <v>9655.9437432015493</v>
      </c>
    </row>
    <row r="66" spans="1:19" ht="15" x14ac:dyDescent="0.25">
      <c r="A66" s="156"/>
      <c r="B66" s="158" t="s">
        <v>245</v>
      </c>
      <c r="C66" s="161">
        <f>(VLOOKUP(B66,'增加值 (2001-2060, 2020RMB)'!$A$13:$W$54,20,0)/VLOOKUP(B66,'增加值 (2001-2060, 2020RMB)'!$A$13:$W$54,17,0))^(1/3)-1</f>
        <v>2.805962569093623E-2</v>
      </c>
      <c r="D66" s="160">
        <f>(VLOOKUP(B66,'增加值 (2001-2060, 2020RMB)'!$A$13:$W$54,23,0)/VLOOKUP(B66,'增加值 (2001-2060, 2020RMB)'!$A$13:$W$54,20,0))^(1/3)-1</f>
        <v>-7.6523101069775334E-3</v>
      </c>
      <c r="E66" s="172">
        <v>0.7</v>
      </c>
      <c r="F66" s="173">
        <v>0.5</v>
      </c>
      <c r="G66" s="173">
        <v>0.4</v>
      </c>
      <c r="H66" s="173">
        <v>0.3</v>
      </c>
      <c r="I66" s="173">
        <v>0.2</v>
      </c>
      <c r="J66" s="159">
        <f t="shared" si="7"/>
        <v>7.1425604543855431E-3</v>
      </c>
      <c r="K66" s="159">
        <f t="shared" si="8"/>
        <v>5.101828895989674E-3</v>
      </c>
      <c r="L66" s="159">
        <f t="shared" si="9"/>
        <v>4.0814631167917391E-3</v>
      </c>
      <c r="M66" s="159">
        <f t="shared" si="10"/>
        <v>3.0610973375938045E-3</v>
      </c>
      <c r="N66" s="159">
        <f t="shared" si="11"/>
        <v>2.0407315583958695E-3</v>
      </c>
      <c r="O66" s="165">
        <f>VLOOKUP(B66,'增加值 (2001-2060, 2020RMB)'!$A$14:$W$54,23,0)*(1+J66)^3</f>
        <v>3427.7753595399113</v>
      </c>
      <c r="P66" s="165">
        <f>VLOOKUP(B66,'增加值 (2001-2060, 2020RMB)'!$A$14:$AE$54,26,0)*(1+K66)^5</f>
        <v>3335.260296014977</v>
      </c>
      <c r="Q66" s="165">
        <f>VLOOKUP(B66,'增加值 (2001-2060, 2020RMB)'!$A$14:$AE$54,31,0)*(1+L66)^5</f>
        <v>3243.9575866154973</v>
      </c>
      <c r="R66" s="165">
        <f>VLOOKUP(B66,'增加值 (2001-2060, 2020RMB)'!$A$14:$AJ$54,36,0)*(1+M66)^15</f>
        <v>3205.3649898150607</v>
      </c>
      <c r="S66" s="165">
        <f>VLOOKUP(B66,'增加值 (2001-2060, 2020RMB)'!$A$14:$AY$54,51,0)*(1+N66)^10</f>
        <v>2251.9170689445732</v>
      </c>
    </row>
    <row r="67" spans="1:19" ht="15" x14ac:dyDescent="0.25">
      <c r="A67" s="156"/>
      <c r="B67" s="158" t="s">
        <v>246</v>
      </c>
      <c r="C67" s="161">
        <f>(VLOOKUP(B67,'增加值 (2001-2060, 2020RMB)'!$A$13:$W$54,20,0)/VLOOKUP(B67,'增加值 (2001-2060, 2020RMB)'!$A$13:$W$54,17,0))^(1/3)-1</f>
        <v>2.7321656461441357E-2</v>
      </c>
      <c r="D67" s="160">
        <f>(VLOOKUP(B67,'增加值 (2001-2060, 2020RMB)'!$A$13:$W$54,23,0)/VLOOKUP(B67,'增加值 (2001-2060, 2020RMB)'!$A$13:$W$54,20,0))^(1/3)-1</f>
        <v>3.3080810164053176E-2</v>
      </c>
      <c r="E67" s="172">
        <v>0.7</v>
      </c>
      <c r="F67" s="173">
        <v>0.5</v>
      </c>
      <c r="G67" s="173">
        <v>0.4</v>
      </c>
      <c r="H67" s="173">
        <v>0.3</v>
      </c>
      <c r="I67" s="173">
        <v>0.2</v>
      </c>
      <c r="J67" s="159">
        <f t="shared" si="7"/>
        <v>2.1140863318923085E-2</v>
      </c>
      <c r="K67" s="159">
        <f t="shared" si="8"/>
        <v>1.5100616656373633E-2</v>
      </c>
      <c r="L67" s="159">
        <f t="shared" si="9"/>
        <v>1.2080493325098907E-2</v>
      </c>
      <c r="M67" s="159">
        <f t="shared" si="10"/>
        <v>9.0603699938241796E-3</v>
      </c>
      <c r="N67" s="159">
        <f t="shared" si="11"/>
        <v>6.0402466625494537E-3</v>
      </c>
      <c r="O67" s="165">
        <f>VLOOKUP(B67,'增加值 (2001-2060, 2020RMB)'!$A$14:$W$54,23,0)*(1+J67)^3</f>
        <v>3267.8927902260921</v>
      </c>
      <c r="P67" s="165">
        <f>VLOOKUP(B67,'增加值 (2001-2060, 2020RMB)'!$A$14:$AE$54,26,0)*(1+K67)^5</f>
        <v>3341.0295976117786</v>
      </c>
      <c r="Q67" s="165">
        <f>VLOOKUP(B67,'增加值 (2001-2060, 2020RMB)'!$A$14:$AE$54,31,0)*(1+L67)^5</f>
        <v>3381.0865015465974</v>
      </c>
      <c r="R67" s="165">
        <f>VLOOKUP(B67,'增加值 (2001-2060, 2020RMB)'!$A$14:$AJ$54,36,0)*(1+M67)^15</f>
        <v>3653.4658029019743</v>
      </c>
      <c r="S67" s="165">
        <f>VLOOKUP(B67,'增加值 (2001-2060, 2020RMB)'!$A$14:$AY$54,51,0)*(1+N67)^10</f>
        <v>2671.0360343373827</v>
      </c>
    </row>
    <row r="68" spans="1:19" ht="15" x14ac:dyDescent="0.25">
      <c r="A68" s="156"/>
      <c r="B68" s="158" t="s">
        <v>247</v>
      </c>
      <c r="C68" s="161">
        <f>(VLOOKUP(B68,'增加值 (2001-2060, 2020RMB)'!$A$13:$W$54,20,0)/VLOOKUP(B68,'增加值 (2001-2060, 2020RMB)'!$A$13:$W$54,17,0))^(1/3)-1</f>
        <v>4.9172685554043749E-2</v>
      </c>
      <c r="D68" s="160">
        <f>(VLOOKUP(B68,'增加值 (2001-2060, 2020RMB)'!$A$13:$W$54,23,0)/VLOOKUP(B68,'增加值 (2001-2060, 2020RMB)'!$A$13:$W$54,20,0))^(1/3)-1</f>
        <v>7.9168483237206377E-3</v>
      </c>
      <c r="E68" s="172">
        <v>0.7</v>
      </c>
      <c r="F68" s="173">
        <v>0.5</v>
      </c>
      <c r="G68" s="173">
        <v>0.4</v>
      </c>
      <c r="H68" s="173">
        <v>0.3</v>
      </c>
      <c r="I68" s="173">
        <v>0.2</v>
      </c>
      <c r="J68" s="159">
        <f t="shared" si="7"/>
        <v>1.9981336857217535E-2</v>
      </c>
      <c r="K68" s="159">
        <f t="shared" si="8"/>
        <v>1.4272383469441097E-2</v>
      </c>
      <c r="L68" s="159">
        <f t="shared" si="9"/>
        <v>1.1417906775552877E-2</v>
      </c>
      <c r="M68" s="159">
        <f t="shared" si="10"/>
        <v>8.563430081664658E-3</v>
      </c>
      <c r="N68" s="159">
        <f t="shared" si="11"/>
        <v>5.7089533877764387E-3</v>
      </c>
      <c r="O68" s="165">
        <f>VLOOKUP(B68,'增加值 (2001-2060, 2020RMB)'!$A$14:$W$54,23,0)*(1+J68)^3</f>
        <v>1912.3334990883588</v>
      </c>
      <c r="P68" s="165">
        <f>VLOOKUP(B68,'增加值 (2001-2060, 2020RMB)'!$A$14:$AE$54,26,0)*(1+K68)^5</f>
        <v>1947.1692439633373</v>
      </c>
      <c r="Q68" s="165">
        <f>VLOOKUP(B68,'增加值 (2001-2060, 2020RMB)'!$A$14:$AE$54,31,0)*(1+L68)^5</f>
        <v>1964.0727938135428</v>
      </c>
      <c r="R68" s="165">
        <f>VLOOKUP(B68,'增加值 (2001-2060, 2020RMB)'!$A$14:$AJ$54,36,0)*(1+M68)^15</f>
        <v>2106.6740613190877</v>
      </c>
      <c r="S68" s="165">
        <f>VLOOKUP(B68,'增加值 (2001-2060, 2020RMB)'!$A$14:$AY$54,51,0)*(1+N68)^10</f>
        <v>1535.1176425416011</v>
      </c>
    </row>
    <row r="69" spans="1:19" ht="15" x14ac:dyDescent="0.25">
      <c r="A69" s="156"/>
      <c r="B69" s="158" t="s">
        <v>248</v>
      </c>
      <c r="C69" s="161">
        <f>(VLOOKUP(B69,'增加值 (2001-2060, 2020RMB)'!$A$13:$W$54,20,0)/VLOOKUP(B69,'增加值 (2001-2060, 2020RMB)'!$A$13:$W$54,17,0))^(1/3)-1</f>
        <v>5.3112706149011091E-2</v>
      </c>
      <c r="D69" s="160">
        <f>(VLOOKUP(B69,'增加值 (2001-2060, 2020RMB)'!$A$13:$W$54,23,0)/VLOOKUP(B69,'增加值 (2001-2060, 2020RMB)'!$A$13:$W$54,20,0))^(1/3)-1</f>
        <v>3.8330072814003913E-2</v>
      </c>
      <c r="E69" s="172">
        <v>0.7</v>
      </c>
      <c r="F69" s="173">
        <v>0.5</v>
      </c>
      <c r="G69" s="173">
        <v>0.4</v>
      </c>
      <c r="H69" s="173">
        <v>0.3</v>
      </c>
      <c r="I69" s="173">
        <v>0.2</v>
      </c>
      <c r="J69" s="159">
        <f t="shared" si="7"/>
        <v>3.2004972637055248E-2</v>
      </c>
      <c r="K69" s="159">
        <f t="shared" si="8"/>
        <v>2.2860694740753751E-2</v>
      </c>
      <c r="L69" s="159">
        <f t="shared" si="9"/>
        <v>1.8288555792603002E-2</v>
      </c>
      <c r="M69" s="159">
        <f t="shared" si="10"/>
        <v>1.371641684445225E-2</v>
      </c>
      <c r="N69" s="159">
        <f t="shared" si="11"/>
        <v>9.144277896301501E-3</v>
      </c>
      <c r="O69" s="165">
        <f>VLOOKUP(B69,'增加值 (2001-2060, 2020RMB)'!$A$14:$W$54,23,0)*(1+J69)^3</f>
        <v>2141.035192325126</v>
      </c>
      <c r="P69" s="165">
        <f>VLOOKUP(B69,'增加值 (2001-2060, 2020RMB)'!$A$14:$AE$54,26,0)*(1+K69)^5</f>
        <v>2273.9102671050127</v>
      </c>
      <c r="Q69" s="165">
        <f>VLOOKUP(B69,'增加值 (2001-2060, 2020RMB)'!$A$14:$AE$54,31,0)*(1+L69)^5</f>
        <v>2372.6207480844887</v>
      </c>
      <c r="R69" s="165">
        <f>VLOOKUP(B69,'增加值 (2001-2060, 2020RMB)'!$A$14:$AJ$54,36,0)*(1+M69)^15</f>
        <v>2747.0529885590568</v>
      </c>
      <c r="S69" s="165">
        <f>VLOOKUP(B69,'增加值 (2001-2060, 2020RMB)'!$A$14:$AY$54,51,0)*(1+N69)^10</f>
        <v>2071.1941306956423</v>
      </c>
    </row>
    <row r="70" spans="1:19" ht="15" x14ac:dyDescent="0.25">
      <c r="A70" s="156"/>
      <c r="B70" s="158" t="s">
        <v>249</v>
      </c>
      <c r="C70" s="161">
        <f>(VLOOKUP(B70,'增加值 (2001-2060, 2020RMB)'!$A$13:$W$54,20,0)/VLOOKUP(B70,'增加值 (2001-2060, 2020RMB)'!$A$13:$W$54,17,0))^(1/3)-1</f>
        <v>4.9337411046651347E-2</v>
      </c>
      <c r="D70" s="160">
        <f>(VLOOKUP(B70,'增加值 (2001-2060, 2020RMB)'!$A$13:$W$54,23,0)/VLOOKUP(B70,'增加值 (2001-2060, 2020RMB)'!$A$13:$W$54,20,0))^(1/3)-1</f>
        <v>2.4824549543858154E-2</v>
      </c>
      <c r="E70" s="172">
        <v>0.7</v>
      </c>
      <c r="F70" s="173">
        <v>0.5</v>
      </c>
      <c r="G70" s="173">
        <v>0.4</v>
      </c>
      <c r="H70" s="173">
        <v>0.3</v>
      </c>
      <c r="I70" s="173">
        <v>0.2</v>
      </c>
      <c r="J70" s="159">
        <f t="shared" si="7"/>
        <v>2.5956686206678323E-2</v>
      </c>
      <c r="K70" s="159">
        <f t="shared" si="8"/>
        <v>1.8540490147627375E-2</v>
      </c>
      <c r="L70" s="159">
        <f t="shared" si="9"/>
        <v>1.4832392118101901E-2</v>
      </c>
      <c r="M70" s="159">
        <f t="shared" si="10"/>
        <v>1.1124294088576426E-2</v>
      </c>
      <c r="N70" s="159">
        <f t="shared" si="11"/>
        <v>7.4161960590509507E-3</v>
      </c>
      <c r="O70" s="165">
        <f>VLOOKUP(B70,'增加值 (2001-2060, 2020RMB)'!$A$14:$W$54,23,0)*(1+J70)^3</f>
        <v>2521.6775690538466</v>
      </c>
      <c r="P70" s="165">
        <f>VLOOKUP(B70,'增加值 (2001-2060, 2020RMB)'!$A$14:$AE$54,26,0)*(1+K70)^5</f>
        <v>2622.0931216252152</v>
      </c>
      <c r="Q70" s="165">
        <f>VLOOKUP(B70,'增加值 (2001-2060, 2020RMB)'!$A$14:$AE$54,31,0)*(1+L70)^5</f>
        <v>2689.8025592159115</v>
      </c>
      <c r="R70" s="165">
        <f>VLOOKUP(B70,'增加值 (2001-2060, 2020RMB)'!$A$14:$AJ$54,36,0)*(1+M70)^15</f>
        <v>2996.9541325371906</v>
      </c>
      <c r="S70" s="165">
        <f>VLOOKUP(B70,'增加值 (2001-2060, 2020RMB)'!$A$14:$AY$54,51,0)*(1+N70)^10</f>
        <v>2221.2146691590269</v>
      </c>
    </row>
    <row r="71" spans="1:19" x14ac:dyDescent="0.15">
      <c r="A71" s="155" t="s">
        <v>250</v>
      </c>
      <c r="B71" s="158" t="s">
        <v>251</v>
      </c>
      <c r="C71" s="161">
        <f>(VLOOKUP(B71,'增加值 (2001-2060, 2020RMB)'!$A$13:$W$54,20,0)/VLOOKUP(B71,'增加值 (2001-2060, 2020RMB)'!$A$13:$W$54,17,0))^(1/3)-1</f>
        <v>4.3911486408383826E-2</v>
      </c>
      <c r="D71" s="160">
        <f>(VLOOKUP(B71,'增加值 (2001-2060, 2020RMB)'!$A$13:$W$54,23,0)/VLOOKUP(B71,'增加值 (2001-2060, 2020RMB)'!$A$13:$W$54,20,0))^(1/3)-1</f>
        <v>7.5370857891373655E-2</v>
      </c>
      <c r="E71" s="172">
        <v>0.9</v>
      </c>
      <c r="F71" s="173">
        <v>0.8</v>
      </c>
      <c r="G71" s="173">
        <v>0.7</v>
      </c>
      <c r="H71" s="173">
        <v>0.5</v>
      </c>
      <c r="I71" s="173">
        <v>0.4</v>
      </c>
      <c r="J71" s="159">
        <f t="shared" si="7"/>
        <v>5.3677054934890868E-2</v>
      </c>
      <c r="K71" s="159">
        <f t="shared" si="8"/>
        <v>4.7712937719902995E-2</v>
      </c>
      <c r="L71" s="159">
        <f t="shared" si="9"/>
        <v>4.1748820504915116E-2</v>
      </c>
      <c r="M71" s="159">
        <f t="shared" si="10"/>
        <v>2.982058607493937E-2</v>
      </c>
      <c r="N71" s="159">
        <f t="shared" si="11"/>
        <v>2.3856468859951498E-2</v>
      </c>
      <c r="O71" s="165">
        <f>VLOOKUP(B71,'增加值 (2001-2060, 2020RMB)'!$A$14:$W$54,23,0)*(1+J71)^3</f>
        <v>17757.225310037506</v>
      </c>
      <c r="P71" s="165">
        <f>VLOOKUP(B71,'增加值 (2001-2060, 2020RMB)'!$A$14:$AE$54,26,0)*(1+K71)^5</f>
        <v>21264.427964417548</v>
      </c>
      <c r="Q71" s="165">
        <f>VLOOKUP(B71,'增加值 (2001-2060, 2020RMB)'!$A$14:$AE$54,31,0)*(1+L71)^5</f>
        <v>24863.913032219749</v>
      </c>
      <c r="R71" s="165">
        <f>VLOOKUP(B71,'增加值 (2001-2060, 2020RMB)'!$A$14:$AJ$54,36,0)*(1+M71)^15</f>
        <v>36465.697932917203</v>
      </c>
      <c r="S71" s="165">
        <f>VLOOKUP(B71,'增加值 (2001-2060, 2020RMB)'!$A$14:$AY$54,51,0)*(1+N71)^10</f>
        <v>31775.797991400843</v>
      </c>
    </row>
    <row r="72" spans="1:19" ht="15" x14ac:dyDescent="0.25">
      <c r="A72" s="156"/>
      <c r="B72" s="158" t="s">
        <v>252</v>
      </c>
      <c r="C72" s="161">
        <f>(VLOOKUP(B72,'增加值 (2001-2060, 2020RMB)'!$A$13:$W$54,20,0)/VLOOKUP(B72,'增加值 (2001-2060, 2020RMB)'!$A$13:$W$54,17,0))^(1/3)-1</f>
        <v>6.2830620842833751E-2</v>
      </c>
      <c r="D72" s="160">
        <f>(VLOOKUP(B72,'增加值 (2001-2060, 2020RMB)'!$A$13:$W$54,23,0)/VLOOKUP(B72,'增加值 (2001-2060, 2020RMB)'!$A$13:$W$54,20,0))^(1/3)-1</f>
        <v>6.0936109817283146E-2</v>
      </c>
      <c r="E72" s="172">
        <v>0.9</v>
      </c>
      <c r="F72" s="173">
        <v>0.8</v>
      </c>
      <c r="G72" s="173">
        <v>0.7</v>
      </c>
      <c r="H72" s="173">
        <v>0.5</v>
      </c>
      <c r="I72" s="173">
        <v>0.4</v>
      </c>
      <c r="J72" s="159">
        <f t="shared" si="7"/>
        <v>5.5695028797052605E-2</v>
      </c>
      <c r="K72" s="159">
        <f t="shared" si="8"/>
        <v>4.9506692264046762E-2</v>
      </c>
      <c r="L72" s="159">
        <f t="shared" si="9"/>
        <v>4.3318355731040911E-2</v>
      </c>
      <c r="M72" s="159">
        <f t="shared" si="10"/>
        <v>3.0941682665029224E-2</v>
      </c>
      <c r="N72" s="159">
        <f t="shared" si="11"/>
        <v>2.4753346132023381E-2</v>
      </c>
      <c r="O72" s="165">
        <f>VLOOKUP(B72,'增加值 (2001-2060, 2020RMB)'!$A$14:$W$54,23,0)*(1+J72)^3</f>
        <v>18581.743349961962</v>
      </c>
      <c r="P72" s="165">
        <f>VLOOKUP(B72,'增加值 (2001-2060, 2020RMB)'!$A$14:$AE$54,26,0)*(1+K72)^5</f>
        <v>22442.931469563369</v>
      </c>
      <c r="Q72" s="165">
        <f>VLOOKUP(B72,'增加值 (2001-2060, 2020RMB)'!$A$14:$AE$54,31,0)*(1+L72)^5</f>
        <v>26440.186329927998</v>
      </c>
      <c r="R72" s="165">
        <f>VLOOKUP(B72,'增加值 (2001-2060, 2020RMB)'!$A$14:$AJ$54,36,0)*(1+M72)^15</f>
        <v>39415.543108808706</v>
      </c>
      <c r="S72" s="165">
        <f>VLOOKUP(B72,'增加值 (2001-2060, 2020RMB)'!$A$14:$AY$54,51,0)*(1+N72)^10</f>
        <v>34648.314769752469</v>
      </c>
    </row>
    <row r="73" spans="1:19" ht="15" x14ac:dyDescent="0.25">
      <c r="A73" s="156"/>
      <c r="B73" s="158" t="s">
        <v>253</v>
      </c>
      <c r="C73" s="161">
        <f>(VLOOKUP(B73,'增加值 (2001-2060, 2020RMB)'!$A$13:$W$54,20,0)/VLOOKUP(B73,'增加值 (2001-2060, 2020RMB)'!$A$13:$W$54,17,0))^(1/3)-1</f>
        <v>8.8012669513386932E-2</v>
      </c>
      <c r="D73" s="160">
        <f>(VLOOKUP(B73,'增加值 (2001-2060, 2020RMB)'!$A$13:$W$54,23,0)/VLOOKUP(B73,'增加值 (2001-2060, 2020RMB)'!$A$13:$W$54,20,0))^(1/3)-1</f>
        <v>8.2574294780134005E-2</v>
      </c>
      <c r="E73" s="172">
        <v>0.9</v>
      </c>
      <c r="F73" s="173">
        <v>0.8</v>
      </c>
      <c r="G73" s="173">
        <v>0.7</v>
      </c>
      <c r="H73" s="173">
        <v>0.5</v>
      </c>
      <c r="I73" s="173">
        <v>0.4</v>
      </c>
      <c r="J73" s="159">
        <f t="shared" si="7"/>
        <v>7.6764133932084422E-2</v>
      </c>
      <c r="K73" s="159">
        <f t="shared" si="8"/>
        <v>6.8234785717408375E-2</v>
      </c>
      <c r="L73" s="159">
        <f t="shared" si="9"/>
        <v>5.9705437502732321E-2</v>
      </c>
      <c r="M73" s="159">
        <f t="shared" si="10"/>
        <v>4.2646741073380234E-2</v>
      </c>
      <c r="N73" s="159">
        <f t="shared" si="11"/>
        <v>3.4117392858704187E-2</v>
      </c>
      <c r="O73" s="165">
        <f>VLOOKUP(B73,'增加值 (2001-2060, 2020RMB)'!$A$14:$W$54,23,0)*(1+J73)^3</f>
        <v>15236.451030689981</v>
      </c>
      <c r="P73" s="165">
        <f>VLOOKUP(B73,'增加值 (2001-2060, 2020RMB)'!$A$14:$AE$54,26,0)*(1+K73)^5</f>
        <v>20104.092118925091</v>
      </c>
      <c r="Q73" s="165">
        <f>VLOOKUP(B73,'增加值 (2001-2060, 2020RMB)'!$A$14:$AE$54,31,0)*(1+L73)^5</f>
        <v>25604.185573617306</v>
      </c>
      <c r="R73" s="165">
        <f>VLOOKUP(B73,'增加值 (2001-2060, 2020RMB)'!$A$14:$AJ$54,36,0)*(1+M73)^15</f>
        <v>45212.688612183825</v>
      </c>
      <c r="S73" s="165">
        <f>VLOOKUP(B73,'增加值 (2001-2060, 2020RMB)'!$A$14:$AY$54,51,0)*(1+N73)^10</f>
        <v>43529.122232345202</v>
      </c>
    </row>
    <row r="74" spans="1:19" ht="15" x14ac:dyDescent="0.25">
      <c r="A74" s="156"/>
      <c r="B74" s="158" t="s">
        <v>254</v>
      </c>
      <c r="C74" s="161">
        <f>(VLOOKUP(B74,'增加值 (2001-2060, 2020RMB)'!$A$13:$W$54,20,0)/VLOOKUP(B74,'增加值 (2001-2060, 2020RMB)'!$A$13:$W$54,17,0))^(1/3)-1</f>
        <v>5.201591196057076E-2</v>
      </c>
      <c r="D74" s="160">
        <f>(VLOOKUP(B74,'增加值 (2001-2060, 2020RMB)'!$A$13:$W$54,23,0)/VLOOKUP(B74,'增加值 (2001-2060, 2020RMB)'!$A$13:$W$54,20,0))^(1/3)-1</f>
        <v>6.945262358549531E-2</v>
      </c>
      <c r="E74" s="172">
        <v>0.9</v>
      </c>
      <c r="F74" s="173">
        <v>0.8</v>
      </c>
      <c r="G74" s="173">
        <v>0.7</v>
      </c>
      <c r="H74" s="173">
        <v>0.5</v>
      </c>
      <c r="I74" s="173">
        <v>0.4</v>
      </c>
      <c r="J74" s="159">
        <f t="shared" si="7"/>
        <v>5.466084099572973E-2</v>
      </c>
      <c r="K74" s="159">
        <f t="shared" si="8"/>
        <v>4.8587414218426432E-2</v>
      </c>
      <c r="L74" s="159">
        <f t="shared" si="9"/>
        <v>4.251398744112312E-2</v>
      </c>
      <c r="M74" s="159">
        <f t="shared" si="10"/>
        <v>3.0367133886516517E-2</v>
      </c>
      <c r="N74" s="159">
        <f t="shared" si="11"/>
        <v>2.4293707109213216E-2</v>
      </c>
      <c r="O74" s="165">
        <f>VLOOKUP(B74,'增加值 (2001-2060, 2020RMB)'!$A$14:$W$54,23,0)*(1+J74)^3</f>
        <v>28416.516433768837</v>
      </c>
      <c r="P74" s="165">
        <f>VLOOKUP(B74,'增加值 (2001-2060, 2020RMB)'!$A$14:$AE$54,26,0)*(1+K74)^5</f>
        <v>34171.268855872615</v>
      </c>
      <c r="Q74" s="165">
        <f>VLOOKUP(B74,'增加值 (2001-2060, 2020RMB)'!$A$14:$AE$54,31,0)*(1+L74)^5</f>
        <v>40102.4813346105</v>
      </c>
      <c r="R74" s="165">
        <f>VLOOKUP(B74,'增加值 (2001-2060, 2020RMB)'!$A$14:$AJ$54,36,0)*(1+M74)^15</f>
        <v>59284.712875232319</v>
      </c>
      <c r="S74" s="165">
        <f>VLOOKUP(B74,'增加值 (2001-2060, 2020RMB)'!$A$14:$AY$54,51,0)*(1+N74)^10</f>
        <v>51881.06908152414</v>
      </c>
    </row>
    <row r="75" spans="1:19" ht="15" x14ac:dyDescent="0.25">
      <c r="A75" s="156"/>
      <c r="B75" s="157" t="s">
        <v>255</v>
      </c>
      <c r="C75" s="161">
        <f>(VLOOKUP(B75,'增加值 (2001-2060, 2020RMB)'!$A$13:$W$54,20,0)/VLOOKUP(B75,'增加值 (2001-2060, 2020RMB)'!$A$13:$W$54,17,0))^(1/3)-1</f>
        <v>5.2856842755794275E-2</v>
      </c>
      <c r="D75" s="160">
        <f>(VLOOKUP(B75,'增加值 (2001-2060, 2020RMB)'!$A$13:$W$54,23,0)/VLOOKUP(B75,'增加值 (2001-2060, 2020RMB)'!$A$13:$W$54,20,0))^(1/3)-1</f>
        <v>4.2290324652889622E-2</v>
      </c>
      <c r="E75" s="172">
        <v>0.9</v>
      </c>
      <c r="F75" s="173">
        <v>0.8</v>
      </c>
      <c r="G75" s="173">
        <v>0.7</v>
      </c>
      <c r="H75" s="173">
        <v>0.5</v>
      </c>
      <c r="I75" s="173">
        <v>0.4</v>
      </c>
      <c r="J75" s="159">
        <f t="shared" si="7"/>
        <v>4.2816225333907755E-2</v>
      </c>
      <c r="K75" s="159">
        <f t="shared" si="8"/>
        <v>3.8058866963473562E-2</v>
      </c>
      <c r="L75" s="159">
        <f t="shared" si="9"/>
        <v>3.3301508593039361E-2</v>
      </c>
      <c r="M75" s="159">
        <f t="shared" si="10"/>
        <v>2.3786791852170974E-2</v>
      </c>
      <c r="N75" s="159">
        <f t="shared" si="11"/>
        <v>1.9029433481736781E-2</v>
      </c>
      <c r="O75" s="165">
        <f>VLOOKUP(B75,'增加值 (2001-2060, 2020RMB)'!$A$14:$W$54,23,0)*(1+J75)^3</f>
        <v>7498.1436124151169</v>
      </c>
      <c r="P75" s="165">
        <f>VLOOKUP(B75,'增加值 (2001-2060, 2020RMB)'!$A$14:$AE$54,26,0)*(1+K75)^5</f>
        <v>8572.9586983923382</v>
      </c>
      <c r="Q75" s="165">
        <f>VLOOKUP(B75,'增加值 (2001-2060, 2020RMB)'!$A$14:$AE$54,31,0)*(1+L75)^5</f>
        <v>9624.2464487134766</v>
      </c>
      <c r="R75" s="165">
        <f>VLOOKUP(B75,'增加值 (2001-2060, 2020RMB)'!$A$14:$AJ$54,36,0)*(1+M75)^15</f>
        <v>12924.12308467565</v>
      </c>
      <c r="S75" s="165">
        <f>VLOOKUP(B75,'增加值 (2001-2060, 2020RMB)'!$A$14:$AY$54,51,0)*(1+N75)^10</f>
        <v>10742.108097324286</v>
      </c>
    </row>
    <row r="76" spans="1:19" ht="15" x14ac:dyDescent="0.25">
      <c r="A76" s="156"/>
      <c r="B76" s="157" t="s">
        <v>256</v>
      </c>
      <c r="C76" s="161">
        <f>(VLOOKUP(B76,'增加值 (2001-2060, 2020RMB)'!$A$13:$W$54,20,0)/VLOOKUP(B76,'增加值 (2001-2060, 2020RMB)'!$A$13:$W$54,17,0))^(1/3)-1</f>
        <v>8.4803532887303135E-2</v>
      </c>
      <c r="D76" s="160">
        <f>(VLOOKUP(B76,'增加值 (2001-2060, 2020RMB)'!$A$13:$W$54,23,0)/VLOOKUP(B76,'增加值 (2001-2060, 2020RMB)'!$A$13:$W$54,20,0))^(1/3)-1</f>
        <v>0.13348082333262457</v>
      </c>
      <c r="E76" s="172">
        <v>0.9</v>
      </c>
      <c r="F76" s="173">
        <v>0.8</v>
      </c>
      <c r="G76" s="173">
        <v>0.7</v>
      </c>
      <c r="H76" s="173">
        <v>0.5</v>
      </c>
      <c r="I76" s="173">
        <v>0.4</v>
      </c>
      <c r="J76" s="159">
        <f t="shared" si="7"/>
        <v>9.8227960298967465E-2</v>
      </c>
      <c r="K76" s="159">
        <f t="shared" si="8"/>
        <v>8.731374248797108E-2</v>
      </c>
      <c r="L76" s="159">
        <f t="shared" si="9"/>
        <v>7.6399524676974695E-2</v>
      </c>
      <c r="M76" s="159">
        <f t="shared" si="10"/>
        <v>5.4571089054981925E-2</v>
      </c>
      <c r="N76" s="159">
        <f t="shared" si="11"/>
        <v>4.365687124398554E-2</v>
      </c>
      <c r="O76" s="165">
        <f>VLOOKUP(B76,'增加值 (2001-2060, 2020RMB)'!$A$14:$W$54,23,0)*(1+J76)^3</f>
        <v>36451.554687681244</v>
      </c>
      <c r="P76" s="165">
        <f>VLOOKUP(B76,'增加值 (2001-2060, 2020RMB)'!$A$14:$AE$54,26,0)*(1+K76)^5</f>
        <v>52548.15911492431</v>
      </c>
      <c r="Q76" s="165">
        <f>VLOOKUP(B76,'增加值 (2001-2060, 2020RMB)'!$A$14:$AE$54,31,0)*(1+L76)^5</f>
        <v>72364.518982938054</v>
      </c>
      <c r="R76" s="165">
        <f>VLOOKUP(B76,'增加值 (2001-2060, 2020RMB)'!$A$14:$AJ$54,36,0)*(1+M76)^15</f>
        <v>151549.71027868145</v>
      </c>
      <c r="S76" s="165">
        <f>VLOOKUP(B76,'增加值 (2001-2060, 2020RMB)'!$A$14:$AY$54,51,0)*(1+N76)^10</f>
        <v>159938.72451884355</v>
      </c>
    </row>
    <row r="77" spans="1:19" x14ac:dyDescent="0.15">
      <c r="A77" s="155" t="s">
        <v>257</v>
      </c>
      <c r="B77" s="158" t="s">
        <v>258</v>
      </c>
      <c r="C77" s="161">
        <f>(VLOOKUP(B77,'增加值 (2001-2060, 2020RMB)'!$A$13:$W$54,20,0)/VLOOKUP(B77,'增加值 (2001-2060, 2020RMB)'!$A$13:$W$54,17,0))^(1/3)-1</f>
        <v>0.10983549551460459</v>
      </c>
      <c r="D77" s="160">
        <f>(VLOOKUP(B77,'增加值 (2001-2060, 2020RMB)'!$A$13:$W$54,23,0)/VLOOKUP(B77,'增加值 (2001-2060, 2020RMB)'!$A$13:$W$54,20,0))^(1/3)-1</f>
        <v>0.11113719350225448</v>
      </c>
      <c r="E77" s="172">
        <v>1</v>
      </c>
      <c r="F77" s="173">
        <v>0.8</v>
      </c>
      <c r="G77" s="173">
        <v>0.75</v>
      </c>
      <c r="H77" s="173">
        <v>0.6</v>
      </c>
      <c r="I77" s="173">
        <v>0.5</v>
      </c>
      <c r="J77" s="159">
        <f t="shared" si="7"/>
        <v>0.11048634450842953</v>
      </c>
      <c r="K77" s="159">
        <f t="shared" si="8"/>
        <v>8.8389075606743639E-2</v>
      </c>
      <c r="L77" s="159">
        <f t="shared" si="9"/>
        <v>8.2864758381322151E-2</v>
      </c>
      <c r="M77" s="159">
        <f t="shared" si="10"/>
        <v>6.6291806705057715E-2</v>
      </c>
      <c r="N77" s="159">
        <f t="shared" si="11"/>
        <v>5.5243172254214767E-2</v>
      </c>
      <c r="O77" s="165">
        <f>VLOOKUP(B77,'增加值 (2001-2060, 2020RMB)'!$A$14:$W$54,23,0)*(1+J77)^3</f>
        <v>54844.551599471182</v>
      </c>
      <c r="P77" s="165">
        <f>VLOOKUP(B77,'增加值 (2001-2060, 2020RMB)'!$A$14:$AE$54,26,0)*(1+K77)^5</f>
        <v>79455.03531480665</v>
      </c>
      <c r="Q77" s="165">
        <f>VLOOKUP(B77,'增加值 (2001-2060, 2020RMB)'!$A$14:$AE$54,31,0)*(1+L77)^5</f>
        <v>112743.9409326897</v>
      </c>
      <c r="R77" s="165">
        <f>VLOOKUP(B77,'增加值 (2001-2060, 2020RMB)'!$A$14:$AJ$54,36,0)*(1+M77)^15</f>
        <v>278692.83850086894</v>
      </c>
      <c r="S77" s="165">
        <f>VLOOKUP(B77,'增加值 (2001-2060, 2020RMB)'!$A$14:$AY$54,51,0)*(1+N77)^10</f>
        <v>328452.42087205005</v>
      </c>
    </row>
    <row r="78" spans="1:19" x14ac:dyDescent="0.15">
      <c r="A78" s="155"/>
      <c r="B78" s="158" t="s">
        <v>105</v>
      </c>
      <c r="C78" s="161">
        <f>(VLOOKUP(B78,'增加值 (2001-2060, 2020RMB)'!$A$13:$W$54,20,0)/VLOOKUP(B78,'增加值 (2001-2060, 2020RMB)'!$A$13:$W$54,17,0))^(1/3)-1</f>
        <v>8.6584169191379345E-2</v>
      </c>
      <c r="D78" s="160">
        <f>(VLOOKUP(B78,'增加值 (2001-2060, 2020RMB)'!$A$13:$W$54,23,0)/VLOOKUP(B78,'增加值 (2001-2060, 2020RMB)'!$A$13:$W$54,20,0))^(1/3)-1</f>
        <v>7.4164155276645882E-2</v>
      </c>
      <c r="E78" s="172">
        <v>1</v>
      </c>
      <c r="F78" s="173">
        <v>0.8</v>
      </c>
      <c r="G78" s="173">
        <v>0.75</v>
      </c>
      <c r="H78" s="173">
        <v>0.6</v>
      </c>
      <c r="I78" s="173">
        <v>0.5</v>
      </c>
      <c r="J78" s="159">
        <f t="shared" si="7"/>
        <v>8.0374162234012614E-2</v>
      </c>
      <c r="K78" s="159">
        <f t="shared" si="8"/>
        <v>6.4299329787210091E-2</v>
      </c>
      <c r="L78" s="159">
        <f t="shared" si="9"/>
        <v>6.028062167550946E-2</v>
      </c>
      <c r="M78" s="159">
        <f t="shared" si="10"/>
        <v>4.8224497340407568E-2</v>
      </c>
      <c r="N78" s="159">
        <f t="shared" si="11"/>
        <v>4.0187081117006307E-2</v>
      </c>
      <c r="O78" s="165">
        <f>VLOOKUP(B78,'增加值 (2001-2060, 2020RMB)'!$A$14:$W$54,23,0)*(1+J78)^3</f>
        <v>4066.6092606959423</v>
      </c>
      <c r="P78" s="165">
        <f>VLOOKUP(B78,'增加值 (2001-2060, 2020RMB)'!$A$14:$AE$54,26,0)*(1+K78)^5</f>
        <v>5267.6687050441951</v>
      </c>
      <c r="Q78" s="165">
        <f>VLOOKUP(B78,'增加值 (2001-2060, 2020RMB)'!$A$14:$AE$54,31,0)*(1+L78)^5</f>
        <v>6727.0283894414451</v>
      </c>
      <c r="R78" s="165">
        <f>VLOOKUP(B78,'增加值 (2001-2060, 2020RMB)'!$A$14:$AJ$54,36,0)*(1+M78)^15</f>
        <v>12868.542233898765</v>
      </c>
      <c r="S78" s="165">
        <f>VLOOKUP(B78,'增加值 (2001-2060, 2020RMB)'!$A$14:$AY$54,51,0)*(1+N78)^10</f>
        <v>13136.058041176797</v>
      </c>
    </row>
    <row r="79" spans="1:19" ht="15" x14ac:dyDescent="0.25">
      <c r="A79" s="156"/>
      <c r="B79" s="158" t="s">
        <v>259</v>
      </c>
      <c r="C79" s="161">
        <f>(VLOOKUP(B79,'增加值 (2001-2060, 2020RMB)'!$A$13:$W$54,20,0)/VLOOKUP(B79,'增加值 (2001-2060, 2020RMB)'!$A$13:$W$54,17,0))^(1/3)-1</f>
        <v>8.499311454124503E-2</v>
      </c>
      <c r="D79" s="160">
        <f>(VLOOKUP(B79,'增加值 (2001-2060, 2020RMB)'!$A$13:$W$54,23,0)/VLOOKUP(B79,'增加值 (2001-2060, 2020RMB)'!$A$13:$W$54,20,0))^(1/3)-1</f>
        <v>9.3141707414592156E-2</v>
      </c>
      <c r="E79" s="172">
        <v>1</v>
      </c>
      <c r="F79" s="173">
        <v>0.8</v>
      </c>
      <c r="G79" s="173">
        <v>0.75</v>
      </c>
      <c r="H79" s="173">
        <v>0.6</v>
      </c>
      <c r="I79" s="173">
        <v>0.5</v>
      </c>
      <c r="J79" s="159">
        <f t="shared" si="7"/>
        <v>8.9067410977918593E-2</v>
      </c>
      <c r="K79" s="159">
        <f t="shared" si="8"/>
        <v>7.1253928782334872E-2</v>
      </c>
      <c r="L79" s="159">
        <f t="shared" si="9"/>
        <v>6.6800558233438945E-2</v>
      </c>
      <c r="M79" s="159">
        <f t="shared" si="10"/>
        <v>5.3440446586751157E-2</v>
      </c>
      <c r="N79" s="159">
        <f t="shared" si="11"/>
        <v>4.4533705488959296E-2</v>
      </c>
      <c r="O79" s="165">
        <f>VLOOKUP(B79,'增加值 (2001-2060, 2020RMB)'!$A$14:$W$54,23,0)*(1+J79)^3</f>
        <v>14890.208316543001</v>
      </c>
      <c r="P79" s="165">
        <f>VLOOKUP(B79,'增加值 (2001-2060, 2020RMB)'!$A$14:$AE$54,26,0)*(1+K79)^5</f>
        <v>19926.451978321391</v>
      </c>
      <c r="Q79" s="165">
        <f>VLOOKUP(B79,'增加值 (2001-2060, 2020RMB)'!$A$14:$AE$54,31,0)*(1+L79)^5</f>
        <v>26238.973146722321</v>
      </c>
      <c r="R79" s="165">
        <f>VLOOKUP(B79,'增加值 (2001-2060, 2020RMB)'!$A$14:$AJ$54,36,0)*(1+M79)^15</f>
        <v>54073.961199393023</v>
      </c>
      <c r="S79" s="165">
        <f>VLOOKUP(B79,'增加值 (2001-2060, 2020RMB)'!$A$14:$AY$54,51,0)*(1+N79)^10</f>
        <v>57548.488405688469</v>
      </c>
    </row>
    <row r="80" spans="1:19" x14ac:dyDescent="0.15">
      <c r="A80" s="155" t="s">
        <v>260</v>
      </c>
      <c r="B80" s="158" t="s">
        <v>268</v>
      </c>
      <c r="C80" s="161">
        <f>(VLOOKUP(B80,'增加值 (2001-2060, 2020RMB)'!$A$13:$W$54,20,0)/VLOOKUP(B80,'增加值 (2001-2060, 2020RMB)'!$A$13:$W$54,17,0))^(1/3)-1</f>
        <v>-1.2129962985660381E-2</v>
      </c>
      <c r="D80" s="160">
        <f>(VLOOKUP(B80,'增加值 (2001-2060, 2020RMB)'!$A$13:$W$54,23,0)/VLOOKUP(B80,'增加值 (2001-2060, 2020RMB)'!$A$13:$W$54,20,0))^(1/3)-1</f>
        <v>5.5630510946381051E-2</v>
      </c>
      <c r="E80" s="172">
        <v>0.5</v>
      </c>
      <c r="F80" s="173">
        <v>0.5</v>
      </c>
      <c r="G80" s="173">
        <v>0.3</v>
      </c>
      <c r="H80" s="173">
        <v>0.2</v>
      </c>
      <c r="I80" s="173">
        <v>0.1</v>
      </c>
      <c r="J80" s="159">
        <f t="shared" si="7"/>
        <v>1.0875136990180168E-2</v>
      </c>
      <c r="K80" s="159">
        <f t="shared" si="8"/>
        <v>1.0875136990180168E-2</v>
      </c>
      <c r="L80" s="159">
        <f t="shared" si="9"/>
        <v>6.5250821941081E-3</v>
      </c>
      <c r="M80" s="159">
        <f t="shared" si="10"/>
        <v>4.3500547960720675E-3</v>
      </c>
      <c r="N80" s="159">
        <f t="shared" si="11"/>
        <v>2.1750273980360338E-3</v>
      </c>
      <c r="O80" s="165">
        <f>VLOOKUP(B80,'增加值 (2001-2060, 2020RMB)'!$A$14:$W$54,23,0)*(1+J80)^3</f>
        <v>4718.993871161093</v>
      </c>
      <c r="P80" s="165">
        <f>VLOOKUP(B80,'增加值 (2001-2060, 2020RMB)'!$A$14:$AE$54,26,0)*(1+K80)^5</f>
        <v>4725.0243718306101</v>
      </c>
      <c r="Q80" s="165">
        <f>VLOOKUP(B80,'增加值 (2001-2060, 2020RMB)'!$A$14:$AE$54,31,0)*(1+L80)^5</f>
        <v>4651.8719195921685</v>
      </c>
      <c r="R80" s="165">
        <f>VLOOKUP(B80,'增加值 (2001-2060, 2020RMB)'!$A$14:$AJ$54,36,0)*(1+M80)^15</f>
        <v>4685.930879430015</v>
      </c>
      <c r="S80" s="165">
        <f>VLOOKUP(B80,'增加值 (2001-2060, 2020RMB)'!$A$14:$AY$54,51,0)*(1+N80)^10</f>
        <v>3296.4978320322712</v>
      </c>
    </row>
    <row r="81" spans="1:19" ht="15" x14ac:dyDescent="0.25">
      <c r="A81" s="156"/>
      <c r="B81" s="158" t="s">
        <v>269</v>
      </c>
      <c r="C81" s="161">
        <f>(VLOOKUP(B81,'增加值 (2001-2060, 2020RMB)'!$A$13:$W$54,20,0)/VLOOKUP(B81,'增加值 (2001-2060, 2020RMB)'!$A$13:$W$54,17,0))^(1/3)-1</f>
        <v>-6.936466010152853E-3</v>
      </c>
      <c r="D81" s="160">
        <f>(VLOOKUP(B81,'增加值 (2001-2060, 2020RMB)'!$A$13:$W$54,23,0)/VLOOKUP(B81,'增加值 (2001-2060, 2020RMB)'!$A$13:$W$54,20,0))^(1/3)-1</f>
        <v>1.8311168334743444E-2</v>
      </c>
      <c r="E81" s="172">
        <v>0.7</v>
      </c>
      <c r="F81" s="173">
        <v>0.5</v>
      </c>
      <c r="G81" s="173">
        <v>0.4</v>
      </c>
      <c r="H81" s="173">
        <v>0.3</v>
      </c>
      <c r="I81" s="173">
        <v>0.2</v>
      </c>
      <c r="J81" s="159">
        <f t="shared" si="7"/>
        <v>3.9811458136067065E-3</v>
      </c>
      <c r="K81" s="159">
        <f t="shared" si="8"/>
        <v>2.8436755811476477E-3</v>
      </c>
      <c r="L81" s="159">
        <f t="shared" si="9"/>
        <v>2.2749404649181184E-3</v>
      </c>
      <c r="M81" s="159">
        <f t="shared" si="10"/>
        <v>1.7062053486885886E-3</v>
      </c>
      <c r="N81" s="159">
        <f t="shared" si="11"/>
        <v>1.1374702324590592E-3</v>
      </c>
      <c r="O81" s="165">
        <f>VLOOKUP(B81,'增加值 (2001-2060, 2020RMB)'!$A$14:$W$54,23,0)*(1+J81)^3</f>
        <v>2172.5601573556464</v>
      </c>
      <c r="P81" s="165">
        <f>VLOOKUP(B81,'增加值 (2001-2060, 2020RMB)'!$A$14:$AE$54,26,0)*(1+K81)^5</f>
        <v>2090.2829369267188</v>
      </c>
      <c r="Q81" s="165">
        <f>VLOOKUP(B81,'增加值 (2001-2060, 2020RMB)'!$A$14:$AE$54,31,0)*(1+L81)^5</f>
        <v>2014.8379489691281</v>
      </c>
      <c r="R81" s="165">
        <f>VLOOKUP(B81,'增加值 (2001-2060, 2020RMB)'!$A$14:$AJ$54,36,0)*(1+M81)^15</f>
        <v>1950.9093926232838</v>
      </c>
      <c r="S81" s="165">
        <f>VLOOKUP(B81,'增加值 (2001-2060, 2020RMB)'!$A$14:$AY$54,51,0)*(1+N81)^10</f>
        <v>1358.2990996117437</v>
      </c>
    </row>
    <row r="82" spans="1:19" ht="15" x14ac:dyDescent="0.25">
      <c r="A82" s="156"/>
      <c r="B82" s="158" t="s">
        <v>270</v>
      </c>
      <c r="C82" s="161">
        <f>(VLOOKUP(B82,'增加值 (2001-2060, 2020RMB)'!$A$13:$W$54,20,0)/VLOOKUP(B82,'增加值 (2001-2060, 2020RMB)'!$A$13:$W$54,17,0))^(1/3)-1</f>
        <v>-5.5752169014151587E-3</v>
      </c>
      <c r="D82" s="160">
        <f>(VLOOKUP(B82,'增加值 (2001-2060, 2020RMB)'!$A$13:$W$54,23,0)/VLOOKUP(B82,'增加值 (2001-2060, 2020RMB)'!$A$13:$W$54,20,0))^(1/3)-1</f>
        <v>2.6040503261531622E-2</v>
      </c>
      <c r="E82" s="172">
        <v>0.5</v>
      </c>
      <c r="F82" s="173">
        <v>0.5</v>
      </c>
      <c r="G82" s="173">
        <v>0.3</v>
      </c>
      <c r="H82" s="173">
        <v>0.2</v>
      </c>
      <c r="I82" s="173">
        <v>0.1</v>
      </c>
      <c r="J82" s="159">
        <f t="shared" si="7"/>
        <v>5.1163215900291159E-3</v>
      </c>
      <c r="K82" s="159">
        <f t="shared" si="8"/>
        <v>5.1163215900291159E-3</v>
      </c>
      <c r="L82" s="159">
        <f t="shared" si="9"/>
        <v>3.0697929540174696E-3</v>
      </c>
      <c r="M82" s="159">
        <f t="shared" si="10"/>
        <v>2.0465286360116463E-3</v>
      </c>
      <c r="N82" s="159">
        <f t="shared" si="11"/>
        <v>1.0232643180058231E-3</v>
      </c>
      <c r="O82" s="165">
        <f>VLOOKUP(B82,'增加值 (2001-2060, 2020RMB)'!$A$14:$W$54,23,0)*(1+J82)^3</f>
        <v>1556.0555535357387</v>
      </c>
      <c r="P82" s="165">
        <f>VLOOKUP(B82,'增加值 (2001-2060, 2020RMB)'!$A$14:$AE$54,26,0)*(1+K82)^5</f>
        <v>1514.1670436718446</v>
      </c>
      <c r="Q82" s="165">
        <f>VLOOKUP(B82,'增加值 (2001-2060, 2020RMB)'!$A$14:$AE$54,31,0)*(1+L82)^5</f>
        <v>1465.3124385438284</v>
      </c>
      <c r="R82" s="165">
        <f>VLOOKUP(B82,'增加值 (2001-2060, 2020RMB)'!$A$14:$AJ$54,36,0)*(1+M82)^15</f>
        <v>1426.0674575798989</v>
      </c>
      <c r="S82" s="165">
        <f>VLOOKUP(B82,'增加值 (2001-2060, 2020RMB)'!$A$14:$AY$54,51,0)*(1+N82)^10</f>
        <v>991.75164153869844</v>
      </c>
    </row>
    <row r="83" spans="1:19" ht="15" x14ac:dyDescent="0.25">
      <c r="A83" s="156"/>
      <c r="B83" s="158" t="s">
        <v>261</v>
      </c>
      <c r="C83" s="161">
        <f>(VLOOKUP(B83,'增加值 (2001-2060, 2020RMB)'!$A$13:$W$54,20,0)/VLOOKUP(B83,'增加值 (2001-2060, 2020RMB)'!$A$13:$W$54,17,0))^(1/3)-1</f>
        <v>0.20663881127436401</v>
      </c>
      <c r="D83" s="160">
        <f>(VLOOKUP(B83,'增加值 (2001-2060, 2020RMB)'!$A$13:$W$54,23,0)/VLOOKUP(B83,'增加值 (2001-2060, 2020RMB)'!$A$13:$W$54,20,0))^(1/3)-1</f>
        <v>1.121552961387895E-2</v>
      </c>
      <c r="E83" s="172">
        <v>0.7</v>
      </c>
      <c r="F83" s="173">
        <v>0.5</v>
      </c>
      <c r="G83" s="173">
        <v>0.4</v>
      </c>
      <c r="H83" s="173">
        <v>0.3</v>
      </c>
      <c r="I83" s="173">
        <v>0.2</v>
      </c>
      <c r="J83" s="159">
        <f t="shared" si="7"/>
        <v>7.6249019310885027E-2</v>
      </c>
      <c r="K83" s="159">
        <f t="shared" si="8"/>
        <v>5.446358522206074E-2</v>
      </c>
      <c r="L83" s="159">
        <f t="shared" si="9"/>
        <v>4.3570868177648596E-2</v>
      </c>
      <c r="M83" s="159">
        <f t="shared" si="10"/>
        <v>3.2678151133236445E-2</v>
      </c>
      <c r="N83" s="159">
        <f t="shared" si="11"/>
        <v>2.1785434088824298E-2</v>
      </c>
      <c r="O83" s="165">
        <f>VLOOKUP(B83,'增加值 (2001-2060, 2020RMB)'!$A$14:$W$54,23,0)*(1+J83)^3</f>
        <v>1426.6866879018116</v>
      </c>
      <c r="P83" s="165">
        <f>VLOOKUP(B83,'增加值 (2001-2060, 2020RMB)'!$A$14:$AE$54,26,0)*(1+K83)^5</f>
        <v>1764.2235130625181</v>
      </c>
      <c r="Q83" s="165">
        <f>VLOOKUP(B83,'增加值 (2001-2060, 2020RMB)'!$A$14:$AE$54,31,0)*(1+L83)^5</f>
        <v>2080.9614164145037</v>
      </c>
      <c r="R83" s="165">
        <f>VLOOKUP(B83,'增加值 (2001-2060, 2020RMB)'!$A$14:$AJ$54,36,0)*(1+M83)^15</f>
        <v>3181.4886006677116</v>
      </c>
      <c r="S83" s="165">
        <f>VLOOKUP(B83,'增加值 (2001-2060, 2020RMB)'!$A$14:$AY$54,51,0)*(1+N83)^10</f>
        <v>2716.7432413720344</v>
      </c>
    </row>
    <row r="84" spans="1:19" ht="15" x14ac:dyDescent="0.25">
      <c r="A84" s="156"/>
      <c r="B84" s="158" t="s">
        <v>262</v>
      </c>
      <c r="C84" s="161">
        <f>(VLOOKUP(B84,'增加值 (2001-2060, 2020RMB)'!$A$13:$W$54,20,0)/VLOOKUP(B84,'增加值 (2001-2060, 2020RMB)'!$A$13:$W$54,17,0))^(1/3)-1</f>
        <v>5.8954264971119885E-2</v>
      </c>
      <c r="D84" s="160">
        <f>(VLOOKUP(B84,'增加值 (2001-2060, 2020RMB)'!$A$13:$W$54,23,0)/VLOOKUP(B84,'增加值 (2001-2060, 2020RMB)'!$A$13:$W$54,20,0))^(1/3)-1</f>
        <v>5.6483848297676831E-2</v>
      </c>
      <c r="E84" s="172">
        <v>0.7</v>
      </c>
      <c r="F84" s="173">
        <v>0.5</v>
      </c>
      <c r="G84" s="173">
        <v>0.4</v>
      </c>
      <c r="H84" s="173">
        <v>0.3</v>
      </c>
      <c r="I84" s="173">
        <v>0.2</v>
      </c>
      <c r="J84" s="159">
        <f t="shared" si="7"/>
        <v>4.0403339644078849E-2</v>
      </c>
      <c r="K84" s="159">
        <f t="shared" si="8"/>
        <v>2.8859528317199179E-2</v>
      </c>
      <c r="L84" s="159">
        <f t="shared" si="9"/>
        <v>2.3087622653759344E-2</v>
      </c>
      <c r="M84" s="159">
        <f t="shared" si="10"/>
        <v>1.7315716990319505E-2</v>
      </c>
      <c r="N84" s="159">
        <f t="shared" si="11"/>
        <v>1.1543811326879672E-2</v>
      </c>
      <c r="O84" s="165">
        <f>VLOOKUP(B84,'增加值 (2001-2060, 2020RMB)'!$A$14:$W$54,23,0)*(1+J84)^3</f>
        <v>10.428905143861991</v>
      </c>
      <c r="P84" s="165">
        <f>VLOOKUP(B84,'增加值 (2001-2060, 2020RMB)'!$A$14:$AE$54,26,0)*(1+K84)^5</f>
        <v>11.404761350655267</v>
      </c>
      <c r="Q84" s="165">
        <f>VLOOKUP(B84,'增加值 (2001-2060, 2020RMB)'!$A$14:$AE$54,31,0)*(1+L84)^5</f>
        <v>12.182910161015746</v>
      </c>
      <c r="R84" s="165">
        <f>VLOOKUP(B84,'增加值 (2001-2060, 2020RMB)'!$A$14:$AJ$54,36,0)*(1+M84)^15</f>
        <v>14.875749951656623</v>
      </c>
      <c r="S84" s="165">
        <f>VLOOKUP(B84,'增加值 (2001-2060, 2020RMB)'!$A$14:$AY$54,51,0)*(1+N84)^10</f>
        <v>11.485422976668868</v>
      </c>
    </row>
    <row r="85" spans="1:19" ht="15" x14ac:dyDescent="0.25">
      <c r="A85" s="156"/>
      <c r="B85" s="158" t="s">
        <v>263</v>
      </c>
      <c r="C85" s="161">
        <f>(VLOOKUP(B85,'增加值 (2001-2060, 2020RMB)'!$A$13:$W$54,20,0)/VLOOKUP(B85,'增加值 (2001-2060, 2020RMB)'!$A$13:$W$54,17,0))^(1/3)-1</f>
        <v>3.7627999851762794E-2</v>
      </c>
      <c r="D85" s="160">
        <f>(VLOOKUP(B85,'增加值 (2001-2060, 2020RMB)'!$A$13:$W$54,23,0)/VLOOKUP(B85,'增加值 (2001-2060, 2020RMB)'!$A$13:$W$54,20,0))^(1/3)-1</f>
        <v>2.8280067481713189E-2</v>
      </c>
      <c r="E85" s="172">
        <v>0.7</v>
      </c>
      <c r="F85" s="173">
        <v>0.5</v>
      </c>
      <c r="G85" s="173">
        <v>0.4</v>
      </c>
      <c r="H85" s="173">
        <v>0.3</v>
      </c>
      <c r="I85" s="173">
        <v>0.2</v>
      </c>
      <c r="J85" s="159">
        <f t="shared" si="7"/>
        <v>2.3067823566716592E-2</v>
      </c>
      <c r="K85" s="159">
        <f t="shared" si="8"/>
        <v>1.6477016833368996E-2</v>
      </c>
      <c r="L85" s="159">
        <f t="shared" si="9"/>
        <v>1.3181613466695198E-2</v>
      </c>
      <c r="M85" s="159">
        <f t="shared" si="10"/>
        <v>9.8862101000213969E-3</v>
      </c>
      <c r="N85" s="159">
        <f t="shared" si="11"/>
        <v>6.5908067333475991E-3</v>
      </c>
      <c r="O85" s="165">
        <f>VLOOKUP(B85,'增加值 (2001-2060, 2020RMB)'!$A$14:$W$54,23,0)*(1+J85)^3</f>
        <v>8250.9287030264768</v>
      </c>
      <c r="P85" s="165">
        <f>VLOOKUP(B85,'增加值 (2001-2060, 2020RMB)'!$A$14:$AE$54,26,0)*(1+K85)^5</f>
        <v>8492.9333572644209</v>
      </c>
      <c r="Q85" s="165">
        <f>VLOOKUP(B85,'增加值 (2001-2060, 2020RMB)'!$A$14:$AE$54,31,0)*(1+L85)^5</f>
        <v>8641.6147773165139</v>
      </c>
      <c r="R85" s="165">
        <f>VLOOKUP(B85,'增加值 (2001-2060, 2020RMB)'!$A$14:$AJ$54,36,0)*(1+M85)^15</f>
        <v>9453.0737880239376</v>
      </c>
      <c r="S85" s="165">
        <f>VLOOKUP(B85,'增加值 (2001-2060, 2020RMB)'!$A$14:$AY$54,51,0)*(1+N85)^10</f>
        <v>6949.0237241387558</v>
      </c>
    </row>
    <row r="86" spans="1:19" ht="15" x14ac:dyDescent="0.25">
      <c r="A86" s="156"/>
      <c r="B86" s="158" t="s">
        <v>264</v>
      </c>
      <c r="C86" s="161">
        <f>VLOOKUP(B86,'增加值 (2001-2060, 2020RMB)'!$A$1:$U$54,COLUMN('增加值 (2001-2060, 2020RMB)'!R$1),0)/VLOOKUP(B86,'增加值 (2001-2060, 2020RMB)'!$A$1:$U$54,COLUMN('增加值 (2001-2060, 2020RMB)'!Q$1),0)-1</f>
        <v>7.1930622905688413E-2</v>
      </c>
      <c r="D86" s="160">
        <f>(VLOOKUP(B86,'增加值 (2001-2060, 2020RMB)'!$A$13:$W$54,23,0)/VLOOKUP(B86,'增加值 (2001-2060, 2020RMB)'!$A$13:$W$54,20,0))^(1/3)-1</f>
        <v>5.1652149314185714E-2</v>
      </c>
      <c r="E86" s="172">
        <v>0.7</v>
      </c>
      <c r="F86" s="173">
        <v>0.5</v>
      </c>
      <c r="G86" s="173">
        <v>0.4</v>
      </c>
      <c r="H86" s="173">
        <v>0.3</v>
      </c>
      <c r="I86" s="173">
        <v>0.2</v>
      </c>
      <c r="J86" s="159">
        <f t="shared" si="7"/>
        <v>4.325397027695594E-2</v>
      </c>
      <c r="K86" s="159">
        <f t="shared" si="8"/>
        <v>3.0895693054968532E-2</v>
      </c>
      <c r="L86" s="159">
        <f t="shared" si="9"/>
        <v>2.4716554443974827E-2</v>
      </c>
      <c r="M86" s="159">
        <f t="shared" si="10"/>
        <v>1.853741583298112E-2</v>
      </c>
      <c r="N86" s="159">
        <f t="shared" si="11"/>
        <v>1.2358277221987414E-2</v>
      </c>
      <c r="O86" s="165">
        <f>VLOOKUP(B86,'增加值 (2001-2060, 2020RMB)'!$A$14:$W$54,23,0)*(1+J86)^3</f>
        <v>1030.2548914142642</v>
      </c>
      <c r="P86" s="165">
        <f>VLOOKUP(B86,'增加值 (2001-2060, 2020RMB)'!$A$14:$AE$54,26,0)*(1+K86)^5</f>
        <v>1137.8509486952028</v>
      </c>
      <c r="Q86" s="165">
        <f>VLOOKUP(B86,'增加值 (2001-2060, 2020RMB)'!$A$14:$AE$54,31,0)*(1+L86)^5</f>
        <v>1225.1938961350306</v>
      </c>
      <c r="R86" s="165">
        <f>VLOOKUP(B86,'增加值 (2001-2060, 2020RMB)'!$A$14:$AJ$54,36,0)*(1+M86)^15</f>
        <v>1523.1797264233371</v>
      </c>
      <c r="S86" s="165">
        <f>VLOOKUP(B86,'增加值 (2001-2060, 2020RMB)'!$A$14:$AY$54,51,0)*(1+N86)^10</f>
        <v>1185.5358231909352</v>
      </c>
    </row>
    <row r="87" spans="1:19" ht="15" x14ac:dyDescent="0.25">
      <c r="A87" s="156"/>
      <c r="B87" s="158" t="s">
        <v>265</v>
      </c>
      <c r="C87" s="161">
        <f>VLOOKUP(B87,'增加值 (2001-2060, 2020RMB)'!$A$1:$U$54,COLUMN('增加值 (2001-2060, 2020RMB)'!R$1),0)/VLOOKUP(B87,'增加值 (2001-2060, 2020RMB)'!$A$1:$U$54,COLUMN('增加值 (2001-2060, 2020RMB)'!Q$1),0)-1</f>
        <v>2.6381163008846409E-2</v>
      </c>
      <c r="D87" s="160">
        <f>(VLOOKUP(B87,'增加值 (2001-2060, 2020RMB)'!$A$13:$W$54,23,0)/VLOOKUP(B87,'增加值 (2001-2060, 2020RMB)'!$A$13:$W$54,20,0))^(1/3)-1</f>
        <v>0.18814982016783799</v>
      </c>
      <c r="E87" s="172">
        <v>0.8</v>
      </c>
      <c r="F87" s="173">
        <v>0.9</v>
      </c>
      <c r="G87" s="173">
        <v>0.8</v>
      </c>
      <c r="H87" s="173">
        <v>0.6</v>
      </c>
      <c r="I87" s="173">
        <v>0.4</v>
      </c>
      <c r="J87" s="159">
        <f t="shared" si="7"/>
        <v>8.5812393270673762E-2</v>
      </c>
      <c r="K87" s="159">
        <f t="shared" si="8"/>
        <v>9.6538942429507987E-2</v>
      </c>
      <c r="L87" s="159">
        <f t="shared" si="9"/>
        <v>8.5812393270673762E-2</v>
      </c>
      <c r="M87" s="159">
        <f t="shared" si="10"/>
        <v>6.4359294953005311E-2</v>
      </c>
      <c r="N87" s="159">
        <f t="shared" si="11"/>
        <v>4.2906196635336881E-2</v>
      </c>
      <c r="O87" s="165">
        <f>VLOOKUP(B87,'增加值 (2001-2060, 2020RMB)'!$A$14:$W$54,23,0)*(1+J87)^3</f>
        <v>1898.8843191403887</v>
      </c>
      <c r="P87" s="165">
        <f>VLOOKUP(B87,'增加值 (2001-2060, 2020RMB)'!$A$14:$AE$54,26,0)*(1+K87)^5</f>
        <v>2855.5243765543214</v>
      </c>
      <c r="Q87" s="165">
        <f>VLOOKUP(B87,'增加值 (2001-2060, 2020RMB)'!$A$14:$AE$54,31,0)*(1+L87)^5</f>
        <v>4107.3388236360925</v>
      </c>
      <c r="R87" s="165">
        <f>VLOOKUP(B87,'增加值 (2001-2060, 2020RMB)'!$A$14:$AJ$54,36,0)*(1+M87)^15</f>
        <v>9880.4313085659214</v>
      </c>
      <c r="S87" s="165">
        <f>VLOOKUP(B87,'增加值 (2001-2060, 2020RMB)'!$A$14:$AY$54,51,0)*(1+N87)^10</f>
        <v>10352.602340992897</v>
      </c>
    </row>
    <row r="88" spans="1:19" ht="15" x14ac:dyDescent="0.25">
      <c r="A88" s="156"/>
      <c r="B88" s="158" t="s">
        <v>266</v>
      </c>
      <c r="C88" s="161">
        <f>VLOOKUP(B88,'增加值 (2001-2060, 2020RMB)'!$A$1:$U$54,COLUMN('增加值 (2001-2060, 2020RMB)'!R$1),0)/VLOOKUP(B88,'增加值 (2001-2060, 2020RMB)'!$A$1:$U$54,COLUMN('增加值 (2001-2060, 2020RMB)'!Q$1),0)-1</f>
        <v>0.11140682148295222</v>
      </c>
      <c r="D88" s="160">
        <f>(VLOOKUP(B88,'增加值 (2001-2060, 2020RMB)'!$A$13:$W$54,23,0)/VLOOKUP(B88,'增加值 (2001-2060, 2020RMB)'!$A$13:$W$54,20,0))^(1/3)-1</f>
        <v>5.4074169293930385E-2</v>
      </c>
      <c r="E88" s="172">
        <v>0.7</v>
      </c>
      <c r="F88" s="173">
        <v>0.5</v>
      </c>
      <c r="G88" s="173">
        <v>0.4</v>
      </c>
      <c r="H88" s="173">
        <v>0.3</v>
      </c>
      <c r="I88" s="173">
        <v>0.2</v>
      </c>
      <c r="J88" s="159">
        <f t="shared" si="7"/>
        <v>5.7918346771908907E-2</v>
      </c>
      <c r="K88" s="159">
        <f t="shared" si="8"/>
        <v>4.1370247694220652E-2</v>
      </c>
      <c r="L88" s="159">
        <f t="shared" si="9"/>
        <v>3.3096198155376524E-2</v>
      </c>
      <c r="M88" s="159">
        <f t="shared" si="10"/>
        <v>2.482214861653239E-2</v>
      </c>
      <c r="N88" s="159">
        <f t="shared" si="11"/>
        <v>1.6548099077688262E-2</v>
      </c>
      <c r="O88" s="165">
        <f>VLOOKUP(B88,'增加值 (2001-2060, 2020RMB)'!$A$14:$W$54,23,0)*(1+J88)^3</f>
        <v>561.95961004460003</v>
      </c>
      <c r="P88" s="165">
        <f>VLOOKUP(B88,'增加值 (2001-2060, 2020RMB)'!$A$14:$AE$54,26,0)*(1+K88)^5</f>
        <v>652.82683045122724</v>
      </c>
      <c r="Q88" s="165">
        <f>VLOOKUP(B88,'增加值 (2001-2060, 2020RMB)'!$A$14:$AE$54,31,0)*(1+L88)^5</f>
        <v>732.15409967221399</v>
      </c>
      <c r="R88" s="165">
        <f>VLOOKUP(B88,'增加值 (2001-2060, 2020RMB)'!$A$14:$AJ$54,36,0)*(1+M88)^15</f>
        <v>998.20917453281061</v>
      </c>
      <c r="S88" s="165">
        <f>VLOOKUP(B88,'增加值 (2001-2060, 2020RMB)'!$A$14:$AY$54,51,0)*(1+N88)^10</f>
        <v>809.69607310670506</v>
      </c>
    </row>
    <row r="95" spans="1:19" x14ac:dyDescent="0.2">
      <c r="A95" s="176" t="s">
        <v>287</v>
      </c>
    </row>
    <row r="96" spans="1:19" x14ac:dyDescent="0.2">
      <c r="A96" s="151"/>
      <c r="C96" s="125">
        <v>2022</v>
      </c>
      <c r="D96" s="125">
        <v>2025</v>
      </c>
      <c r="E96" s="125">
        <v>2030</v>
      </c>
      <c r="F96" s="125">
        <v>2035</v>
      </c>
      <c r="G96" s="125">
        <v>2050</v>
      </c>
      <c r="H96" s="125">
        <v>2060</v>
      </c>
    </row>
    <row r="97" spans="1:8" x14ac:dyDescent="0.15">
      <c r="A97" s="155" t="s">
        <v>225</v>
      </c>
      <c r="B97" s="158" t="s">
        <v>226</v>
      </c>
      <c r="C97" s="163">
        <f>VLOOKUP($B97,'增加值 (2001-2060, 2020RMB)'!$A$13:$BI$54,COLUMN('增加值 (2001-2060, 2020RMB)'!$W$1),0)/'增加值 (2001-2060, 2020RMB)'!$W$13</f>
        <v>4.7931540928290155E-2</v>
      </c>
      <c r="D97" s="163">
        <f>VLOOKUP($B97,'增加值 (2001-2060, 2020RMB)'!$A$13:$BI$54,COLUMN('增加值 (2001-2060, 2020RMB)'!$Z$1),0)/'增加值 (2001-2060, 2020RMB)'!$Z$13</f>
        <v>4.4758088305713664E-2</v>
      </c>
      <c r="E97" s="163">
        <f>VLOOKUP($B97,'增加值 (2001-2060, 2020RMB)'!$A$13:$BI$54,COLUMN('增加值 (2001-2060, 2020RMB)'!$AE$1),0)/'增加值 (2001-2060, 2020RMB)'!$AE$13</f>
        <v>4.1066289890847915E-2</v>
      </c>
      <c r="F97" s="163">
        <f>VLOOKUP($B97,'增加值 (2001-2060, 2020RMB)'!$A$13:$BI$54,COLUMN('增加值 (2001-2060, 2020RMB)'!$AJ$1),0)/'增加值 (2001-2060, 2020RMB)'!$AJ$13</f>
        <v>3.6095391842812179E-2</v>
      </c>
      <c r="G97" s="163">
        <f>VLOOKUP($B97,'增加值 (2001-2060, 2020RMB)'!$A$13:$BI$54,COLUMN('增加值 (2001-2060, 2020RMB)'!$AY$1),0)/'增加值 (2001-2060, 2020RMB)'!$AY$13</f>
        <v>2.4149885623035959E-2</v>
      </c>
      <c r="H97" s="163">
        <f>VLOOKUP($B97,'增加值 (2001-2060, 2020RMB)'!$A$13:$BI$54,COLUMN('增加值 (2001-2060, 2020RMB)'!$BI$1),0)/'增加值 (2001-2060, 2020RMB)'!$BI$13</f>
        <v>1.8240078519258098E-2</v>
      </c>
    </row>
    <row r="98" spans="1:8" ht="15" x14ac:dyDescent="0.25">
      <c r="A98" s="156"/>
      <c r="B98" s="158" t="s">
        <v>227</v>
      </c>
      <c r="C98" s="163">
        <f>VLOOKUP($B98,'增加值 (2001-2060, 2020RMB)'!$A$13:$BI$54,COLUMN('增加值 (2001-2060, 2020RMB)'!$W$1),0)/'增加值 (2001-2060, 2020RMB)'!$W$13</f>
        <v>3.2760552849138543E-2</v>
      </c>
      <c r="D98" s="163">
        <f>VLOOKUP($B98,'增加值 (2001-2060, 2020RMB)'!$A$13:$BI$54,COLUMN('增加值 (2001-2060, 2020RMB)'!$Z$1),0)/'增加值 (2001-2060, 2020RMB)'!$Z$13</f>
        <v>2.955010844426037E-2</v>
      </c>
      <c r="E98" s="163">
        <f>VLOOKUP($B98,'增加值 (2001-2060, 2020RMB)'!$A$13:$BI$54,COLUMN('增加值 (2001-2060, 2020RMB)'!$AE$1),0)/'增加值 (2001-2060, 2020RMB)'!$AE$13</f>
        <v>2.5591901228681851E-2</v>
      </c>
      <c r="F98" s="163">
        <f>VLOOKUP($B98,'增加值 (2001-2060, 2020RMB)'!$A$13:$BI$54,COLUMN('增加值 (2001-2060, 2020RMB)'!$AJ$1),0)/'增加值 (2001-2060, 2020RMB)'!$AJ$13</f>
        <v>2.1690548181733476E-2</v>
      </c>
      <c r="G98" s="163">
        <f>VLOOKUP($B98,'增加值 (2001-2060, 2020RMB)'!$A$13:$BI$54,COLUMN('增加值 (2001-2060, 2020RMB)'!$AY$1),0)/'增加值 (2001-2060, 2020RMB)'!$AY$13</f>
        <v>1.444343080609618E-2</v>
      </c>
      <c r="H98" s="163">
        <f>VLOOKUP($B98,'增加值 (2001-2060, 2020RMB)'!$A$13:$BI$54,COLUMN('增加值 (2001-2060, 2020RMB)'!$BI$1),0)/'增加值 (2001-2060, 2020RMB)'!$BI$13</f>
        <v>1.1034723507507466E-2</v>
      </c>
    </row>
    <row r="99" spans="1:8" ht="15" x14ac:dyDescent="0.25">
      <c r="A99" s="156"/>
      <c r="B99" s="158" t="s">
        <v>267</v>
      </c>
      <c r="C99" s="163">
        <f>VLOOKUP($B99,'增加值 (2001-2060, 2020RMB)'!$A$13:$BI$54,COLUMN('增加值 (2001-2060, 2020RMB)'!$W$1),0)/'增加值 (2001-2060, 2020RMB)'!$W$13</f>
        <v>4.6516835182683361E-2</v>
      </c>
      <c r="D99" s="163">
        <f>VLOOKUP($B99,'增加值 (2001-2060, 2020RMB)'!$A$13:$BI$54,COLUMN('增加值 (2001-2060, 2020RMB)'!$Z$1),0)/'增加值 (2001-2060, 2020RMB)'!$Z$13</f>
        <v>4.8706123464720794E-2</v>
      </c>
      <c r="E99" s="163">
        <f>VLOOKUP($B99,'增加值 (2001-2060, 2020RMB)'!$A$13:$BI$54,COLUMN('增加值 (2001-2060, 2020RMB)'!$AE$1),0)/'增加值 (2001-2060, 2020RMB)'!$AE$13</f>
        <v>5.4084101456568869E-2</v>
      </c>
      <c r="F99" s="163">
        <f>VLOOKUP($B99,'增加值 (2001-2060, 2020RMB)'!$A$13:$BI$54,COLUMN('增加值 (2001-2060, 2020RMB)'!$AJ$1),0)/'增加值 (2001-2060, 2020RMB)'!$AJ$13</f>
        <v>5.6814817278743504E-2</v>
      </c>
      <c r="G99" s="163">
        <f>VLOOKUP($B99,'增加值 (2001-2060, 2020RMB)'!$A$13:$BI$54,COLUMN('增加值 (2001-2060, 2020RMB)'!$AY$1),0)/'增加值 (2001-2060, 2020RMB)'!$AY$13</f>
        <v>5.3685104485424281E-2</v>
      </c>
      <c r="H99" s="163">
        <f>VLOOKUP($B99,'增加值 (2001-2060, 2020RMB)'!$A$13:$BI$54,COLUMN('增加值 (2001-2060, 2020RMB)'!$BI$1),0)/'增加值 (2001-2060, 2020RMB)'!$BI$13</f>
        <v>5.2857634790958501E-2</v>
      </c>
    </row>
    <row r="100" spans="1:8" ht="15" x14ac:dyDescent="0.25">
      <c r="A100" s="156"/>
      <c r="B100" s="158" t="s">
        <v>228</v>
      </c>
      <c r="C100" s="163">
        <f>VLOOKUP($B100,'增加值 (2001-2060, 2020RMB)'!$A$13:$BI$54,COLUMN('增加值 (2001-2060, 2020RMB)'!$W$1),0)/'增加值 (2001-2060, 2020RMB)'!$W$13</f>
        <v>6.5631821762248948E-3</v>
      </c>
      <c r="D100" s="163">
        <f>VLOOKUP($B100,'增加值 (2001-2060, 2020RMB)'!$A$13:$BI$54,COLUMN('增加值 (2001-2060, 2020RMB)'!$Z$1),0)/'增加值 (2001-2060, 2020RMB)'!$Z$13</f>
        <v>7.6569940419068429E-3</v>
      </c>
      <c r="E100" s="163">
        <f>VLOOKUP($B100,'增加值 (2001-2060, 2020RMB)'!$A$13:$BI$54,COLUMN('增加值 (2001-2060, 2020RMB)'!$AE$1),0)/'增加值 (2001-2060, 2020RMB)'!$AE$13</f>
        <v>1.0181890824238145E-2</v>
      </c>
      <c r="F100" s="163">
        <f>VLOOKUP($B100,'增加值 (2001-2060, 2020RMB)'!$A$13:$BI$54,COLUMN('增加值 (2001-2060, 2020RMB)'!$AJ$1),0)/'增加值 (2001-2060, 2020RMB)'!$AJ$13</f>
        <v>1.2384351831018619E-2</v>
      </c>
      <c r="G100" s="163">
        <f>VLOOKUP($B100,'增加值 (2001-2060, 2020RMB)'!$A$13:$BI$54,COLUMN('增加值 (2001-2060, 2020RMB)'!$AY$1),0)/'增加值 (2001-2060, 2020RMB)'!$AY$13</f>
        <v>1.5510362892535786E-2</v>
      </c>
      <c r="H100" s="163">
        <f>VLOOKUP($B100,'增加值 (2001-2060, 2020RMB)'!$A$13:$BI$54,COLUMN('增加值 (2001-2060, 2020RMB)'!$BI$1),0)/'增加值 (2001-2060, 2020RMB)'!$BI$13</f>
        <v>1.8426670712516847E-2</v>
      </c>
    </row>
    <row r="101" spans="1:8" ht="15" x14ac:dyDescent="0.25">
      <c r="A101" s="156"/>
      <c r="B101" s="158" t="s">
        <v>229</v>
      </c>
      <c r="C101" s="163">
        <f>VLOOKUP($B101,'增加值 (2001-2060, 2020RMB)'!$A$13:$BI$54,COLUMN('增加值 (2001-2060, 2020RMB)'!$W$1),0)/'增加值 (2001-2060, 2020RMB)'!$W$13</f>
        <v>3.4575920412114199E-3</v>
      </c>
      <c r="D101" s="163">
        <f>VLOOKUP($B101,'增加值 (2001-2060, 2020RMB)'!$A$13:$BI$54,COLUMN('增加值 (2001-2060, 2020RMB)'!$Z$1),0)/'增加值 (2001-2060, 2020RMB)'!$Z$13</f>
        <v>3.5999396625416673E-3</v>
      </c>
      <c r="E101" s="163">
        <f>VLOOKUP($B101,'增加值 (2001-2060, 2020RMB)'!$A$13:$BI$54,COLUMN('增加值 (2001-2060, 2020RMB)'!$AE$1),0)/'增加值 (2001-2060, 2020RMB)'!$AE$13</f>
        <v>3.9599957385606094E-3</v>
      </c>
      <c r="F101" s="163">
        <f>VLOOKUP($B101,'增加值 (2001-2060, 2020RMB)'!$A$13:$BI$54,COLUMN('增加值 (2001-2060, 2020RMB)'!$AJ$1),0)/'增加值 (2001-2060, 2020RMB)'!$AJ$13</f>
        <v>4.1283428620307325E-3</v>
      </c>
      <c r="G101" s="163">
        <f>VLOOKUP($B101,'增加值 (2001-2060, 2020RMB)'!$A$13:$BI$54,COLUMN('增加值 (2001-2060, 2020RMB)'!$AY$1),0)/'增加值 (2001-2060, 2020RMB)'!$AY$13</f>
        <v>3.8444904016933803E-3</v>
      </c>
      <c r="H101" s="163">
        <f>VLOOKUP($B101,'增加值 (2001-2060, 2020RMB)'!$A$13:$BI$54,COLUMN('增加值 (2001-2060, 2020RMB)'!$BI$1),0)/'增加值 (2001-2060, 2020RMB)'!$BI$13</f>
        <v>3.7486359013382156E-3</v>
      </c>
    </row>
    <row r="102" spans="1:8" x14ac:dyDescent="0.15">
      <c r="A102" s="155" t="s">
        <v>230</v>
      </c>
      <c r="B102" s="158" t="s">
        <v>231</v>
      </c>
      <c r="C102" s="163">
        <f>VLOOKUP($B102,'增加值 (2001-2060, 2020RMB)'!$A$13:$BI$54,COLUMN('增加值 (2001-2060, 2020RMB)'!$W$1),0)/'增加值 (2001-2060, 2020RMB)'!$W$13</f>
        <v>2.1619538575254445E-2</v>
      </c>
      <c r="D102" s="163">
        <f>VLOOKUP($B102,'增加值 (2001-2060, 2020RMB)'!$A$13:$BI$54,COLUMN('增加值 (2001-2060, 2020RMB)'!$Z$1),0)/'增加值 (2001-2060, 2020RMB)'!$Z$13</f>
        <v>1.8850991860796237E-2</v>
      </c>
      <c r="E102" s="163">
        <f>VLOOKUP($B102,'增加值 (2001-2060, 2020RMB)'!$A$13:$BI$54,COLUMN('增加值 (2001-2060, 2020RMB)'!$AE$1),0)/'增加值 (2001-2060, 2020RMB)'!$AE$13</f>
        <v>1.5238076356997672E-2</v>
      </c>
      <c r="F102" s="163">
        <f>VLOOKUP($B102,'增加值 (2001-2060, 2020RMB)'!$A$13:$BI$54,COLUMN('增加值 (2001-2060, 2020RMB)'!$AJ$1),0)/'增加值 (2001-2060, 2020RMB)'!$AJ$13</f>
        <v>1.2400670475077433E-2</v>
      </c>
      <c r="G102" s="163">
        <f>VLOOKUP($B102,'增加值 (2001-2060, 2020RMB)'!$A$13:$BI$54,COLUMN('增加值 (2001-2060, 2020RMB)'!$AY$1),0)/'增加值 (2001-2060, 2020RMB)'!$AY$13</f>
        <v>7.2639697657893802E-3</v>
      </c>
      <c r="H102" s="163">
        <f>VLOOKUP($B102,'增加值 (2001-2060, 2020RMB)'!$A$13:$BI$54,COLUMN('增加值 (2001-2060, 2020RMB)'!$BI$1),0)/'增加值 (2001-2060, 2020RMB)'!$BI$13</f>
        <v>5.1566460932512435E-3</v>
      </c>
    </row>
    <row r="103" spans="1:8" ht="15" x14ac:dyDescent="0.25">
      <c r="A103" s="156"/>
      <c r="B103" s="158" t="s">
        <v>232</v>
      </c>
      <c r="C103" s="163">
        <f>VLOOKUP($B103,'增加值 (2001-2060, 2020RMB)'!$A$13:$BI$54,COLUMN('增加值 (2001-2060, 2020RMB)'!$W$1),0)/'增加值 (2001-2060, 2020RMB)'!$W$13</f>
        <v>1.3696851548692881E-2</v>
      </c>
      <c r="D103" s="163">
        <f>VLOOKUP($B103,'增加值 (2001-2060, 2020RMB)'!$A$13:$BI$54,COLUMN('增加值 (2001-2060, 2020RMB)'!$Z$1),0)/'增加值 (2001-2060, 2020RMB)'!$Z$13</f>
        <v>1.2020544705647403E-2</v>
      </c>
      <c r="E103" s="163">
        <f>VLOOKUP($B103,'增加值 (2001-2060, 2020RMB)'!$A$13:$BI$54,COLUMN('增加值 (2001-2060, 2020RMB)'!$AE$1),0)/'增加值 (2001-2060, 2020RMB)'!$AE$13</f>
        <v>9.769527449421736E-3</v>
      </c>
      <c r="F103" s="163">
        <f>VLOOKUP($B103,'增加值 (2001-2060, 2020RMB)'!$A$13:$BI$54,COLUMN('增加值 (2001-2060, 2020RMB)'!$AJ$1),0)/'增加值 (2001-2060, 2020RMB)'!$AJ$13</f>
        <v>7.9863952014917177E-3</v>
      </c>
      <c r="G103" s="163">
        <f>VLOOKUP($B103,'增加值 (2001-2060, 2020RMB)'!$A$13:$BI$54,COLUMN('增加值 (2001-2060, 2020RMB)'!$AY$1),0)/'增加值 (2001-2060, 2020RMB)'!$AY$13</f>
        <v>4.7292401430187392E-3</v>
      </c>
      <c r="H103" s="163">
        <f>VLOOKUP($B103,'增加值 (2001-2060, 2020RMB)'!$A$13:$BI$54,COLUMN('增加值 (2001-2060, 2020RMB)'!$BI$1),0)/'增加值 (2001-2060, 2020RMB)'!$BI$13</f>
        <v>3.3694330278998853E-3</v>
      </c>
    </row>
    <row r="104" spans="1:8" ht="15" x14ac:dyDescent="0.25">
      <c r="A104" s="156"/>
      <c r="B104" s="158" t="s">
        <v>233</v>
      </c>
      <c r="C104" s="163">
        <f>VLOOKUP($B104,'增加值 (2001-2060, 2020RMB)'!$A$13:$BI$54,COLUMN('增加值 (2001-2060, 2020RMB)'!$W$1),0)/'增加值 (2001-2060, 2020RMB)'!$W$13</f>
        <v>1.090069232378491E-2</v>
      </c>
      <c r="D104" s="163">
        <f>VLOOKUP($B104,'增加值 (2001-2060, 2020RMB)'!$A$13:$BI$54,COLUMN('增加值 (2001-2060, 2020RMB)'!$Z$1),0)/'增加值 (2001-2060, 2020RMB)'!$Z$13</f>
        <v>9.8071182470042973E-3</v>
      </c>
      <c r="E104" s="163">
        <f>VLOOKUP($B104,'增加值 (2001-2060, 2020RMB)'!$A$13:$BI$54,COLUMN('增加值 (2001-2060, 2020RMB)'!$AE$1),0)/'增加值 (2001-2060, 2020RMB)'!$AE$13</f>
        <v>8.1381964563386946E-3</v>
      </c>
      <c r="F104" s="163">
        <f>VLOOKUP($B104,'增加值 (2001-2060, 2020RMB)'!$A$13:$BI$54,COLUMN('增加值 (2001-2060, 2020RMB)'!$AJ$1),0)/'增加值 (2001-2060, 2020RMB)'!$AJ$13</f>
        <v>6.7692979270958893E-3</v>
      </c>
      <c r="G104" s="163">
        <f>VLOOKUP($B104,'增加值 (2001-2060, 2020RMB)'!$A$13:$BI$54,COLUMN('增加值 (2001-2060, 2020RMB)'!$AY$1),0)/'增加值 (2001-2060, 2020RMB)'!$AY$13</f>
        <v>4.1791983907207156E-3</v>
      </c>
      <c r="H104" s="163">
        <f>VLOOKUP($B104,'增加值 (2001-2060, 2020RMB)'!$A$13:$BI$54,COLUMN('增加值 (2001-2060, 2020RMB)'!$BI$1),0)/'增加值 (2001-2060, 2020RMB)'!$BI$13</f>
        <v>3.0192989888565909E-3</v>
      </c>
    </row>
    <row r="105" spans="1:8" ht="15" x14ac:dyDescent="0.25">
      <c r="A105" s="156"/>
      <c r="B105" s="157" t="s">
        <v>234</v>
      </c>
      <c r="C105" s="163">
        <f>VLOOKUP($B105,'增加值 (2001-2060, 2020RMB)'!$A$13:$BI$54,COLUMN('增加值 (2001-2060, 2020RMB)'!$W$1),0)/'增加值 (2001-2060, 2020RMB)'!$W$13</f>
        <v>1.6572863179977887E-2</v>
      </c>
      <c r="D105" s="163">
        <f>VLOOKUP($B105,'增加值 (2001-2060, 2020RMB)'!$A$13:$BI$54,COLUMN('增加值 (2001-2060, 2020RMB)'!$Z$1),0)/'增加值 (2001-2060, 2020RMB)'!$Z$13</f>
        <v>1.4742968624038138E-2</v>
      </c>
      <c r="E105" s="163">
        <f>VLOOKUP($B105,'增加值 (2001-2060, 2020RMB)'!$A$13:$BI$54,COLUMN('增加值 (2001-2060, 2020RMB)'!$AE$1),0)/'增加值 (2001-2060, 2020RMB)'!$AE$13</f>
        <v>1.2118831758001863E-2</v>
      </c>
      <c r="F105" s="163">
        <f>VLOOKUP($B105,'增加值 (2001-2060, 2020RMB)'!$A$13:$BI$54,COLUMN('增加值 (2001-2060, 2020RMB)'!$AJ$1),0)/'增加值 (2001-2060, 2020RMB)'!$AJ$13</f>
        <v>1.0001072066941586E-2</v>
      </c>
      <c r="G105" s="163">
        <f>VLOOKUP($B105,'增加值 (2001-2060, 2020RMB)'!$A$13:$BI$54,COLUMN('增加值 (2001-2060, 2020RMB)'!$AY$1),0)/'增加值 (2001-2060, 2020RMB)'!$AY$13</f>
        <v>6.0583647894599715E-3</v>
      </c>
      <c r="H105" s="163">
        <f>VLOOKUP($B105,'增加值 (2001-2060, 2020RMB)'!$A$13:$BI$54,COLUMN('增加值 (2001-2060, 2020RMB)'!$BI$1),0)/'增加值 (2001-2060, 2020RMB)'!$BI$13</f>
        <v>4.3492611854233356E-3</v>
      </c>
    </row>
    <row r="106" spans="1:8" ht="15" x14ac:dyDescent="0.25">
      <c r="A106" s="156"/>
      <c r="B106" s="157" t="s">
        <v>235</v>
      </c>
      <c r="C106" s="163">
        <f>VLOOKUP($B106,'增加值 (2001-2060, 2020RMB)'!$A$13:$BI$54,COLUMN('增加值 (2001-2060, 2020RMB)'!$W$1),0)/'增加值 (2001-2060, 2020RMB)'!$W$13</f>
        <v>6.4036785590677603E-2</v>
      </c>
      <c r="D106" s="163">
        <f>VLOOKUP($B106,'增加值 (2001-2060, 2020RMB)'!$A$13:$BI$54,COLUMN('增加值 (2001-2060, 2020RMB)'!$Z$1),0)/'增加值 (2001-2060, 2020RMB)'!$Z$13</f>
        <v>5.9969441532430952E-2</v>
      </c>
      <c r="E106" s="163">
        <f>VLOOKUP($B106,'增加值 (2001-2060, 2020RMB)'!$A$13:$BI$54,COLUMN('增加值 (2001-2060, 2020RMB)'!$AE$1),0)/'增加值 (2001-2060, 2020RMB)'!$AE$13</f>
        <v>5.1474028305066886E-2</v>
      </c>
      <c r="F106" s="163">
        <f>VLOOKUP($B106,'增加值 (2001-2060, 2020RMB)'!$A$13:$BI$54,COLUMN('增加值 (2001-2060, 2020RMB)'!$AJ$1),0)/'增加值 (2001-2060, 2020RMB)'!$AJ$13</f>
        <v>4.4040511847995033E-2</v>
      </c>
      <c r="G106" s="163">
        <f>VLOOKUP($B106,'增加值 (2001-2060, 2020RMB)'!$A$13:$BI$54,COLUMN('增加值 (2001-2060, 2020RMB)'!$AY$1),0)/'增加值 (2001-2060, 2020RMB)'!$AY$13</f>
        <v>2.9097327031082795E-2</v>
      </c>
      <c r="H106" s="163">
        <f>VLOOKUP($B106,'增加值 (2001-2060, 2020RMB)'!$A$13:$BI$54,COLUMN('增加值 (2001-2060, 2020RMB)'!$BI$1),0)/'增加值 (2001-2060, 2020RMB)'!$BI$13</f>
        <v>2.1504028552195978E-2</v>
      </c>
    </row>
    <row r="107" spans="1:8" ht="15" x14ac:dyDescent="0.25">
      <c r="A107" s="156"/>
      <c r="B107" s="158" t="s">
        <v>236</v>
      </c>
      <c r="C107" s="163">
        <f>VLOOKUP($B107,'增加值 (2001-2060, 2020RMB)'!$A$13:$BI$54,COLUMN('增加值 (2001-2060, 2020RMB)'!$W$1),0)/'增加值 (2001-2060, 2020RMB)'!$W$13</f>
        <v>4.9449596704800773E-3</v>
      </c>
      <c r="D107" s="163">
        <f>VLOOKUP($B107,'增加值 (2001-2060, 2020RMB)'!$A$13:$BI$54,COLUMN('增加值 (2001-2060, 2020RMB)'!$Z$1),0)/'增加值 (2001-2060, 2020RMB)'!$Z$13</f>
        <v>4.7079626625379347E-3</v>
      </c>
      <c r="E107" s="163">
        <f>VLOOKUP($B107,'增加值 (2001-2060, 2020RMB)'!$A$13:$BI$54,COLUMN('增加值 (2001-2060, 2020RMB)'!$AE$1),0)/'增加值 (2001-2060, 2020RMB)'!$AE$13</f>
        <v>4.0978892060402998E-3</v>
      </c>
      <c r="F107" s="163">
        <f>VLOOKUP($B107,'增加值 (2001-2060, 2020RMB)'!$A$13:$BI$54,COLUMN('增加值 (2001-2060, 2020RMB)'!$AJ$1),0)/'增加值 (2001-2060, 2020RMB)'!$AJ$13</f>
        <v>3.5472784873943376E-3</v>
      </c>
      <c r="G107" s="163">
        <f>VLOOKUP($B107,'增加值 (2001-2060, 2020RMB)'!$A$13:$BI$54,COLUMN('增加值 (2001-2060, 2020RMB)'!$AY$1),0)/'增加值 (2001-2060, 2020RMB)'!$AY$13</f>
        <v>2.4104508385466416E-3</v>
      </c>
      <c r="H107" s="163">
        <f>VLOOKUP($B107,'增加值 (2001-2060, 2020RMB)'!$A$13:$BI$54,COLUMN('增加值 (2001-2060, 2020RMB)'!$BI$1),0)/'增加值 (2001-2060, 2020RMB)'!$BI$13</f>
        <v>1.7982664555945143E-3</v>
      </c>
    </row>
    <row r="108" spans="1:8" ht="15" x14ac:dyDescent="0.25">
      <c r="A108" s="156"/>
      <c r="B108" s="157" t="s">
        <v>237</v>
      </c>
      <c r="C108" s="163">
        <f>VLOOKUP($B108,'增加值 (2001-2060, 2020RMB)'!$A$13:$BI$54,COLUMN('增加值 (2001-2060, 2020RMB)'!$W$1),0)/'增加值 (2001-2060, 2020RMB)'!$W$13</f>
        <v>4.2932081844317099E-2</v>
      </c>
      <c r="D108" s="163">
        <f>VLOOKUP($B108,'增加值 (2001-2060, 2020RMB)'!$A$13:$BI$54,COLUMN('增加值 (2001-2060, 2020RMB)'!$Z$1),0)/'增加值 (2001-2060, 2020RMB)'!$Z$13</f>
        <v>3.9778492274762135E-2</v>
      </c>
      <c r="E108" s="163">
        <f>VLOOKUP($B108,'增加值 (2001-2060, 2020RMB)'!$A$13:$BI$54,COLUMN('增加值 (2001-2060, 2020RMB)'!$AE$1),0)/'增加值 (2001-2060, 2020RMB)'!$AE$13</f>
        <v>3.3837054186233798E-2</v>
      </c>
      <c r="F108" s="163">
        <f>VLOOKUP($B108,'增加值 (2001-2060, 2020RMB)'!$A$13:$BI$54,COLUMN('增加值 (2001-2060, 2020RMB)'!$AJ$1),0)/'增加值 (2001-2060, 2020RMB)'!$AJ$13</f>
        <v>2.8733450687032043E-2</v>
      </c>
      <c r="G108" s="163">
        <f>VLOOKUP($B108,'增加值 (2001-2060, 2020RMB)'!$A$13:$BI$54,COLUMN('增加值 (2001-2060, 2020RMB)'!$AY$1),0)/'增加值 (2001-2060, 2020RMB)'!$AY$13</f>
        <v>1.8643406477964648E-2</v>
      </c>
      <c r="H108" s="163">
        <f>VLOOKUP($B108,'增加值 (2001-2060, 2020RMB)'!$A$13:$BI$54,COLUMN('增加值 (2001-2060, 2020RMB)'!$BI$1),0)/'增加值 (2001-2060, 2020RMB)'!$BI$13</f>
        <v>1.369490447180036E-2</v>
      </c>
    </row>
    <row r="109" spans="1:8" ht="15" x14ac:dyDescent="0.25">
      <c r="A109" s="156"/>
      <c r="B109" s="157" t="s">
        <v>238</v>
      </c>
      <c r="C109" s="163">
        <f>VLOOKUP($B109,'增加值 (2001-2060, 2020RMB)'!$A$13:$BI$54,COLUMN('增加值 (2001-2060, 2020RMB)'!$W$1),0)/'增加值 (2001-2060, 2020RMB)'!$W$13</f>
        <v>5.7252353789248388E-2</v>
      </c>
      <c r="D109" s="163">
        <f>VLOOKUP($B109,'增加值 (2001-2060, 2020RMB)'!$A$13:$BI$54,COLUMN('增加值 (2001-2060, 2020RMB)'!$Z$1),0)/'增加值 (2001-2060, 2020RMB)'!$Z$13</f>
        <v>5.3010187828175064E-2</v>
      </c>
      <c r="E109" s="163">
        <f>VLOOKUP($B109,'增加值 (2001-2060, 2020RMB)'!$A$13:$BI$54,COLUMN('增加值 (2001-2060, 2020RMB)'!$AE$1),0)/'增加值 (2001-2060, 2020RMB)'!$AE$13</f>
        <v>4.5066114634092505E-2</v>
      </c>
      <c r="F109" s="163">
        <f>VLOOKUP($B109,'增加值 (2001-2060, 2020RMB)'!$A$13:$BI$54,COLUMN('增加值 (2001-2060, 2020RMB)'!$AJ$1),0)/'增加值 (2001-2060, 2020RMB)'!$AJ$13</f>
        <v>3.8250199061558771E-2</v>
      </c>
      <c r="G109" s="163">
        <f>VLOOKUP($B109,'增加值 (2001-2060, 2020RMB)'!$A$13:$BI$54,COLUMN('增加值 (2001-2060, 2020RMB)'!$AY$1),0)/'增加值 (2001-2060, 2020RMB)'!$AY$13</f>
        <v>2.4789178932924583E-2</v>
      </c>
      <c r="H109" s="163">
        <f>VLOOKUP($B109,'增加值 (2001-2060, 2020RMB)'!$A$13:$BI$54,COLUMN('增加值 (2001-2060, 2020RMB)'!$BI$1),0)/'增加值 (2001-2060, 2020RMB)'!$BI$13</f>
        <v>1.8202267154322424E-2</v>
      </c>
    </row>
    <row r="110" spans="1:8" ht="15" x14ac:dyDescent="0.25">
      <c r="A110" s="156"/>
      <c r="B110" s="157" t="s">
        <v>239</v>
      </c>
      <c r="C110" s="163">
        <f>VLOOKUP($B110,'增加值 (2001-2060, 2020RMB)'!$A$13:$BI$54,COLUMN('增加值 (2001-2060, 2020RMB)'!$W$1),0)/'增加值 (2001-2060, 2020RMB)'!$W$13</f>
        <v>3.5157404645083011E-2</v>
      </c>
      <c r="D110" s="163">
        <f>VLOOKUP($B110,'增加值 (2001-2060, 2020RMB)'!$A$13:$BI$54,COLUMN('增加值 (2001-2060, 2020RMB)'!$Z$1),0)/'增加值 (2001-2060, 2020RMB)'!$Z$13</f>
        <v>3.2930756126492607E-2</v>
      </c>
      <c r="E110" s="163">
        <f>VLOOKUP($B110,'增加值 (2001-2060, 2020RMB)'!$A$13:$BI$54,COLUMN('增加值 (2001-2060, 2020RMB)'!$AE$1),0)/'增加值 (2001-2060, 2020RMB)'!$AE$13</f>
        <v>2.8270351907552064E-2</v>
      </c>
      <c r="F110" s="163">
        <f>VLOOKUP($B110,'增加值 (2001-2060, 2020RMB)'!$A$13:$BI$54,COLUMN('增加值 (2001-2060, 2020RMB)'!$AJ$1),0)/'增加值 (2001-2060, 2020RMB)'!$AJ$13</f>
        <v>2.4191067020696563E-2</v>
      </c>
      <c r="G110" s="163">
        <f>VLOOKUP($B110,'增加值 (2001-2060, 2020RMB)'!$A$13:$BI$54,COLUMN('增加值 (2001-2060, 2020RMB)'!$AY$1),0)/'增加值 (2001-2060, 2020RMB)'!$AY$13</f>
        <v>1.5988185179721781E-2</v>
      </c>
      <c r="H110" s="163">
        <f>VLOOKUP($B110,'增加值 (2001-2060, 2020RMB)'!$A$13:$BI$54,COLUMN('增加值 (2001-2060, 2020RMB)'!$BI$1),0)/'增加值 (2001-2060, 2020RMB)'!$BI$13</f>
        <v>1.1817182345766068E-2</v>
      </c>
    </row>
    <row r="111" spans="1:8" x14ac:dyDescent="0.15">
      <c r="A111" s="155" t="s">
        <v>250</v>
      </c>
      <c r="B111" s="158" t="s">
        <v>251</v>
      </c>
      <c r="C111" s="163">
        <f>VLOOKUP($B111,'增加值 (2001-2060, 2020RMB)'!$A$13:$BI$54,COLUMN('增加值 (2001-2060, 2020RMB)'!$W$1),0)/'增加值 (2001-2060, 2020RMB)'!$W$13</f>
        <v>4.0415847657294758E-2</v>
      </c>
      <c r="D111" s="163">
        <f>VLOOKUP($B111,'增加值 (2001-2060, 2020RMB)'!$A$13:$BI$54,COLUMN('增加值 (2001-2060, 2020RMB)'!$Z$1),0)/'增加值 (2001-2060, 2020RMB)'!$Z$13</f>
        <v>4.0612248106937351E-2</v>
      </c>
      <c r="E111" s="163">
        <f>VLOOKUP($B111,'增加值 (2001-2060, 2020RMB)'!$A$13:$BI$54,COLUMN('增加值 (2001-2060, 2020RMB)'!$AE$1),0)/'增加值 (2001-2060, 2020RMB)'!$AE$13</f>
        <v>4.0929542691460014E-2</v>
      </c>
      <c r="F111" s="163">
        <f>VLOOKUP($B111,'增加值 (2001-2060, 2020RMB)'!$A$13:$BI$54,COLUMN('增加值 (2001-2060, 2020RMB)'!$AJ$1),0)/'增加值 (2001-2060, 2020RMB)'!$AJ$13</f>
        <v>4.0442970737702193E-2</v>
      </c>
      <c r="G111" s="163">
        <f>VLOOKUP($B111,'增加值 (2001-2060, 2020RMB)'!$A$13:$BI$54,COLUMN('增加值 (2001-2060, 2020RMB)'!$AY$1),0)/'增加值 (2001-2060, 2020RMB)'!$AY$13</f>
        <v>3.5903410232542551E-2</v>
      </c>
      <c r="H111" s="163">
        <f>VLOOKUP($B111,'增加值 (2001-2060, 2020RMB)'!$A$13:$BI$54,COLUMN('增加值 (2001-2060, 2020RMB)'!$BI$1),0)/'增加值 (2001-2060, 2020RMB)'!$BI$13</f>
        <v>3.1996196970077884E-2</v>
      </c>
    </row>
    <row r="112" spans="1:8" ht="15" x14ac:dyDescent="0.25">
      <c r="A112" s="156"/>
      <c r="B112" s="158" t="s">
        <v>252</v>
      </c>
      <c r="C112" s="163">
        <f>VLOOKUP($B112,'增加值 (2001-2060, 2020RMB)'!$A$13:$BI$54,COLUMN('增加值 (2001-2060, 2020RMB)'!$W$1),0)/'增加值 (2001-2060, 2020RMB)'!$W$13</f>
        <v>4.20504050149582E-2</v>
      </c>
      <c r="D112" s="163">
        <f>VLOOKUP($B112,'增加值 (2001-2060, 2020RMB)'!$A$13:$BI$54,COLUMN('增加值 (2001-2060, 2020RMB)'!$Z$1),0)/'增加值 (2001-2060, 2020RMB)'!$Z$13</f>
        <v>4.2497989297996606E-2</v>
      </c>
      <c r="E112" s="163">
        <f>VLOOKUP($B112,'增加值 (2001-2060, 2020RMB)'!$A$13:$BI$54,COLUMN('增加值 (2001-2060, 2020RMB)'!$AE$1),0)/'增加值 (2001-2060, 2020RMB)'!$AE$13</f>
        <v>4.3197913587992735E-2</v>
      </c>
      <c r="F112" s="163">
        <f>VLOOKUP($B112,'增加值 (2001-2060, 2020RMB)'!$A$13:$BI$54,COLUMN('增加值 (2001-2060, 2020RMB)'!$AJ$1),0)/'增加值 (2001-2060, 2020RMB)'!$AJ$13</f>
        <v>4.3006894395705139E-2</v>
      </c>
      <c r="G112" s="163">
        <f>VLOOKUP($B112,'增加值 (2001-2060, 2020RMB)'!$A$13:$BI$54,COLUMN('增加值 (2001-2060, 2020RMB)'!$AY$1),0)/'增加值 (2001-2060, 2020RMB)'!$AY$13</f>
        <v>3.8807769876703264E-2</v>
      </c>
      <c r="H112" s="163">
        <f>VLOOKUP($B112,'增加值 (2001-2060, 2020RMB)'!$A$13:$BI$54,COLUMN('增加值 (2001-2060, 2020RMB)'!$BI$1),0)/'增加值 (2001-2060, 2020RMB)'!$BI$13</f>
        <v>3.4888637709563478E-2</v>
      </c>
    </row>
    <row r="113" spans="1:8" ht="15" x14ac:dyDescent="0.25">
      <c r="A113" s="156"/>
      <c r="B113" s="158" t="s">
        <v>253</v>
      </c>
      <c r="C113" s="163">
        <f>VLOOKUP($B113,'增加值 (2001-2060, 2020RMB)'!$A$13:$BI$54,COLUMN('增加值 (2001-2060, 2020RMB)'!$W$1),0)/'增加值 (2001-2060, 2020RMB)'!$W$13</f>
        <v>3.2495350973164694E-2</v>
      </c>
      <c r="D113" s="163">
        <f>VLOOKUP($B113,'增加值 (2001-2060, 2020RMB)'!$A$13:$BI$54,COLUMN('增加值 (2001-2060, 2020RMB)'!$Z$1),0)/'增加值 (2001-2060, 2020RMB)'!$Z$13</f>
        <v>3.4847028109611558E-2</v>
      </c>
      <c r="E113" s="163">
        <f>VLOOKUP($B113,'增加值 (2001-2060, 2020RMB)'!$A$13:$BI$54,COLUMN('增加值 (2001-2060, 2020RMB)'!$AE$1),0)/'增加值 (2001-2060, 2020RMB)'!$AE$13</f>
        <v>3.869614071121466E-2</v>
      </c>
      <c r="F113" s="163">
        <f>VLOOKUP($B113,'增加值 (2001-2060, 2020RMB)'!$A$13:$BI$54,COLUMN('增加值 (2001-2060, 2020RMB)'!$AJ$1),0)/'增加值 (2001-2060, 2020RMB)'!$AJ$13</f>
        <v>4.1647078099679762E-2</v>
      </c>
      <c r="G113" s="163">
        <f>VLOOKUP($B113,'增加值 (2001-2060, 2020RMB)'!$A$13:$BI$54,COLUMN('增加值 (2001-2060, 2020RMB)'!$AY$1),0)/'增加值 (2001-2060, 2020RMB)'!$AY$13</f>
        <v>4.4515525520604789E-2</v>
      </c>
      <c r="H113" s="163">
        <f>VLOOKUP($B113,'增加值 (2001-2060, 2020RMB)'!$A$13:$BI$54,COLUMN('增加值 (2001-2060, 2020RMB)'!$BI$1),0)/'增加值 (2001-2060, 2020RMB)'!$BI$13</f>
        <v>4.3831043023927319E-2</v>
      </c>
    </row>
    <row r="114" spans="1:8" ht="15" x14ac:dyDescent="0.25">
      <c r="A114" s="156"/>
      <c r="B114" s="158" t="s">
        <v>254</v>
      </c>
      <c r="C114" s="163">
        <f>VLOOKUP($B114,'增加值 (2001-2060, 2020RMB)'!$A$13:$BI$54,COLUMN('增加值 (2001-2060, 2020RMB)'!$W$1),0)/'增加值 (2001-2060, 2020RMB)'!$W$13</f>
        <v>6.4495814044532723E-2</v>
      </c>
      <c r="D114" s="163">
        <f>VLOOKUP($B114,'增加值 (2001-2060, 2020RMB)'!$A$13:$BI$54,COLUMN('增加值 (2001-2060, 2020RMB)'!$Z$1),0)/'增加值 (2001-2060, 2020RMB)'!$Z$13</f>
        <v>6.4990931611975195E-2</v>
      </c>
      <c r="E114" s="163">
        <f>VLOOKUP($B114,'增加值 (2001-2060, 2020RMB)'!$A$13:$BI$54,COLUMN('增加值 (2001-2060, 2020RMB)'!$AE$1),0)/'增加值 (2001-2060, 2020RMB)'!$AE$13</f>
        <v>6.5772491496039434E-2</v>
      </c>
      <c r="F114" s="163">
        <f>VLOOKUP($B114,'增加值 (2001-2060, 2020RMB)'!$A$13:$BI$54,COLUMN('增加值 (2001-2060, 2020RMB)'!$AJ$1),0)/'增加值 (2001-2060, 2020RMB)'!$AJ$13</f>
        <v>6.5229615186604736E-2</v>
      </c>
      <c r="G114" s="163">
        <f>VLOOKUP($B114,'增加值 (2001-2060, 2020RMB)'!$A$13:$BI$54,COLUMN('增加值 (2001-2060, 2020RMB)'!$AY$1),0)/'增加值 (2001-2060, 2020RMB)'!$AY$13</f>
        <v>5.8370564325784302E-2</v>
      </c>
      <c r="H114" s="163">
        <f>VLOOKUP($B114,'增加值 (2001-2060, 2020RMB)'!$A$13:$BI$54,COLUMN('增加值 (2001-2060, 2020RMB)'!$BI$1),0)/'增加值 (2001-2060, 2020RMB)'!$BI$13</f>
        <v>5.224091951364658E-2</v>
      </c>
    </row>
    <row r="115" spans="1:8" ht="15" x14ac:dyDescent="0.25">
      <c r="A115" s="156"/>
      <c r="B115" s="157" t="s">
        <v>255</v>
      </c>
      <c r="C115" s="163">
        <f>VLOOKUP($B115,'增加值 (2001-2060, 2020RMB)'!$A$13:$BI$54,COLUMN('增加值 (2001-2060, 2020RMB)'!$W$1),0)/'增加值 (2001-2060, 2020RMB)'!$W$13</f>
        <v>1.7604738161339482E-2</v>
      </c>
      <c r="D115" s="163">
        <f>VLOOKUP($B115,'增加值 (2001-2060, 2020RMB)'!$A$13:$BI$54,COLUMN('增加值 (2001-2060, 2020RMB)'!$Z$1),0)/'增加值 (2001-2060, 2020RMB)'!$Z$13</f>
        <v>1.7148876776188579E-2</v>
      </c>
      <c r="E115" s="163">
        <f>VLOOKUP($B115,'增加值 (2001-2060, 2020RMB)'!$A$13:$BI$54,COLUMN('增加值 (2001-2060, 2020RMB)'!$AE$1),0)/'增加值 (2001-2060, 2020RMB)'!$AE$13</f>
        <v>1.6501138879687884E-2</v>
      </c>
      <c r="F115" s="163">
        <f>VLOOKUP($B115,'增加值 (2001-2060, 2020RMB)'!$A$13:$BI$54,COLUMN('增加值 (2001-2060, 2020RMB)'!$AJ$1),0)/'增加值 (2001-2060, 2020RMB)'!$AJ$13</f>
        <v>1.5654539854341031E-2</v>
      </c>
      <c r="G115" s="163">
        <f>VLOOKUP($B115,'增加值 (2001-2060, 2020RMB)'!$A$13:$BI$54,COLUMN('增加值 (2001-2060, 2020RMB)'!$AY$1),0)/'增加值 (2001-2060, 2020RMB)'!$AY$13</f>
        <v>1.2724837842363551E-2</v>
      </c>
      <c r="H115" s="163">
        <f>VLOOKUP($B115,'增加值 (2001-2060, 2020RMB)'!$A$13:$BI$54,COLUMN('增加值 (2001-2060, 2020RMB)'!$BI$1),0)/'增加值 (2001-2060, 2020RMB)'!$BI$13</f>
        <v>1.0816616050016123E-2</v>
      </c>
    </row>
    <row r="116" spans="1:8" ht="15" x14ac:dyDescent="0.25">
      <c r="A116" s="156"/>
      <c r="B116" s="157" t="s">
        <v>256</v>
      </c>
      <c r="C116" s="163">
        <f>VLOOKUP($B116,'增加值 (2001-2060, 2020RMB)'!$A$13:$BI$54,COLUMN('增加值 (2001-2060, 2020RMB)'!$W$1),0)/'增加值 (2001-2060, 2020RMB)'!$W$13</f>
        <v>7.327194534663288E-2</v>
      </c>
      <c r="D116" s="163">
        <f>VLOOKUP($B116,'增加值 (2001-2060, 2020RMB)'!$A$13:$BI$54,COLUMN('增加值 (2001-2060, 2020RMB)'!$Z$1),0)/'增加值 (2001-2060, 2020RMB)'!$Z$13</f>
        <v>8.3367730994712452E-2</v>
      </c>
      <c r="E116" s="163">
        <f>VLOOKUP($B116,'增加值 (2001-2060, 2020RMB)'!$A$13:$BI$54,COLUMN('增加值 (2001-2060, 2020RMB)'!$AE$1),0)/'增加值 (2001-2060, 2020RMB)'!$AE$13</f>
        <v>0.10114413260732359</v>
      </c>
      <c r="F116" s="163">
        <f>VLOOKUP($B116,'增加值 (2001-2060, 2020RMB)'!$A$13:$BI$54,COLUMN('增加值 (2001-2060, 2020RMB)'!$AJ$1),0)/'增加值 (2001-2060, 2020RMB)'!$AJ$13</f>
        <v>0.11770617601028427</v>
      </c>
      <c r="G116" s="163">
        <f>VLOOKUP($B116,'增加值 (2001-2060, 2020RMB)'!$A$13:$BI$54,COLUMN('增加值 (2001-2060, 2020RMB)'!$AY$1),0)/'增加值 (2001-2060, 2020RMB)'!$AY$13</f>
        <v>0.14921286927698704</v>
      </c>
      <c r="H116" s="163">
        <f>VLOOKUP($B116,'增加值 (2001-2060, 2020RMB)'!$A$13:$BI$54,COLUMN('增加值 (2001-2060, 2020RMB)'!$BI$1),0)/'增加值 (2001-2060, 2020RMB)'!$BI$13</f>
        <v>0.16104806979931147</v>
      </c>
    </row>
    <row r="117" spans="1:8" x14ac:dyDescent="0.15">
      <c r="A117" s="155" t="s">
        <v>257</v>
      </c>
      <c r="B117" s="158" t="s">
        <v>258</v>
      </c>
      <c r="C117" s="163">
        <f>VLOOKUP($B117,'增加值 (2001-2060, 2020RMB)'!$A$13:$BI$54,COLUMN('增加值 (2001-2060, 2020RMB)'!$W$1),0)/'增加值 (2001-2060, 2020RMB)'!$W$13</f>
        <v>0.10663333152705491</v>
      </c>
      <c r="D117" s="163">
        <f>VLOOKUP($B117,'增加值 (2001-2060, 2020RMB)'!$A$13:$BI$54,COLUMN('增加值 (2001-2060, 2020RMB)'!$Z$1),0)/'增加值 (2001-2060, 2020RMB)'!$Z$13</f>
        <v>0.12543404152294033</v>
      </c>
      <c r="E117" s="163">
        <f>VLOOKUP($B117,'增加值 (2001-2060, 2020RMB)'!$A$13:$BI$54,COLUMN('增加值 (2001-2060, 2020RMB)'!$AE$1),0)/'增加值 (2001-2060, 2020RMB)'!$AE$13</f>
        <v>0.15293419909581465</v>
      </c>
      <c r="F117" s="163">
        <f>VLOOKUP($B117,'增加值 (2001-2060, 2020RMB)'!$A$13:$BI$54,COLUMN('增加值 (2001-2060, 2020RMB)'!$AJ$1),0)/'增加值 (2001-2060, 2020RMB)'!$AJ$13</f>
        <v>0.18338625533661315</v>
      </c>
      <c r="G117" s="163">
        <f>VLOOKUP($B117,'增加值 (2001-2060, 2020RMB)'!$A$13:$BI$54,COLUMN('增加值 (2001-2060, 2020RMB)'!$AY$1),0)/'增加值 (2001-2060, 2020RMB)'!$AY$13</f>
        <v>0.2743954970497382</v>
      </c>
      <c r="H117" s="163">
        <f>VLOOKUP($B117,'增加值 (2001-2060, 2020RMB)'!$A$13:$BI$54,COLUMN('增加值 (2001-2060, 2020RMB)'!$BI$1),0)/'增加值 (2001-2060, 2020RMB)'!$BI$13</f>
        <v>0.33073058798916832</v>
      </c>
    </row>
    <row r="118" spans="1:8" x14ac:dyDescent="0.15">
      <c r="A118" s="155"/>
      <c r="B118" s="158" t="s">
        <v>105</v>
      </c>
      <c r="C118" s="163">
        <f>VLOOKUP($B118,'增加值 (2001-2060, 2020RMB)'!$A$13:$BI$54,COLUMN('增加值 (2001-2060, 2020RMB)'!$W$1),0)/'增加值 (2001-2060, 2020RMB)'!$W$13</f>
        <v>8.5863588078952963E-3</v>
      </c>
      <c r="D118" s="163">
        <f>VLOOKUP($B118,'增加值 (2001-2060, 2020RMB)'!$A$13:$BI$54,COLUMN('增加值 (2001-2060, 2020RMB)'!$Z$1),0)/'增加值 (2001-2060, 2020RMB)'!$Z$13</f>
        <v>9.3006729016383623E-3</v>
      </c>
      <c r="E118" s="163">
        <f>VLOOKUP($B118,'增加值 (2001-2060, 2020RMB)'!$A$13:$BI$54,COLUMN('增加值 (2001-2060, 2020RMB)'!$AE$1),0)/'增加值 (2001-2060, 2020RMB)'!$AE$13</f>
        <v>1.0139152179797651E-2</v>
      </c>
      <c r="F118" s="163">
        <f>VLOOKUP($B118,'增加值 (2001-2060, 2020RMB)'!$A$13:$BI$54,COLUMN('增加值 (2001-2060, 2020RMB)'!$AJ$1),0)/'增加值 (2001-2060, 2020RMB)'!$AJ$13</f>
        <v>1.094200305291141E-2</v>
      </c>
      <c r="G118" s="163">
        <f>VLOOKUP($B118,'增加值 (2001-2060, 2020RMB)'!$A$13:$BI$54,COLUMN('增加值 (2001-2060, 2020RMB)'!$AY$1),0)/'增加值 (2001-2060, 2020RMB)'!$AY$13</f>
        <v>1.2670114027939725E-2</v>
      </c>
      <c r="H118" s="163">
        <f>VLOOKUP($B118,'增加值 (2001-2060, 2020RMB)'!$A$13:$BI$54,COLUMN('增加值 (2001-2060, 2020RMB)'!$BI$1),0)/'增加值 (2001-2060, 2020RMB)'!$BI$13</f>
        <v>1.3227170584657255E-2</v>
      </c>
    </row>
    <row r="119" spans="1:8" ht="15" x14ac:dyDescent="0.25">
      <c r="A119" s="156"/>
      <c r="B119" s="158" t="s">
        <v>259</v>
      </c>
      <c r="C119" s="163">
        <f>VLOOKUP($B119,'增加值 (2001-2060, 2020RMB)'!$A$13:$BI$54,COLUMN('增加值 (2001-2060, 2020RMB)'!$W$1),0)/'增加值 (2001-2060, 2020RMB)'!$W$13</f>
        <v>3.0692738654203196E-2</v>
      </c>
      <c r="D119" s="163">
        <f>VLOOKUP($B119,'增加值 (2001-2060, 2020RMB)'!$A$13:$BI$54,COLUMN('增加值 (2001-2060, 2020RMB)'!$Z$1),0)/'增加值 (2001-2060, 2020RMB)'!$Z$13</f>
        <v>3.4055142284735086E-2</v>
      </c>
      <c r="E119" s="163">
        <f>VLOOKUP($B119,'增加值 (2001-2060, 2020RMB)'!$A$13:$BI$54,COLUMN('增加值 (2001-2060, 2020RMB)'!$AE$1),0)/'增加值 (2001-2060, 2020RMB)'!$AE$13</f>
        <v>3.8354220875387313E-2</v>
      </c>
      <c r="F119" s="163">
        <f>VLOOKUP($B119,'增加值 (2001-2060, 2020RMB)'!$A$13:$BI$54,COLUMN('增加值 (2001-2060, 2020RMB)'!$AJ$1),0)/'增加值 (2001-2060, 2020RMB)'!$AJ$13</f>
        <v>4.2679606455553402E-2</v>
      </c>
      <c r="G119" s="163">
        <f>VLOOKUP($B119,'增加值 (2001-2060, 2020RMB)'!$A$13:$BI$54,COLUMN('增加值 (2001-2060, 2020RMB)'!$AY$1),0)/'增加值 (2001-2060, 2020RMB)'!$AY$13</f>
        <v>5.3240160531464263E-2</v>
      </c>
      <c r="H119" s="163">
        <f>VLOOKUP($B119,'增加值 (2001-2060, 2020RMB)'!$A$13:$BI$54,COLUMN('增加值 (2001-2060, 2020RMB)'!$BI$1),0)/'增加值 (2001-2060, 2020RMB)'!$BI$13</f>
        <v>5.794764842276983E-2</v>
      </c>
    </row>
    <row r="122" spans="1:8" x14ac:dyDescent="0.2">
      <c r="B122" s="125"/>
      <c r="C122" s="125">
        <v>2022</v>
      </c>
      <c r="D122" s="125">
        <v>2025</v>
      </c>
      <c r="E122" s="125">
        <v>2030</v>
      </c>
      <c r="F122" s="125">
        <v>2035</v>
      </c>
      <c r="G122" s="125">
        <v>2050</v>
      </c>
      <c r="H122" s="125">
        <v>2060</v>
      </c>
    </row>
    <row r="123" spans="1:8" x14ac:dyDescent="0.2">
      <c r="B123" s="125" t="s">
        <v>289</v>
      </c>
      <c r="C123" s="126">
        <f>SUM(C97:C101)</f>
        <v>0.13722970317754837</v>
      </c>
      <c r="D123" s="126">
        <f t="shared" ref="D123:H123" si="12">SUM(D97:D101)</f>
        <v>0.13427125391914332</v>
      </c>
      <c r="E123" s="126">
        <f t="shared" si="12"/>
        <v>0.13488417913889739</v>
      </c>
      <c r="F123" s="126">
        <f t="shared" si="12"/>
        <v>0.1311134519963385</v>
      </c>
      <c r="G123" s="126">
        <f t="shared" si="12"/>
        <v>0.11163327420878558</v>
      </c>
      <c r="H123" s="126">
        <f t="shared" si="12"/>
        <v>0.10430774343157911</v>
      </c>
    </row>
    <row r="124" spans="1:8" x14ac:dyDescent="0.2">
      <c r="B124" s="125" t="s">
        <v>288</v>
      </c>
      <c r="C124" s="126">
        <f>SUM(C102:C110)</f>
        <v>0.26711353116751629</v>
      </c>
      <c r="D124" s="126">
        <f t="shared" ref="D124:H124" si="13">SUM(D102:D110)</f>
        <v>0.24581846386188477</v>
      </c>
      <c r="E124" s="126">
        <f t="shared" si="13"/>
        <v>0.20801007025974549</v>
      </c>
      <c r="F124" s="126">
        <f t="shared" si="13"/>
        <v>0.17591994277528336</v>
      </c>
      <c r="G124" s="126">
        <f t="shared" si="13"/>
        <v>0.11315932154922925</v>
      </c>
      <c r="H124" s="126">
        <f t="shared" si="13"/>
        <v>8.2911288275110392E-2</v>
      </c>
    </row>
    <row r="125" spans="1:8" x14ac:dyDescent="0.2">
      <c r="B125" s="125" t="s">
        <v>290</v>
      </c>
      <c r="C125" s="126">
        <f>SUM(C111:C116)</f>
        <v>0.27033410119792273</v>
      </c>
      <c r="D125" s="126">
        <f t="shared" ref="D125:H125" si="14">SUM(D111:D116)</f>
        <v>0.28346480489742176</v>
      </c>
      <c r="E125" s="126">
        <f t="shared" si="14"/>
        <v>0.30624135997371832</v>
      </c>
      <c r="F125" s="126">
        <f t="shared" si="14"/>
        <v>0.32368727428431709</v>
      </c>
      <c r="G125" s="126">
        <f t="shared" si="14"/>
        <v>0.33953497707498548</v>
      </c>
      <c r="H125" s="126">
        <f t="shared" si="14"/>
        <v>0.33482148306654286</v>
      </c>
    </row>
    <row r="126" spans="1:8" x14ac:dyDescent="0.2">
      <c r="B126" s="125" t="s">
        <v>291</v>
      </c>
      <c r="C126" s="126">
        <f>SUM(C117:C119)</f>
        <v>0.14591242898915341</v>
      </c>
      <c r="D126" s="126">
        <f t="shared" ref="D126:H126" si="15">SUM(D117:D119)</f>
        <v>0.16878985670931376</v>
      </c>
      <c r="E126" s="126">
        <f t="shared" si="15"/>
        <v>0.20142757215099963</v>
      </c>
      <c r="F126" s="126">
        <f t="shared" si="15"/>
        <v>0.23700786484507796</v>
      </c>
      <c r="G126" s="126">
        <f t="shared" si="15"/>
        <v>0.34030577160914216</v>
      </c>
      <c r="H126" s="126">
        <f t="shared" si="15"/>
        <v>0.40190540699659544</v>
      </c>
    </row>
  </sheetData>
  <mergeCells count="4">
    <mergeCell ref="A13:F13"/>
    <mergeCell ref="A1:B1"/>
    <mergeCell ref="A26:B26"/>
    <mergeCell ref="A45:B4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C4EF-CCEA-480E-AD1C-BBB446F41EE7}">
  <dimension ref="A1:AN61"/>
  <sheetViews>
    <sheetView workbookViewId="0">
      <selection sqref="A1:AN61"/>
    </sheetView>
  </sheetViews>
  <sheetFormatPr defaultRowHeight="14.25" x14ac:dyDescent="0.2"/>
  <cols>
    <col min="1" max="1" width="19.25" customWidth="1"/>
  </cols>
  <sheetData>
    <row r="1" spans="1:40" x14ac:dyDescent="0.2">
      <c r="A1" s="122"/>
      <c r="B1" s="123">
        <v>2022</v>
      </c>
      <c r="C1" s="123">
        <v>2023</v>
      </c>
      <c r="D1" s="123">
        <v>2024</v>
      </c>
      <c r="E1" s="123">
        <v>2025</v>
      </c>
      <c r="F1" s="123">
        <v>2026</v>
      </c>
      <c r="G1" s="123">
        <v>2027</v>
      </c>
      <c r="H1" s="123">
        <v>2028</v>
      </c>
      <c r="I1" s="123">
        <v>2029</v>
      </c>
      <c r="J1" s="123">
        <v>2030</v>
      </c>
      <c r="K1" s="123">
        <v>2031</v>
      </c>
      <c r="L1" s="123">
        <v>2032</v>
      </c>
      <c r="M1" s="123">
        <v>2033</v>
      </c>
      <c r="N1" s="123">
        <v>2034</v>
      </c>
      <c r="O1" s="123">
        <v>2035</v>
      </c>
      <c r="P1" s="123">
        <v>2036</v>
      </c>
      <c r="Q1" s="123">
        <v>2037</v>
      </c>
      <c r="R1" s="123">
        <v>2038</v>
      </c>
      <c r="S1" s="123">
        <v>2039</v>
      </c>
      <c r="T1" s="123">
        <v>2040</v>
      </c>
      <c r="U1" s="123">
        <v>2041</v>
      </c>
      <c r="V1" s="123">
        <v>2042</v>
      </c>
      <c r="W1" s="123">
        <v>2043</v>
      </c>
      <c r="X1" s="123">
        <v>2044</v>
      </c>
      <c r="Y1" s="123">
        <v>2045</v>
      </c>
      <c r="Z1" s="123">
        <v>2046</v>
      </c>
      <c r="AA1" s="123">
        <v>2047</v>
      </c>
      <c r="AB1" s="123">
        <v>2048</v>
      </c>
      <c r="AC1" s="123">
        <v>2049</v>
      </c>
      <c r="AD1" s="123">
        <v>2050</v>
      </c>
      <c r="AE1" s="123">
        <v>2051</v>
      </c>
      <c r="AF1" s="123">
        <v>2052</v>
      </c>
      <c r="AG1" s="123">
        <v>2053</v>
      </c>
      <c r="AH1" s="123">
        <v>2054</v>
      </c>
      <c r="AI1" s="123">
        <v>2055</v>
      </c>
      <c r="AJ1" s="123">
        <v>2056</v>
      </c>
      <c r="AK1" s="123">
        <v>2057</v>
      </c>
      <c r="AL1" s="123">
        <v>2058</v>
      </c>
      <c r="AM1" s="123">
        <v>2059</v>
      </c>
      <c r="AN1" s="123">
        <v>2060</v>
      </c>
    </row>
    <row r="2" spans="1:40" x14ac:dyDescent="0.2">
      <c r="A2" s="123" t="s">
        <v>65</v>
      </c>
      <c r="B2" s="122">
        <v>86574.037414115228</v>
      </c>
      <c r="C2" s="122">
        <v>89648.787939950213</v>
      </c>
      <c r="D2" s="122">
        <v>93524.524711204911</v>
      </c>
      <c r="E2" s="122">
        <v>98055.627099117148</v>
      </c>
      <c r="F2" s="122">
        <v>103068.7584415515</v>
      </c>
      <c r="G2" s="122">
        <v>108350.4367928125</v>
      </c>
      <c r="H2" s="122">
        <v>113638.3644002928</v>
      </c>
      <c r="I2" s="122">
        <v>118618.26173391929</v>
      </c>
      <c r="J2" s="122">
        <v>122928.3344086095</v>
      </c>
      <c r="K2" s="122">
        <v>126272.3231413602</v>
      </c>
      <c r="L2" s="122">
        <v>128754.6969132435</v>
      </c>
      <c r="M2" s="122">
        <v>130617.0939076764</v>
      </c>
      <c r="N2" s="122">
        <v>132130.25337315639</v>
      </c>
      <c r="O2" s="122">
        <v>133583.59357654781</v>
      </c>
      <c r="P2" s="122">
        <v>135225.4281646047</v>
      </c>
      <c r="Q2" s="122">
        <v>137092.52109286419</v>
      </c>
      <c r="R2" s="122">
        <v>139167.4206993042</v>
      </c>
      <c r="S2" s="122">
        <v>141432.12704558051</v>
      </c>
      <c r="T2" s="122">
        <v>143867.769215362</v>
      </c>
      <c r="U2" s="122">
        <v>146454.30777275181</v>
      </c>
      <c r="V2" s="122">
        <v>149170.2638264187</v>
      </c>
      <c r="W2" s="122">
        <v>151992.4774769574</v>
      </c>
      <c r="X2" s="122">
        <v>154895.89964819601</v>
      </c>
      <c r="Y2" s="122">
        <v>157853.42240098631</v>
      </c>
      <c r="Z2" s="122">
        <v>160835.7537728133</v>
      </c>
      <c r="AA2" s="122">
        <v>163811.34394076921</v>
      </c>
      <c r="AB2" s="122">
        <v>166746.37002306979</v>
      </c>
      <c r="AC2" s="122">
        <v>169604.78706289249</v>
      </c>
      <c r="AD2" s="122">
        <v>172348.45262170519</v>
      </c>
      <c r="AE2" s="122">
        <v>174937.3318907131</v>
      </c>
      <c r="AF2" s="122">
        <v>177329.78925569219</v>
      </c>
      <c r="AG2" s="122">
        <v>179482.97077783279</v>
      </c>
      <c r="AH2" s="122">
        <v>181353.2800509932</v>
      </c>
      <c r="AI2" s="122">
        <v>182896.94735343431</v>
      </c>
      <c r="AJ2" s="122">
        <v>184070.68894514529</v>
      </c>
      <c r="AK2" s="122">
        <v>184832.44981712999</v>
      </c>
      <c r="AL2" s="122">
        <v>185142.2192596836</v>
      </c>
      <c r="AM2" s="122">
        <v>184962.90440540071</v>
      </c>
      <c r="AN2" s="122">
        <v>184261.24258284911</v>
      </c>
    </row>
    <row r="3" spans="1:40" x14ac:dyDescent="0.2">
      <c r="A3" s="123" t="s">
        <v>53</v>
      </c>
      <c r="B3" s="122">
        <v>77971.748616420751</v>
      </c>
      <c r="C3" s="122">
        <v>81805.07806619101</v>
      </c>
      <c r="D3" s="122">
        <v>85868.267638835605</v>
      </c>
      <c r="E3" s="122">
        <v>90105.170847837435</v>
      </c>
      <c r="F3" s="122">
        <v>94446.622139245927</v>
      </c>
      <c r="G3" s="122">
        <v>98809.334712507422</v>
      </c>
      <c r="H3" s="122">
        <v>103095.44480981769</v>
      </c>
      <c r="I3" s="122">
        <v>107192.9102051002</v>
      </c>
      <c r="J3" s="122">
        <v>110976.9685633279</v>
      </c>
      <c r="K3" s="122">
        <v>114348.8997923799</v>
      </c>
      <c r="L3" s="122">
        <v>117355.5372420304</v>
      </c>
      <c r="M3" s="122">
        <v>120094.9564929084</v>
      </c>
      <c r="N3" s="122">
        <v>122679.6886443409</v>
      </c>
      <c r="O3" s="122">
        <v>125234.61897801371</v>
      </c>
      <c r="P3" s="122">
        <v>127870.4955621094</v>
      </c>
      <c r="Q3" s="122">
        <v>130603.22575892349</v>
      </c>
      <c r="R3" s="122">
        <v>133423.3092307219</v>
      </c>
      <c r="S3" s="122">
        <v>136320.25959427829</v>
      </c>
      <c r="T3" s="122">
        <v>139282.52649452869</v>
      </c>
      <c r="U3" s="122">
        <v>142297.42649679389</v>
      </c>
      <c r="V3" s="122">
        <v>145351.0846198595</v>
      </c>
      <c r="W3" s="122">
        <v>148428.38850740349</v>
      </c>
      <c r="X3" s="122">
        <v>151512.9573807586</v>
      </c>
      <c r="Y3" s="122">
        <v>154587.1280235431</v>
      </c>
      <c r="Z3" s="122">
        <v>157631.9601093728</v>
      </c>
      <c r="AA3" s="122">
        <v>160627.26318826541</v>
      </c>
      <c r="AB3" s="122">
        <v>163551.64758591331</v>
      </c>
      <c r="AC3" s="122">
        <v>166382.60133346191</v>
      </c>
      <c r="AD3" s="122">
        <v>169096.5950250694</v>
      </c>
      <c r="AE3" s="122">
        <v>171669.21618894351</v>
      </c>
      <c r="AF3" s="122">
        <v>174075.33434897449</v>
      </c>
      <c r="AG3" s="122">
        <v>176289.29744516511</v>
      </c>
      <c r="AH3" s="122">
        <v>178285.15967132911</v>
      </c>
      <c r="AI3" s="122">
        <v>180036.94008118959</v>
      </c>
      <c r="AJ3" s="122">
        <v>181518.91051625239</v>
      </c>
      <c r="AK3" s="122">
        <v>182705.91053260639</v>
      </c>
      <c r="AL3" s="122">
        <v>183573.68606587249</v>
      </c>
      <c r="AM3" s="122">
        <v>184099.2475959314</v>
      </c>
      <c r="AN3" s="122">
        <v>184261.24258284899</v>
      </c>
    </row>
    <row r="4" spans="1:40" x14ac:dyDescent="0.2">
      <c r="A4" s="123" t="s">
        <v>192</v>
      </c>
      <c r="B4" s="122">
        <v>46450.003049149032</v>
      </c>
      <c r="C4" s="122">
        <v>48488.395867085768</v>
      </c>
      <c r="D4" s="122">
        <v>50475.608187655132</v>
      </c>
      <c r="E4" s="122">
        <v>52394.72297559138</v>
      </c>
      <c r="F4" s="122">
        <v>54228.345027771058</v>
      </c>
      <c r="G4" s="122">
        <v>55958.818576533893</v>
      </c>
      <c r="H4" s="122">
        <v>57568.468704691972</v>
      </c>
      <c r="I4" s="122">
        <v>59039.863207858609</v>
      </c>
      <c r="J4" s="122">
        <v>60356.090633259213</v>
      </c>
      <c r="K4" s="122">
        <v>61509.555168305262</v>
      </c>
      <c r="L4" s="122">
        <v>62528.8824494855</v>
      </c>
      <c r="M4" s="122">
        <v>63455.06239218454</v>
      </c>
      <c r="N4" s="122">
        <v>64332.487465975777</v>
      </c>
      <c r="O4" s="122">
        <v>65208.439071092638</v>
      </c>
      <c r="P4" s="122">
        <v>66121.855853919566</v>
      </c>
      <c r="Q4" s="122">
        <v>67069.056549451372</v>
      </c>
      <c r="R4" s="122">
        <v>68034.766985159265</v>
      </c>
      <c r="S4" s="122">
        <v>69002.80684169165</v>
      </c>
      <c r="T4" s="122">
        <v>69956.064932717825</v>
      </c>
      <c r="U4" s="122">
        <v>70876.515206681084</v>
      </c>
      <c r="V4" s="122">
        <v>71745.277333349601</v>
      </c>
      <c r="W4" s="122">
        <v>72542.72546542123</v>
      </c>
      <c r="X4" s="122">
        <v>73248.648160439698</v>
      </c>
      <c r="Y4" s="122">
        <v>73842.461481970662</v>
      </c>
      <c r="Z4" s="122">
        <v>74303.47595349366</v>
      </c>
      <c r="AA4" s="122">
        <v>74611.216312101809</v>
      </c>
      <c r="AB4" s="122">
        <v>74745.790921537715</v>
      </c>
      <c r="AC4" s="122">
        <v>74688.305301258893</v>
      </c>
      <c r="AD4" s="122">
        <v>74421.311585954041</v>
      </c>
      <c r="AE4" s="122">
        <v>73929.282956390365</v>
      </c>
      <c r="AF4" s="122">
        <v>73199.099318076507</v>
      </c>
      <c r="AG4" s="122">
        <v>72220.527918918873</v>
      </c>
      <c r="AH4" s="122">
        <v>70986.680384241583</v>
      </c>
      <c r="AI4" s="122">
        <v>69494.426014380209</v>
      </c>
      <c r="AJ4" s="122">
        <v>67744.740344266567</v>
      </c>
      <c r="AK4" s="122">
        <v>65742.968097878693</v>
      </c>
      <c r="AL4" s="122">
        <v>63498.980940534377</v>
      </c>
      <c r="AM4" s="122">
        <v>61027.212942117141</v>
      </c>
      <c r="AN4" s="122">
        <v>58346.560445000279</v>
      </c>
    </row>
    <row r="5" spans="1:40" x14ac:dyDescent="0.2">
      <c r="A5" s="123" t="s">
        <v>193</v>
      </c>
      <c r="B5" s="122">
        <v>107085.79216328829</v>
      </c>
      <c r="C5" s="122">
        <v>112033.83841205599</v>
      </c>
      <c r="D5" s="122">
        <v>116875.4734098927</v>
      </c>
      <c r="E5" s="122">
        <v>121569.86917203679</v>
      </c>
      <c r="F5" s="122">
        <v>126074.8639587099</v>
      </c>
      <c r="G5" s="122">
        <v>130347.4841530798</v>
      </c>
      <c r="H5" s="122">
        <v>134344.5268146072</v>
      </c>
      <c r="I5" s="122">
        <v>138023.19492312489</v>
      </c>
      <c r="J5" s="122">
        <v>141341.77505798789</v>
      </c>
      <c r="K5" s="122">
        <v>144280.4101931288</v>
      </c>
      <c r="L5" s="122">
        <v>146904.85862489871</v>
      </c>
      <c r="M5" s="122">
        <v>149310.69543947541</v>
      </c>
      <c r="N5" s="122">
        <v>151602.25035860209</v>
      </c>
      <c r="O5" s="122">
        <v>153891.4005252498</v>
      </c>
      <c r="P5" s="122">
        <v>156270.85554332391</v>
      </c>
      <c r="Q5" s="122">
        <v>158732.3123797169</v>
      </c>
      <c r="R5" s="122">
        <v>161239.7622768181</v>
      </c>
      <c r="S5" s="122">
        <v>163754.8403061195</v>
      </c>
      <c r="T5" s="122">
        <v>166236.7618053534</v>
      </c>
      <c r="U5" s="122">
        <v>168642.35593205161</v>
      </c>
      <c r="V5" s="122">
        <v>170926.20640937111</v>
      </c>
      <c r="W5" s="122">
        <v>173040.90891292191</v>
      </c>
      <c r="X5" s="122">
        <v>174937.45311273049</v>
      </c>
      <c r="Y5" s="122">
        <v>176565.73506482181</v>
      </c>
      <c r="Z5" s="122">
        <v>177875.202391158</v>
      </c>
      <c r="AA5" s="122">
        <v>178815.63048314161</v>
      </c>
      <c r="AB5" s="122">
        <v>179338.02285328621</v>
      </c>
      <c r="AC5" s="122">
        <v>179395.62284719769</v>
      </c>
      <c r="AD5" s="122">
        <v>178945.01739331629</v>
      </c>
      <c r="AE5" s="122">
        <v>177947.30657100771</v>
      </c>
      <c r="AF5" s="122">
        <v>176369.30585987229</v>
      </c>
      <c r="AG5" s="122">
        <v>174184.74141097441</v>
      </c>
      <c r="AH5" s="122">
        <v>171375.3930310396</v>
      </c>
      <c r="AI5" s="122">
        <v>167932.1353080204</v>
      </c>
      <c r="AJ5" s="122">
        <v>163855.82495021031</v>
      </c>
      <c r="AK5" s="122">
        <v>159157.98244559011</v>
      </c>
      <c r="AL5" s="122">
        <v>153861.21897621141</v>
      </c>
      <c r="AM5" s="122">
        <v>147999.3654166031</v>
      </c>
      <c r="AN5" s="122">
        <v>141617.26930056509</v>
      </c>
    </row>
    <row r="6" spans="1:40" x14ac:dyDescent="0.2">
      <c r="A6" s="123" t="s">
        <v>194</v>
      </c>
      <c r="B6" s="122">
        <v>16696.536385320011</v>
      </c>
      <c r="C6" s="122">
        <v>17528.172811370201</v>
      </c>
      <c r="D6" s="122">
        <v>18346.360758450119</v>
      </c>
      <c r="E6" s="122">
        <v>19144.29599042052</v>
      </c>
      <c r="F6" s="122">
        <v>19914.90428677345</v>
      </c>
      <c r="G6" s="122">
        <v>20650.9275154924</v>
      </c>
      <c r="H6" s="122">
        <v>21345.020707842621</v>
      </c>
      <c r="I6" s="122">
        <v>21989.8588431754</v>
      </c>
      <c r="J6" s="122">
        <v>22578.251649442162</v>
      </c>
      <c r="K6" s="122">
        <v>23106.505893294609</v>
      </c>
      <c r="L6" s="122">
        <v>23584.79806982385</v>
      </c>
      <c r="M6" s="122">
        <v>24028.281398759991</v>
      </c>
      <c r="N6" s="122">
        <v>24453.704799924781</v>
      </c>
      <c r="O6" s="122">
        <v>24879.22087529067</v>
      </c>
      <c r="P6" s="122">
        <v>25320.01655536818</v>
      </c>
      <c r="Q6" s="122">
        <v>25774.843120200279</v>
      </c>
      <c r="R6" s="122">
        <v>26237.88634549957</v>
      </c>
      <c r="S6" s="122">
        <v>26702.89621662621</v>
      </c>
      <c r="T6" s="122">
        <v>27163.174865440211</v>
      </c>
      <c r="U6" s="122">
        <v>27611.58047671667</v>
      </c>
      <c r="V6" s="122">
        <v>28040.54903957959</v>
      </c>
      <c r="W6" s="122">
        <v>28442.135725009339</v>
      </c>
      <c r="X6" s="122">
        <v>28808.077439474539</v>
      </c>
      <c r="Y6" s="122">
        <v>29129.877722114659</v>
      </c>
      <c r="Z6" s="122">
        <v>29398.914608042742</v>
      </c>
      <c r="AA6" s="122">
        <v>29606.571369255598</v>
      </c>
      <c r="AB6" s="122">
        <v>29744.389172301839</v>
      </c>
      <c r="AC6" s="122">
        <v>29804.239674331031</v>
      </c>
      <c r="AD6" s="122">
        <v>29778.514445480829</v>
      </c>
      <c r="AE6" s="122">
        <v>29660.326898931118</v>
      </c>
      <c r="AF6" s="122">
        <v>29443.72118803121</v>
      </c>
      <c r="AG6" s="122">
        <v>29123.881363894088</v>
      </c>
      <c r="AH6" s="122">
        <v>28697.333059245611</v>
      </c>
      <c r="AI6" s="122">
        <v>28162.129164957889</v>
      </c>
      <c r="AJ6" s="122">
        <v>27518.0104863247</v>
      </c>
      <c r="AK6" s="122">
        <v>26766.53229344881</v>
      </c>
      <c r="AL6" s="122">
        <v>25911.148087676171</v>
      </c>
      <c r="AM6" s="122">
        <v>24957.242845712339</v>
      </c>
      <c r="AN6" s="122">
        <v>23912.109496612858</v>
      </c>
    </row>
    <row r="7" spans="1:40" x14ac:dyDescent="0.2">
      <c r="A7" s="123" t="s">
        <v>58</v>
      </c>
      <c r="B7" s="122">
        <v>90528.212015436089</v>
      </c>
      <c r="C7" s="122">
        <v>95394.858794102664</v>
      </c>
      <c r="D7" s="122">
        <v>100548.2743168114</v>
      </c>
      <c r="E7" s="122">
        <v>105932.2003913566</v>
      </c>
      <c r="F7" s="122">
        <v>111475.6929844199</v>
      </c>
      <c r="G7" s="122">
        <v>117091.7450733156</v>
      </c>
      <c r="H7" s="122">
        <v>122676.5013383295</v>
      </c>
      <c r="I7" s="122">
        <v>128109.2784743755</v>
      </c>
      <c r="J7" s="122">
        <v>133253.61024118631</v>
      </c>
      <c r="K7" s="122">
        <v>137992.68774006801</v>
      </c>
      <c r="L7" s="122">
        <v>142340.6512200367</v>
      </c>
      <c r="M7" s="122">
        <v>146358.88872698889</v>
      </c>
      <c r="N7" s="122">
        <v>150123.27603322419</v>
      </c>
      <c r="O7" s="122">
        <v>153722.4270504147</v>
      </c>
      <c r="P7" s="122">
        <v>157234.48965119969</v>
      </c>
      <c r="Q7" s="122">
        <v>160656.8948082042</v>
      </c>
      <c r="R7" s="122">
        <v>163964.9792716158</v>
      </c>
      <c r="S7" s="122">
        <v>167133.00082888399</v>
      </c>
      <c r="T7" s="122">
        <v>170134.3130768277</v>
      </c>
      <c r="U7" s="122">
        <v>172941.57412882449</v>
      </c>
      <c r="V7" s="122">
        <v>175526.98940617981</v>
      </c>
      <c r="W7" s="122">
        <v>177862.58789528391</v>
      </c>
      <c r="X7" s="122">
        <v>179920.53038881641</v>
      </c>
      <c r="Y7" s="122">
        <v>181673.44728329251</v>
      </c>
      <c r="Z7" s="122">
        <v>183094.80249506721</v>
      </c>
      <c r="AA7" s="122">
        <v>184159.2790064755</v>
      </c>
      <c r="AB7" s="122">
        <v>184843.18049226259</v>
      </c>
      <c r="AC7" s="122">
        <v>185124.84243807499</v>
      </c>
      <c r="AD7" s="122">
        <v>184985.04518608071</v>
      </c>
      <c r="AE7" s="122">
        <v>184407.42046956779</v>
      </c>
      <c r="AF7" s="122">
        <v>183378.84227252749</v>
      </c>
      <c r="AG7" s="122">
        <v>181889.79231590679</v>
      </c>
      <c r="AH7" s="122">
        <v>179934.6901720833</v>
      </c>
      <c r="AI7" s="122">
        <v>177512.17798202531</v>
      </c>
      <c r="AJ7" s="122">
        <v>174625.35002840971</v>
      </c>
      <c r="AK7" s="122">
        <v>171281.91802718121</v>
      </c>
      <c r="AL7" s="122">
        <v>167494.303953494</v>
      </c>
      <c r="AM7" s="122">
        <v>163279.65351692561</v>
      </c>
      <c r="AN7" s="122">
        <v>158659.76503227931</v>
      </c>
    </row>
    <row r="8" spans="1:40" x14ac:dyDescent="0.2">
      <c r="A8" s="123" t="s">
        <v>195</v>
      </c>
      <c r="B8" s="122">
        <v>69030.48514791824</v>
      </c>
      <c r="C8" s="122">
        <v>73092.815036197891</v>
      </c>
      <c r="D8" s="122">
        <v>77128.309574413186</v>
      </c>
      <c r="E8" s="122">
        <v>81098.17811667861</v>
      </c>
      <c r="F8" s="122">
        <v>84960.946244032093</v>
      </c>
      <c r="G8" s="122">
        <v>88672.987275190448</v>
      </c>
      <c r="H8" s="122">
        <v>92189.167317818807</v>
      </c>
      <c r="I8" s="122">
        <v>95463.597607615695</v>
      </c>
      <c r="J8" s="122">
        <v>98450.483100471567</v>
      </c>
      <c r="K8" s="122">
        <v>101125.555489711</v>
      </c>
      <c r="L8" s="122">
        <v>103552.3912651089</v>
      </c>
      <c r="M8" s="122">
        <v>105827.04828284431</v>
      </c>
      <c r="N8" s="122">
        <v>108056.7168749166</v>
      </c>
      <c r="O8" s="122">
        <v>110358.7017801468</v>
      </c>
      <c r="P8" s="122">
        <v>112834.74073614441</v>
      </c>
      <c r="Q8" s="122">
        <v>115489.9735763557</v>
      </c>
      <c r="R8" s="122">
        <v>118302.8458042634</v>
      </c>
      <c r="S8" s="122">
        <v>121249.46578397541</v>
      </c>
      <c r="T8" s="122">
        <v>124303.2480503288</v>
      </c>
      <c r="U8" s="122">
        <v>127434.60881296769</v>
      </c>
      <c r="V8" s="122">
        <v>130610.72566557259</v>
      </c>
      <c r="W8" s="122">
        <v>133795.3754639104</v>
      </c>
      <c r="X8" s="122">
        <v>136948.86581312661</v>
      </c>
      <c r="Y8" s="122">
        <v>140028.07645217021</v>
      </c>
      <c r="Z8" s="122">
        <v>142986.62687115441</v>
      </c>
      <c r="AA8" s="122">
        <v>145775.1855694261</v>
      </c>
      <c r="AB8" s="122">
        <v>148341.9342898177</v>
      </c>
      <c r="AC8" s="122">
        <v>150633.1972048484</v>
      </c>
      <c r="AD8" s="122">
        <v>152594.2402859563</v>
      </c>
      <c r="AE8" s="122">
        <v>154170.2399268935</v>
      </c>
      <c r="AF8" s="122">
        <v>155307.41237685189</v>
      </c>
      <c r="AG8" s="122">
        <v>155954.28683750899</v>
      </c>
      <c r="AH8" s="122">
        <v>156063.09548740191</v>
      </c>
      <c r="AI8" s="122">
        <v>155591.24364853781</v>
      </c>
      <c r="AJ8" s="122">
        <v>154502.81336934911</v>
      </c>
      <c r="AK8" s="122">
        <v>152770.04454935031</v>
      </c>
      <c r="AL8" s="122">
        <v>150374.7301473009</v>
      </c>
      <c r="AM8" s="122">
        <v>147309.4568117717</v>
      </c>
      <c r="AN8" s="122">
        <v>143578.62024664911</v>
      </c>
    </row>
    <row r="9" spans="1:40" x14ac:dyDescent="0.2">
      <c r="A9" s="123" t="s">
        <v>71</v>
      </c>
      <c r="B9" s="122">
        <v>18002.06128553487</v>
      </c>
      <c r="C9" s="122">
        <v>18094.152110728981</v>
      </c>
      <c r="D9" s="122">
        <v>18288.484507585479</v>
      </c>
      <c r="E9" s="122">
        <v>18563.363464699902</v>
      </c>
      <c r="F9" s="122">
        <v>18896.922060254161</v>
      </c>
      <c r="G9" s="122">
        <v>19266.237817176348</v>
      </c>
      <c r="H9" s="122">
        <v>19646.72606478888</v>
      </c>
      <c r="I9" s="122">
        <v>20011.83335396355</v>
      </c>
      <c r="J9" s="122">
        <v>20333.070539176158</v>
      </c>
      <c r="K9" s="122">
        <v>20586.09303979472</v>
      </c>
      <c r="L9" s="122">
        <v>20768.885181584301</v>
      </c>
      <c r="M9" s="122">
        <v>20885.921016824799</v>
      </c>
      <c r="N9" s="122">
        <v>20942.482956781369</v>
      </c>
      <c r="O9" s="122">
        <v>20944.485918574639</v>
      </c>
      <c r="P9" s="122">
        <v>20897.615305886949</v>
      </c>
      <c r="Q9" s="122">
        <v>20805.114858536661</v>
      </c>
      <c r="R9" s="122">
        <v>20669.80280987384</v>
      </c>
      <c r="S9" s="122">
        <v>20494.713101598601</v>
      </c>
      <c r="T9" s="122">
        <v>20283.043055483449</v>
      </c>
      <c r="U9" s="122">
        <v>20038.103127609749</v>
      </c>
      <c r="V9" s="122">
        <v>19763.269526568711</v>
      </c>
      <c r="W9" s="122">
        <v>19461.940323878389</v>
      </c>
      <c r="X9" s="122">
        <v>19137.495533517769</v>
      </c>
      <c r="Y9" s="122">
        <v>18793.261492451558</v>
      </c>
      <c r="Z9" s="122">
        <v>18432.47973892884</v>
      </c>
      <c r="AA9" s="122">
        <v>18058.280462938179</v>
      </c>
      <c r="AB9" s="122">
        <v>17673.660495382679</v>
      </c>
      <c r="AC9" s="122">
        <v>17281.4657104332</v>
      </c>
      <c r="AD9" s="122">
        <v>16884.37763954914</v>
      </c>
      <c r="AE9" s="122">
        <v>16484.904035660958</v>
      </c>
      <c r="AF9" s="122">
        <v>16085.37308132315</v>
      </c>
      <c r="AG9" s="122">
        <v>15687.930904241201</v>
      </c>
      <c r="AH9" s="122">
        <v>15294.54204612719</v>
      </c>
      <c r="AI9" s="122">
        <v>14906.992524851559</v>
      </c>
      <c r="AJ9" s="122">
        <v>14526.89513374494</v>
      </c>
      <c r="AK9" s="122">
        <v>14155.69663404508</v>
      </c>
      <c r="AL9" s="122">
        <v>13794.68651531628</v>
      </c>
      <c r="AM9" s="122">
        <v>13445.00702270546</v>
      </c>
      <c r="AN9" s="122">
        <v>13107.66417779219</v>
      </c>
    </row>
    <row r="10" spans="1:40" x14ac:dyDescent="0.2">
      <c r="A10" s="123" t="s">
        <v>72</v>
      </c>
      <c r="B10" s="122">
        <v>12304.162743704101</v>
      </c>
      <c r="C10" s="122">
        <v>12232.37658199681</v>
      </c>
      <c r="D10" s="122">
        <v>12220.797150044569</v>
      </c>
      <c r="E10" s="122">
        <v>12255.872049881031</v>
      </c>
      <c r="F10" s="122">
        <v>12324.54698012749</v>
      </c>
      <c r="G10" s="122">
        <v>12413.83154337158</v>
      </c>
      <c r="H10" s="122">
        <v>12510.507876858739</v>
      </c>
      <c r="I10" s="122">
        <v>12600.97984500064</v>
      </c>
      <c r="J10" s="122">
        <v>12671.26721935467</v>
      </c>
      <c r="K10" s="122">
        <v>12710.02682047437</v>
      </c>
      <c r="L10" s="122">
        <v>12717.475686422529</v>
      </c>
      <c r="M10" s="122">
        <v>12696.93799193723</v>
      </c>
      <c r="N10" s="122">
        <v>12651.91649316751</v>
      </c>
      <c r="O10" s="122">
        <v>12586.021587931529</v>
      </c>
      <c r="P10" s="122">
        <v>12502.454947917569</v>
      </c>
      <c r="Q10" s="122">
        <v>12402.623254678439</v>
      </c>
      <c r="R10" s="122">
        <v>12287.51951678245</v>
      </c>
      <c r="S10" s="122">
        <v>12158.17229023839</v>
      </c>
      <c r="T10" s="122">
        <v>12015.635848656309</v>
      </c>
      <c r="U10" s="122">
        <v>11860.98078889373</v>
      </c>
      <c r="V10" s="122">
        <v>11695.285151940559</v>
      </c>
      <c r="W10" s="122">
        <v>11519.62612438649</v>
      </c>
      <c r="X10" s="122">
        <v>11335.07237168838</v>
      </c>
      <c r="Y10" s="122">
        <v>11142.67704085988</v>
      </c>
      <c r="Z10" s="122">
        <v>10943.47145734138</v>
      </c>
      <c r="AA10" s="122">
        <v>10738.459528845789</v>
      </c>
      <c r="AB10" s="122">
        <v>10528.61285803837</v>
      </c>
      <c r="AC10" s="122">
        <v>10314.866556088091</v>
      </c>
      <c r="AD10" s="122">
        <v>10098.115740482261</v>
      </c>
      <c r="AE10" s="122">
        <v>9879.2126930459981</v>
      </c>
      <c r="AF10" s="122">
        <v>9658.9646478555114</v>
      </c>
      <c r="AG10" s="122">
        <v>9438.1321736484842</v>
      </c>
      <c r="AH10" s="122">
        <v>9217.4281113702164</v>
      </c>
      <c r="AI10" s="122">
        <v>8997.517024587054</v>
      </c>
      <c r="AJ10" s="122">
        <v>8779.015118571544</v>
      </c>
      <c r="AK10" s="122">
        <v>8562.4905828307274</v>
      </c>
      <c r="AL10" s="122">
        <v>8348.4643116183124</v>
      </c>
      <c r="AM10" s="122">
        <v>8137.4109574467429</v>
      </c>
      <c r="AN10" s="122">
        <v>7929.7602737008456</v>
      </c>
    </row>
    <row r="11" spans="1:40" x14ac:dyDescent="0.2">
      <c r="A11" s="123" t="s">
        <v>73</v>
      </c>
      <c r="B11" s="122">
        <v>4568.3236898109044</v>
      </c>
      <c r="C11" s="122">
        <v>4518.4826743443564</v>
      </c>
      <c r="D11" s="122">
        <v>4489.3320621772591</v>
      </c>
      <c r="E11" s="122">
        <v>4476.2720988974561</v>
      </c>
      <c r="F11" s="122">
        <v>4474.9599135747467</v>
      </c>
      <c r="G11" s="122">
        <v>4481.1762681273776</v>
      </c>
      <c r="H11" s="122">
        <v>4490.7346691103648</v>
      </c>
      <c r="I11" s="122">
        <v>4499.4304058988891</v>
      </c>
      <c r="J11" s="122">
        <v>4503.0289572039737</v>
      </c>
      <c r="K11" s="122">
        <v>4498.0349349370535</v>
      </c>
      <c r="L11" s="122">
        <v>4483.9605658896726</v>
      </c>
      <c r="M11" s="122">
        <v>4461.1122924380252</v>
      </c>
      <c r="N11" s="122">
        <v>4429.844385508859</v>
      </c>
      <c r="O11" s="122">
        <v>4390.553405751094</v>
      </c>
      <c r="P11" s="122">
        <v>4343.6939186686895</v>
      </c>
      <c r="Q11" s="122">
        <v>4289.834870331918</v>
      </c>
      <c r="R11" s="122">
        <v>4229.5848496366489</v>
      </c>
      <c r="S11" s="122">
        <v>4163.5627217679776</v>
      </c>
      <c r="T11" s="122">
        <v>4092.3906227179468</v>
      </c>
      <c r="U11" s="122">
        <v>4016.6875175894111</v>
      </c>
      <c r="V11" s="122">
        <v>3937.063373401561</v>
      </c>
      <c r="W11" s="122">
        <v>3854.1139797749629</v>
      </c>
      <c r="X11" s="122">
        <v>3768.4164348216418</v>
      </c>
      <c r="Y11" s="122">
        <v>3680.5252990507129</v>
      </c>
      <c r="Z11" s="122">
        <v>3590.9694072986531</v>
      </c>
      <c r="AA11" s="122">
        <v>3500.2493177038768</v>
      </c>
      <c r="AB11" s="122">
        <v>3408.8353676043371</v>
      </c>
      <c r="AC11" s="122">
        <v>3317.1662989210272</v>
      </c>
      <c r="AD11" s="122">
        <v>3225.6484100286748</v>
      </c>
      <c r="AE11" s="122">
        <v>3134.6551872011328</v>
      </c>
      <c r="AF11" s="122">
        <v>3044.5273663127532</v>
      </c>
      <c r="AG11" s="122">
        <v>2955.573374424102</v>
      </c>
      <c r="AH11" s="122">
        <v>2868.0701010090088</v>
      </c>
      <c r="AI11" s="122">
        <v>2782.263949717084</v>
      </c>
      <c r="AJ11" s="122">
        <v>2698.3721235378612</v>
      </c>
      <c r="AK11" s="122">
        <v>2616.5840988724008</v>
      </c>
      <c r="AL11" s="122">
        <v>2537.063247168307</v>
      </c>
      <c r="AM11" s="122">
        <v>2459.9485662905172</v>
      </c>
      <c r="AN11" s="122">
        <v>2385.3564875530369</v>
      </c>
    </row>
    <row r="12" spans="1:40" x14ac:dyDescent="0.2">
      <c r="A12" s="123" t="s">
        <v>74</v>
      </c>
      <c r="B12" s="122">
        <v>2146.8175625414901</v>
      </c>
      <c r="C12" s="122">
        <v>2111.249386732643</v>
      </c>
      <c r="D12" s="122">
        <v>2083.0783852458071</v>
      </c>
      <c r="E12" s="122">
        <v>2060.814377187261</v>
      </c>
      <c r="F12" s="122">
        <v>2043.0774624669839</v>
      </c>
      <c r="G12" s="122">
        <v>2028.565302247257</v>
      </c>
      <c r="H12" s="122">
        <v>2016.029405808144</v>
      </c>
      <c r="I12" s="122">
        <v>2004.259494890764</v>
      </c>
      <c r="J12" s="122">
        <v>1992.075353059749</v>
      </c>
      <c r="K12" s="122">
        <v>1978.4552565552449</v>
      </c>
      <c r="L12" s="122">
        <v>1962.921791246866</v>
      </c>
      <c r="M12" s="122">
        <v>1945.1455851599469</v>
      </c>
      <c r="N12" s="122">
        <v>1924.8178567552479</v>
      </c>
      <c r="O12" s="122">
        <v>1901.6545966421429</v>
      </c>
      <c r="P12" s="122">
        <v>1875.4885439510549</v>
      </c>
      <c r="Q12" s="122">
        <v>1846.525361311571</v>
      </c>
      <c r="R12" s="122">
        <v>1815.063290334039</v>
      </c>
      <c r="S12" s="122">
        <v>1781.4000367355941</v>
      </c>
      <c r="T12" s="122">
        <v>1745.82971053437</v>
      </c>
      <c r="U12" s="122">
        <v>1708.64010054915</v>
      </c>
      <c r="V12" s="122">
        <v>1670.1102948848711</v>
      </c>
      <c r="W12" s="122">
        <v>1630.508650813149</v>
      </c>
      <c r="X12" s="122">
        <v>1590.0911101405591</v>
      </c>
      <c r="Y12" s="122">
        <v>1549.0998498642609</v>
      </c>
      <c r="Z12" s="122">
        <v>1507.762252672673</v>
      </c>
      <c r="AA12" s="122">
        <v>1466.2901776506869</v>
      </c>
      <c r="AB12" s="122">
        <v>1424.879508356923</v>
      </c>
      <c r="AC12" s="122">
        <v>1383.709953193498</v>
      </c>
      <c r="AD12" s="122">
        <v>1342.945071607792</v>
      </c>
      <c r="AE12" s="122">
        <v>1302.7324990589291</v>
      </c>
      <c r="AF12" s="122">
        <v>1263.20434375013</v>
      </c>
      <c r="AG12" s="122">
        <v>1224.477728769743</v>
      </c>
      <c r="AH12" s="122">
        <v>1186.655454396951</v>
      </c>
      <c r="AI12" s="122">
        <v>1149.826756815409</v>
      </c>
      <c r="AJ12" s="122">
        <v>1114.068141247772</v>
      </c>
      <c r="AK12" s="122">
        <v>1079.444269492642</v>
      </c>
      <c r="AL12" s="122">
        <v>1046.0088839384241</v>
      </c>
      <c r="AM12" s="122">
        <v>1013.8057522812049</v>
      </c>
      <c r="AN12" s="122">
        <v>982.86961933139355</v>
      </c>
    </row>
    <row r="13" spans="1:40" x14ac:dyDescent="0.2">
      <c r="A13" s="123" t="s">
        <v>75</v>
      </c>
      <c r="B13" s="122">
        <v>1532.4140383714739</v>
      </c>
      <c r="C13" s="122">
        <v>1507.626349568365</v>
      </c>
      <c r="D13" s="122">
        <v>1489.286825557765</v>
      </c>
      <c r="E13" s="122">
        <v>1476.019729797332</v>
      </c>
      <c r="F13" s="122">
        <v>1466.5515041724259</v>
      </c>
      <c r="G13" s="122">
        <v>1459.6743419005561</v>
      </c>
      <c r="H13" s="122">
        <v>1454.22056288922</v>
      </c>
      <c r="I13" s="122">
        <v>1449.046749108559</v>
      </c>
      <c r="J13" s="122">
        <v>1443.0270633835121</v>
      </c>
      <c r="K13" s="122">
        <v>1435.222289548047</v>
      </c>
      <c r="L13" s="122">
        <v>1425.3814895517439</v>
      </c>
      <c r="M13" s="122">
        <v>1413.4336911085711</v>
      </c>
      <c r="N13" s="122">
        <v>1399.320751301731</v>
      </c>
      <c r="O13" s="122">
        <v>1382.9986355475751</v>
      </c>
      <c r="P13" s="122">
        <v>1364.4756304513201</v>
      </c>
      <c r="Q13" s="122">
        <v>1343.9199914479141</v>
      </c>
      <c r="R13" s="122">
        <v>1321.540480013849</v>
      </c>
      <c r="S13" s="122">
        <v>1297.5460465209469</v>
      </c>
      <c r="T13" s="122">
        <v>1272.143682968562</v>
      </c>
      <c r="U13" s="122">
        <v>1245.5364972963339</v>
      </c>
      <c r="V13" s="122">
        <v>1217.9220187701669</v>
      </c>
      <c r="W13" s="122">
        <v>1189.490738342</v>
      </c>
      <c r="X13" s="122">
        <v>1160.4248828869711</v>
      </c>
      <c r="Y13" s="122">
        <v>1130.8974178729229</v>
      </c>
      <c r="Z13" s="122">
        <v>1101.0712693432411</v>
      </c>
      <c r="AA13" s="122">
        <v>1071.0987530976561</v>
      </c>
      <c r="AB13" s="122">
        <v>1041.1211966197161</v>
      </c>
      <c r="AC13" s="122">
        <v>1011.268737590719</v>
      </c>
      <c r="AD13" s="122">
        <v>981.66028170175821</v>
      </c>
      <c r="AE13" s="122">
        <v>952.40360187257875</v>
      </c>
      <c r="AF13" s="122">
        <v>923.5955608470872</v>
      </c>
      <c r="AG13" s="122">
        <v>895.32243939568991</v>
      </c>
      <c r="AH13" s="122">
        <v>867.66035294935944</v>
      </c>
      <c r="AI13" s="122">
        <v>840.67574035566031</v>
      </c>
      <c r="AJ13" s="122">
        <v>814.42590952259764</v>
      </c>
      <c r="AK13" s="122">
        <v>788.95962594604657</v>
      </c>
      <c r="AL13" s="122">
        <v>764.3177314502135</v>
      </c>
      <c r="AM13" s="122">
        <v>740.53378186335351</v>
      </c>
      <c r="AN13" s="122">
        <v>717.6346937644671</v>
      </c>
    </row>
    <row r="14" spans="1:40" x14ac:dyDescent="0.2">
      <c r="A14" s="123" t="s">
        <v>76</v>
      </c>
      <c r="B14" s="122">
        <v>1144.432816780665</v>
      </c>
      <c r="C14" s="122">
        <v>1214.60084379252</v>
      </c>
      <c r="D14" s="122">
        <v>1284.3119282158809</v>
      </c>
      <c r="E14" s="122">
        <v>1353.304960608476</v>
      </c>
      <c r="F14" s="122">
        <v>1421.358429145035</v>
      </c>
      <c r="G14" s="122">
        <v>1488.294514411404</v>
      </c>
      <c r="H14" s="122">
        <v>1553.982224644554</v>
      </c>
      <c r="I14" s="122">
        <v>1618.3396127689141</v>
      </c>
      <c r="J14" s="122">
        <v>1681.3351511291301</v>
      </c>
      <c r="K14" s="122">
        <v>1742.8873445320769</v>
      </c>
      <c r="L14" s="122">
        <v>1802.533856969053</v>
      </c>
      <c r="M14" s="122">
        <v>1859.6882985956961</v>
      </c>
      <c r="N14" s="122">
        <v>1913.7403852579621</v>
      </c>
      <c r="O14" s="122">
        <v>1964.063583865036</v>
      </c>
      <c r="P14" s="122">
        <v>2010.102253794681</v>
      </c>
      <c r="Q14" s="122">
        <v>2051.6292870375032</v>
      </c>
      <c r="R14" s="122">
        <v>2088.5395962892239</v>
      </c>
      <c r="S14" s="122">
        <v>2120.7748881278822</v>
      </c>
      <c r="T14" s="122">
        <v>2148.3222101131751</v>
      </c>
      <c r="U14" s="122">
        <v>2171.2118625273288</v>
      </c>
      <c r="V14" s="122">
        <v>2189.5147648663801</v>
      </c>
      <c r="W14" s="122">
        <v>2203.3393726045852</v>
      </c>
      <c r="X14" s="122">
        <v>2212.8282419859602</v>
      </c>
      <c r="Y14" s="122">
        <v>2218.154339920558</v>
      </c>
      <c r="Z14" s="122">
        <v>2219.5171928256291</v>
      </c>
      <c r="AA14" s="122">
        <v>2217.1389628498391</v>
      </c>
      <c r="AB14" s="122">
        <v>2211.2605327755</v>
      </c>
      <c r="AC14" s="122">
        <v>2202.1376724397642</v>
      </c>
      <c r="AD14" s="122">
        <v>2190.0373501703139</v>
      </c>
      <c r="AE14" s="122">
        <v>2175.2342428890852</v>
      </c>
      <c r="AF14" s="122">
        <v>2158.007488556219</v>
      </c>
      <c r="AG14" s="122">
        <v>2138.6377148199458</v>
      </c>
      <c r="AH14" s="122">
        <v>2117.4043683697819</v>
      </c>
      <c r="AI14" s="122">
        <v>2094.5833607734921</v>
      </c>
      <c r="AJ14" s="122">
        <v>2070.44503867404</v>
      </c>
      <c r="AK14" s="122">
        <v>2045.2524792440529</v>
      </c>
      <c r="AL14" s="122">
        <v>2019.260105811011</v>
      </c>
      <c r="AM14" s="122">
        <v>1992.7126136042059</v>
      </c>
      <c r="AN14" s="122">
        <v>1965.84419163034</v>
      </c>
    </row>
    <row r="15" spans="1:40" x14ac:dyDescent="0.2">
      <c r="A15" s="123" t="s">
        <v>77</v>
      </c>
      <c r="B15" s="122">
        <v>9.2604801376398402</v>
      </c>
      <c r="C15" s="122">
        <v>9.4703789730627825</v>
      </c>
      <c r="D15" s="122">
        <v>9.6816395335293617</v>
      </c>
      <c r="E15" s="122">
        <v>9.8924936950662925</v>
      </c>
      <c r="F15" s="122">
        <v>10.10102866739121</v>
      </c>
      <c r="G15" s="122">
        <v>10.305189902713099</v>
      </c>
      <c r="H15" s="122">
        <v>10.502787892718271</v>
      </c>
      <c r="I15" s="122">
        <v>10.69150925074053</v>
      </c>
      <c r="J15" s="122">
        <v>10.86893242671351</v>
      </c>
      <c r="K15" s="122">
        <v>11.03255800857775</v>
      </c>
      <c r="L15" s="122">
        <v>11.17986449743208</v>
      </c>
      <c r="M15" s="122">
        <v>11.30831145619277</v>
      </c>
      <c r="N15" s="122">
        <v>11.415364845099729</v>
      </c>
      <c r="O15" s="122">
        <v>11.49853620735473</v>
      </c>
      <c r="P15" s="122">
        <v>11.55592047829303</v>
      </c>
      <c r="Q15" s="122">
        <v>11.58773667177088</v>
      </c>
      <c r="R15" s="122">
        <v>11.594879063180461</v>
      </c>
      <c r="S15" s="122">
        <v>11.57840694740244</v>
      </c>
      <c r="T15" s="122">
        <v>11.53952213342391</v>
      </c>
      <c r="U15" s="122">
        <v>11.479546070061421</v>
      </c>
      <c r="V15" s="122">
        <v>11.39989706271848</v>
      </c>
      <c r="W15" s="122">
        <v>11.302067993388469</v>
      </c>
      <c r="X15" s="122">
        <v>11.18760490309592</v>
      </c>
      <c r="Y15" s="122">
        <v>11.05808673986523</v>
      </c>
      <c r="Z15" s="122">
        <v>10.915106518144819</v>
      </c>
      <c r="AA15" s="122">
        <v>10.76025407918579</v>
      </c>
      <c r="AB15" s="122">
        <v>10.595100587703859</v>
      </c>
      <c r="AC15" s="122">
        <v>10.421184849478889</v>
      </c>
      <c r="AD15" s="122">
        <v>10.240001488323699</v>
      </c>
      <c r="AE15" s="122">
        <v>10.052990979760461</v>
      </c>
      <c r="AF15" s="122">
        <v>9.8615315031997781</v>
      </c>
      <c r="AG15" s="122">
        <v>9.6669325446139727</v>
      </c>
      <c r="AH15" s="122">
        <v>9.470430157621383</v>
      </c>
      <c r="AI15" s="122">
        <v>9.273183772373363</v>
      </c>
      <c r="AJ15" s="122">
        <v>9.0762744283476646</v>
      </c>
      <c r="AK15" s="122">
        <v>8.8807042986876503</v>
      </c>
      <c r="AL15" s="122">
        <v>8.6873973696035289</v>
      </c>
      <c r="AM15" s="122">
        <v>8.4972011380445043</v>
      </c>
      <c r="AN15" s="122">
        <v>8.3108891938199232</v>
      </c>
    </row>
    <row r="16" spans="1:40" x14ac:dyDescent="0.2">
      <c r="A16" s="123" t="s">
        <v>79</v>
      </c>
      <c r="B16" s="122">
        <v>11981.68421833607</v>
      </c>
      <c r="C16" s="122">
        <v>12042.617525531239</v>
      </c>
      <c r="D16" s="122">
        <v>12117.71721551838</v>
      </c>
      <c r="E16" s="122">
        <v>12203.44765578855</v>
      </c>
      <c r="F16" s="122">
        <v>12296.2021488062</v>
      </c>
      <c r="G16" s="122">
        <v>12392.276115242379</v>
      </c>
      <c r="H16" s="122">
        <v>12487.851258752829</v>
      </c>
      <c r="I16" s="122">
        <v>12578.991243285151</v>
      </c>
      <c r="J16" s="122">
        <v>12661.64950036454</v>
      </c>
      <c r="K16" s="122">
        <v>12731.614069688139</v>
      </c>
      <c r="L16" s="122">
        <v>12784.31173124501</v>
      </c>
      <c r="M16" s="122">
        <v>12815.081323900849</v>
      </c>
      <c r="N16" s="122">
        <v>12819.31825533407</v>
      </c>
      <c r="O16" s="122">
        <v>12792.559955502349</v>
      </c>
      <c r="P16" s="122">
        <v>12731.666675928929</v>
      </c>
      <c r="Q16" s="122">
        <v>12638.110263996739</v>
      </c>
      <c r="R16" s="122">
        <v>12514.652484420179</v>
      </c>
      <c r="S16" s="122">
        <v>12364.19697382957</v>
      </c>
      <c r="T16" s="122">
        <v>12189.733066103559</v>
      </c>
      <c r="U16" s="122">
        <v>11994.283997965489</v>
      </c>
      <c r="V16" s="122">
        <v>11780.860266806711</v>
      </c>
      <c r="W16" s="122">
        <v>11552.418660848291</v>
      </c>
      <c r="X16" s="122">
        <v>11311.827249245851</v>
      </c>
      <c r="Y16" s="122">
        <v>11061.836412705539</v>
      </c>
      <c r="Z16" s="122">
        <v>10805.05581757276</v>
      </c>
      <c r="AA16" s="122">
        <v>10543.93709019685</v>
      </c>
      <c r="AB16" s="122">
        <v>10280.76183398703</v>
      </c>
      <c r="AC16" s="122">
        <v>10017.634547894981</v>
      </c>
      <c r="AD16" s="122">
        <v>9756.4799499740566</v>
      </c>
      <c r="AE16" s="122">
        <v>9499.0441802863515</v>
      </c>
      <c r="AF16" s="122">
        <v>9246.8993504232712</v>
      </c>
      <c r="AG16" s="122">
        <v>9001.4509187082549</v>
      </c>
      <c r="AH16" s="122">
        <v>8763.9473972046308</v>
      </c>
      <c r="AI16" s="122">
        <v>8535.49193556305</v>
      </c>
      <c r="AJ16" s="122">
        <v>8317.055374412741</v>
      </c>
      <c r="AK16" s="122">
        <v>8109.4904147141506</v>
      </c>
      <c r="AL16" s="122">
        <v>7913.5466069706363</v>
      </c>
      <c r="AM16" s="122">
        <v>7729.8859236389526</v>
      </c>
      <c r="AN16" s="122">
        <v>7559.0987381478926</v>
      </c>
    </row>
    <row r="17" spans="1:40" x14ac:dyDescent="0.2">
      <c r="A17" s="123" t="s">
        <v>80</v>
      </c>
      <c r="B17" s="122">
        <v>6627.9200426937196</v>
      </c>
      <c r="C17" s="122">
        <v>6756.8909367718261</v>
      </c>
      <c r="D17" s="122">
        <v>6887.9359134349188</v>
      </c>
      <c r="E17" s="122">
        <v>7019.6758911298384</v>
      </c>
      <c r="F17" s="122">
        <v>7150.6254702400092</v>
      </c>
      <c r="G17" s="122">
        <v>7279.1931683779549</v>
      </c>
      <c r="H17" s="122">
        <v>7403.6850075329876</v>
      </c>
      <c r="I17" s="122">
        <v>7522.311815967073</v>
      </c>
      <c r="J17" s="122">
        <v>7633.2005736864658</v>
      </c>
      <c r="K17" s="122">
        <v>7734.4562159509314</v>
      </c>
      <c r="L17" s="122">
        <v>7824.3245057005997</v>
      </c>
      <c r="M17" s="122">
        <v>7901.0836661010717</v>
      </c>
      <c r="N17" s="122">
        <v>7963.0232754492008</v>
      </c>
      <c r="O17" s="122">
        <v>8008.4710070058754</v>
      </c>
      <c r="P17" s="122">
        <v>8036.1685177401314</v>
      </c>
      <c r="Q17" s="122">
        <v>8046.3456247665454</v>
      </c>
      <c r="R17" s="122">
        <v>8039.6972426020893</v>
      </c>
      <c r="S17" s="122">
        <v>8017.0245005424904</v>
      </c>
      <c r="T17" s="122">
        <v>7979.2188142122004</v>
      </c>
      <c r="U17" s="122">
        <v>7927.2458825111526</v>
      </c>
      <c r="V17" s="122">
        <v>7862.1299132937984</v>
      </c>
      <c r="W17" s="122">
        <v>7784.938345595895</v>
      </c>
      <c r="X17" s="122">
        <v>7696.7672978523506</v>
      </c>
      <c r="Y17" s="122">
        <v>7598.7279318028177</v>
      </c>
      <c r="Z17" s="122">
        <v>7491.9338819892064</v>
      </c>
      <c r="AA17" s="122">
        <v>7377.4898620623708</v>
      </c>
      <c r="AB17" s="122">
        <v>7256.4815224916738</v>
      </c>
      <c r="AC17" s="122">
        <v>7129.9666004683322</v>
      </c>
      <c r="AD17" s="122">
        <v>6998.967372374871</v>
      </c>
      <c r="AE17" s="122">
        <v>6864.4643925318014</v>
      </c>
      <c r="AF17" s="122">
        <v>6727.3914792360783</v>
      </c>
      <c r="AG17" s="122">
        <v>6588.631890428218</v>
      </c>
      <c r="AH17" s="122">
        <v>6449.0156165917197</v>
      </c>
      <c r="AI17" s="122">
        <v>6309.3177075236699</v>
      </c>
      <c r="AJ17" s="122">
        <v>6170.2575421584652</v>
      </c>
      <c r="AK17" s="122">
        <v>6032.4989463601514</v>
      </c>
      <c r="AL17" s="122">
        <v>5896.6510621671232</v>
      </c>
      <c r="AM17" s="122">
        <v>5763.2698729996619</v>
      </c>
      <c r="AN17" s="122">
        <v>5632.8602924468369</v>
      </c>
    </row>
    <row r="18" spans="1:40" x14ac:dyDescent="0.2">
      <c r="A18" s="123" t="s">
        <v>81</v>
      </c>
      <c r="B18" s="122">
        <v>7272.1184742926107</v>
      </c>
      <c r="C18" s="122">
        <v>7446.4365840707296</v>
      </c>
      <c r="D18" s="122">
        <v>7621.3717792656898</v>
      </c>
      <c r="E18" s="122">
        <v>7795.5786575871789</v>
      </c>
      <c r="F18" s="122">
        <v>7967.6010860733104</v>
      </c>
      <c r="G18" s="122">
        <v>8135.87515481833</v>
      </c>
      <c r="H18" s="122">
        <v>8298.7349540292071</v>
      </c>
      <c r="I18" s="122">
        <v>8454.4214487293593</v>
      </c>
      <c r="J18" s="122">
        <v>8601.0946870918779</v>
      </c>
      <c r="K18" s="122">
        <v>8736.8391860834327</v>
      </c>
      <c r="L18" s="122">
        <v>8859.6511028044461</v>
      </c>
      <c r="M18" s="122">
        <v>8967.4906757135686</v>
      </c>
      <c r="N18" s="122">
        <v>9058.3199683905677</v>
      </c>
      <c r="O18" s="122">
        <v>9130.1342287435655</v>
      </c>
      <c r="P18" s="122">
        <v>9181.3882990701495</v>
      </c>
      <c r="Q18" s="122">
        <v>9212.219403530351</v>
      </c>
      <c r="R18" s="122">
        <v>9223.3032366317839</v>
      </c>
      <c r="S18" s="122">
        <v>9215.4504746849689</v>
      </c>
      <c r="T18" s="122">
        <v>9189.5890526144176</v>
      </c>
      <c r="U18" s="122">
        <v>9146.7460616428252</v>
      </c>
      <c r="V18" s="122">
        <v>9088.0296404147011</v>
      </c>
      <c r="W18" s="122">
        <v>9014.6111954259868</v>
      </c>
      <c r="X18" s="122">
        <v>8927.7082453227849</v>
      </c>
      <c r="Y18" s="122">
        <v>8828.5681395119082</v>
      </c>
      <c r="Z18" s="122">
        <v>8718.4528562330197</v>
      </c>
      <c r="AA18" s="122">
        <v>8598.6250402417099</v>
      </c>
      <c r="AB18" s="122">
        <v>8470.3353968021529</v>
      </c>
      <c r="AC18" s="122">
        <v>8334.8115178206499</v>
      </c>
      <c r="AD18" s="122">
        <v>8193.2481784709835</v>
      </c>
      <c r="AE18" s="122">
        <v>8046.7991091558388</v>
      </c>
      <c r="AF18" s="122">
        <v>7896.5702184897991</v>
      </c>
      <c r="AG18" s="122">
        <v>7743.6142183675274</v>
      </c>
      <c r="AH18" s="122">
        <v>7588.9265821177059</v>
      </c>
      <c r="AI18" s="122">
        <v>7433.4427511262247</v>
      </c>
      <c r="AJ18" s="122">
        <v>7278.0364939088176</v>
      </c>
      <c r="AK18" s="122">
        <v>7123.5193141177424</v>
      </c>
      <c r="AL18" s="122">
        <v>6970.6407999995818</v>
      </c>
      <c r="AM18" s="122">
        <v>6820.089806976639</v>
      </c>
      <c r="AN18" s="122">
        <v>6672.4963668735109</v>
      </c>
    </row>
    <row r="19" spans="1:40" x14ac:dyDescent="0.2">
      <c r="A19" s="123" t="s">
        <v>82</v>
      </c>
      <c r="B19" s="122">
        <v>9019.4531857153415</v>
      </c>
      <c r="C19" s="122">
        <v>9145.8834128196177</v>
      </c>
      <c r="D19" s="122">
        <v>9278.0555285187238</v>
      </c>
      <c r="E19" s="122">
        <v>9413.7519402266189</v>
      </c>
      <c r="F19" s="122">
        <v>9550.6214333583721</v>
      </c>
      <c r="G19" s="122">
        <v>9686.1732241262343</v>
      </c>
      <c r="H19" s="122">
        <v>9817.7772401090133</v>
      </c>
      <c r="I19" s="122">
        <v>9942.6712525688654</v>
      </c>
      <c r="J19" s="122">
        <v>10057.975456165161</v>
      </c>
      <c r="K19" s="122">
        <v>10160.86410994017</v>
      </c>
      <c r="L19" s="122">
        <v>10249.054002346091</v>
      </c>
      <c r="M19" s="122">
        <v>10320.40749359827</v>
      </c>
      <c r="N19" s="122">
        <v>10372.816483090741</v>
      </c>
      <c r="O19" s="122">
        <v>10404.235826720769</v>
      </c>
      <c r="P19" s="122">
        <v>10413.174450021001</v>
      </c>
      <c r="Q19" s="122">
        <v>10400.0930117361</v>
      </c>
      <c r="R19" s="122">
        <v>10366.043920047019</v>
      </c>
      <c r="S19" s="122">
        <v>10312.197617313641</v>
      </c>
      <c r="T19" s="122">
        <v>10239.82159004315</v>
      </c>
      <c r="U19" s="122">
        <v>10150.259666132881</v>
      </c>
      <c r="V19" s="122">
        <v>10044.91195179354</v>
      </c>
      <c r="W19" s="122">
        <v>9925.2157105631813</v>
      </c>
      <c r="X19" s="122">
        <v>9792.6274349043942</v>
      </c>
      <c r="Y19" s="122">
        <v>9648.6063087874463</v>
      </c>
      <c r="Z19" s="122">
        <v>9494.5992089154151</v>
      </c>
      <c r="AA19" s="122">
        <v>9332.0273441162153</v>
      </c>
      <c r="AB19" s="122">
        <v>9162.2745879177546</v>
      </c>
      <c r="AC19" s="122">
        <v>8986.6775191884517</v>
      </c>
      <c r="AD19" s="122">
        <v>8806.5171504755817</v>
      </c>
      <c r="AE19" s="122">
        <v>8623.0122935924319</v>
      </c>
      <c r="AF19" s="122">
        <v>8437.3144871761451</v>
      </c>
      <c r="AG19" s="122">
        <v>8250.50439127973</v>
      </c>
      <c r="AH19" s="122">
        <v>8063.5895393476221</v>
      </c>
      <c r="AI19" s="122">
        <v>7877.5033278239243</v>
      </c>
      <c r="AJ19" s="122">
        <v>7693.1051177426134</v>
      </c>
      <c r="AK19" s="122">
        <v>7511.1813204849777</v>
      </c>
      <c r="AL19" s="122">
        <v>7332.4473409698094</v>
      </c>
      <c r="AM19" s="122">
        <v>7157.5502553649112</v>
      </c>
      <c r="AN19" s="122">
        <v>6987.0721064886457</v>
      </c>
    </row>
    <row r="20" spans="1:40" x14ac:dyDescent="0.2">
      <c r="A20" s="123" t="s">
        <v>83</v>
      </c>
      <c r="B20" s="122">
        <v>8119.836142530613</v>
      </c>
      <c r="C20" s="122">
        <v>7998.2610304436976</v>
      </c>
      <c r="D20" s="122">
        <v>7899.2928732576574</v>
      </c>
      <c r="E20" s="122">
        <v>7818.426273969977</v>
      </c>
      <c r="F20" s="122">
        <v>7751.4529305346186</v>
      </c>
      <c r="G20" s="122">
        <v>7694.3807949262164</v>
      </c>
      <c r="H20" s="122">
        <v>7643.3752673262843</v>
      </c>
      <c r="I20" s="122">
        <v>7594.7203647612096</v>
      </c>
      <c r="J20" s="122">
        <v>7544.798477576539</v>
      </c>
      <c r="K20" s="122">
        <v>7490.4053576213082</v>
      </c>
      <c r="L20" s="122">
        <v>7429.6961675340744</v>
      </c>
      <c r="M20" s="122">
        <v>7361.2148774993757</v>
      </c>
      <c r="N20" s="122">
        <v>7283.5867458851226</v>
      </c>
      <c r="O20" s="122">
        <v>7195.5353546844472</v>
      </c>
      <c r="P20" s="122">
        <v>7096.2604841127568</v>
      </c>
      <c r="Q20" s="122">
        <v>6986.4901670474574</v>
      </c>
      <c r="R20" s="122">
        <v>6867.3316583565438</v>
      </c>
      <c r="S20" s="122">
        <v>6739.8907963498168</v>
      </c>
      <c r="T20" s="122">
        <v>6605.2607449447996</v>
      </c>
      <c r="U20" s="122">
        <v>6464.5119418325075</v>
      </c>
      <c r="V20" s="122">
        <v>6318.6832973471101</v>
      </c>
      <c r="W20" s="122">
        <v>6168.7746589878689</v>
      </c>
      <c r="X20" s="122">
        <v>6015.7405301170384</v>
      </c>
      <c r="Y20" s="122">
        <v>5860.4850085210728</v>
      </c>
      <c r="Z20" s="122">
        <v>5703.8578913904821</v>
      </c>
      <c r="AA20" s="122">
        <v>5546.651877833594</v>
      </c>
      <c r="AB20" s="122">
        <v>5389.6007881749483</v>
      </c>
      <c r="AC20" s="122">
        <v>5233.3787107965682</v>
      </c>
      <c r="AD20" s="122">
        <v>5078.5999818924529</v>
      </c>
      <c r="AE20" s="122">
        <v>4925.8199009081027</v>
      </c>
      <c r="AF20" s="122">
        <v>4775.536084284623</v>
      </c>
      <c r="AG20" s="122">
        <v>4628.1903620638268</v>
      </c>
      <c r="AH20" s="122">
        <v>4484.171125581157</v>
      </c>
      <c r="AI20" s="122">
        <v>4343.816039529318</v>
      </c>
      <c r="AJ20" s="122">
        <v>4207.4150377945243</v>
      </c>
      <c r="AK20" s="122">
        <v>4075.2135293465399</v>
      </c>
      <c r="AL20" s="122">
        <v>3947.4157478363632</v>
      </c>
      <c r="AM20" s="122">
        <v>3824.1881861857319</v>
      </c>
      <c r="AN20" s="122">
        <v>3705.663065139624</v>
      </c>
    </row>
    <row r="21" spans="1:40" x14ac:dyDescent="0.2">
      <c r="A21" s="123" t="s">
        <v>84</v>
      </c>
      <c r="B21" s="122">
        <v>5144.2443998897388</v>
      </c>
      <c r="C21" s="122">
        <v>5080.3696367662769</v>
      </c>
      <c r="D21" s="122">
        <v>5028.2458611526235</v>
      </c>
      <c r="E21" s="122">
        <v>4985.5065053375238</v>
      </c>
      <c r="F21" s="122">
        <v>4949.9153719238248</v>
      </c>
      <c r="G21" s="122">
        <v>4919.3313865700811</v>
      </c>
      <c r="H21" s="122">
        <v>4891.68314855064</v>
      </c>
      <c r="I21" s="122">
        <v>4864.9525175163699</v>
      </c>
      <c r="J21" s="122">
        <v>4837.1667197474317</v>
      </c>
      <c r="K21" s="122">
        <v>4806.5392828522718</v>
      </c>
      <c r="L21" s="122">
        <v>4771.8919245642719</v>
      </c>
      <c r="M21" s="122">
        <v>4732.2289782692287</v>
      </c>
      <c r="N21" s="122">
        <v>4686.6048359216702</v>
      </c>
      <c r="O21" s="122">
        <v>4634.135641642154</v>
      </c>
      <c r="P21" s="122">
        <v>4574.2507684238262</v>
      </c>
      <c r="Q21" s="122">
        <v>4507.3937371464308</v>
      </c>
      <c r="R21" s="122">
        <v>4434.2626859721968</v>
      </c>
      <c r="S21" s="122">
        <v>4355.5582323774852</v>
      </c>
      <c r="T21" s="122">
        <v>4271.976086130423</v>
      </c>
      <c r="U21" s="122">
        <v>4184.2003983339691</v>
      </c>
      <c r="V21" s="122">
        <v>4092.8978831347822</v>
      </c>
      <c r="W21" s="122">
        <v>3998.7127293730982</v>
      </c>
      <c r="X21" s="122">
        <v>3902.262302087101</v>
      </c>
      <c r="Y21" s="122">
        <v>3804.1336185879859</v>
      </c>
      <c r="Z21" s="122">
        <v>3704.8805708978061</v>
      </c>
      <c r="AA21" s="122">
        <v>3605.0218557177291</v>
      </c>
      <c r="AB21" s="122">
        <v>3505.0395647238552</v>
      </c>
      <c r="AC21" s="122">
        <v>3405.3783817696899</v>
      </c>
      <c r="AD21" s="122">
        <v>3306.4453293591018</v>
      </c>
      <c r="AE21" s="122">
        <v>3208.6100043585411</v>
      </c>
      <c r="AF21" s="122">
        <v>3112.205242138396</v>
      </c>
      <c r="AG21" s="122">
        <v>3017.5281489519289</v>
      </c>
      <c r="AH21" s="122">
        <v>2924.841444156144</v>
      </c>
      <c r="AI21" s="122">
        <v>2834.375056634457</v>
      </c>
      <c r="AJ21" s="122">
        <v>2746.3279232889272</v>
      </c>
      <c r="AK21" s="122">
        <v>2660.869941537072</v>
      </c>
      <c r="AL21" s="122">
        <v>2578.144032199426</v>
      </c>
      <c r="AM21" s="122">
        <v>2498.2682738442081</v>
      </c>
      <c r="AN21" s="122">
        <v>2421.3380744300439</v>
      </c>
    </row>
    <row r="22" spans="1:40" x14ac:dyDescent="0.2">
      <c r="A22" s="123" t="s">
        <v>85</v>
      </c>
      <c r="B22" s="122">
        <v>3355.3629553285882</v>
      </c>
      <c r="C22" s="122">
        <v>3311.1935264412541</v>
      </c>
      <c r="D22" s="122">
        <v>3277.2576475308801</v>
      </c>
      <c r="E22" s="122">
        <v>3251.4674996645931</v>
      </c>
      <c r="F22" s="122">
        <v>3231.8627412765841</v>
      </c>
      <c r="G22" s="122">
        <v>3216.5692450174338</v>
      </c>
      <c r="H22" s="122">
        <v>3203.769463120731</v>
      </c>
      <c r="I22" s="122">
        <v>3191.6834616210631</v>
      </c>
      <c r="J22" s="122">
        <v>3178.5600477123962</v>
      </c>
      <c r="K22" s="122">
        <v>3162.866265428564</v>
      </c>
      <c r="L22" s="122">
        <v>3143.854213071867</v>
      </c>
      <c r="M22" s="122">
        <v>3120.990093137279</v>
      </c>
      <c r="N22" s="122">
        <v>3093.7702891772401</v>
      </c>
      <c r="O22" s="122">
        <v>3061.7285420178641</v>
      </c>
      <c r="P22" s="122">
        <v>3024.5837431203531</v>
      </c>
      <c r="Q22" s="122">
        <v>2982.6524715970809</v>
      </c>
      <c r="R22" s="122">
        <v>2936.4033307035888</v>
      </c>
      <c r="S22" s="122">
        <v>2886.308049231337</v>
      </c>
      <c r="T22" s="122">
        <v>2832.8362795252292</v>
      </c>
      <c r="U22" s="122">
        <v>2776.4509021551962</v>
      </c>
      <c r="V22" s="122">
        <v>2717.6038658630268</v>
      </c>
      <c r="W22" s="122">
        <v>2656.7325773480852</v>
      </c>
      <c r="X22" s="122">
        <v>2594.256842794372</v>
      </c>
      <c r="Y22" s="122">
        <v>2530.5763519355392</v>
      </c>
      <c r="Z22" s="122">
        <v>2466.0686859908769</v>
      </c>
      <c r="AA22" s="122">
        <v>2401.087823010253</v>
      </c>
      <c r="AB22" s="122">
        <v>2335.9631080108288</v>
      </c>
      <c r="AC22" s="122">
        <v>2270.9986507014851</v>
      </c>
      <c r="AD22" s="122">
        <v>2206.4731104646989</v>
      </c>
      <c r="AE22" s="122">
        <v>2142.6398264682489</v>
      </c>
      <c r="AF22" s="122">
        <v>2079.7272501602838</v>
      </c>
      <c r="AG22" s="122">
        <v>2017.9396378023571</v>
      </c>
      <c r="AH22" s="122">
        <v>1957.4579619538099</v>
      </c>
      <c r="AI22" s="122">
        <v>1898.441002778492</v>
      </c>
      <c r="AJ22" s="122">
        <v>1841.0265825493029</v>
      </c>
      <c r="AK22" s="122">
        <v>1785.3329096368441</v>
      </c>
      <c r="AL22" s="122">
        <v>1731.460001457416</v>
      </c>
      <c r="AM22" s="122">
        <v>1679.491159210552</v>
      </c>
      <c r="AN22" s="122">
        <v>1629.494470659725</v>
      </c>
    </row>
    <row r="23" spans="1:40" x14ac:dyDescent="0.2">
      <c r="A23" s="123" t="s">
        <v>86</v>
      </c>
      <c r="B23" s="122">
        <v>3069.0985404160142</v>
      </c>
      <c r="C23" s="122">
        <v>3074.9669372721828</v>
      </c>
      <c r="D23" s="122">
        <v>3085.584710717701</v>
      </c>
      <c r="E23" s="122">
        <v>3099.8085012299548</v>
      </c>
      <c r="F23" s="122">
        <v>3116.4889105207881</v>
      </c>
      <c r="G23" s="122">
        <v>3134.4590376026199</v>
      </c>
      <c r="H23" s="122">
        <v>3152.5273681318808</v>
      </c>
      <c r="I23" s="122">
        <v>3169.475131329772</v>
      </c>
      <c r="J23" s="122">
        <v>3184.0582907073158</v>
      </c>
      <c r="K23" s="122">
        <v>3195.124228835291</v>
      </c>
      <c r="L23" s="122">
        <v>3201.9549119049911</v>
      </c>
      <c r="M23" s="122">
        <v>3203.9518824715328</v>
      </c>
      <c r="N23" s="122">
        <v>3200.5355245599671</v>
      </c>
      <c r="O23" s="122">
        <v>3191.154251685829</v>
      </c>
      <c r="P23" s="122">
        <v>3175.4368470743138</v>
      </c>
      <c r="Q23" s="122">
        <v>3153.6221463798688</v>
      </c>
      <c r="R23" s="122">
        <v>3126.1208226764102</v>
      </c>
      <c r="S23" s="122">
        <v>3093.365364843834</v>
      </c>
      <c r="T23" s="122">
        <v>3055.8037975165848</v>
      </c>
      <c r="U23" s="122">
        <v>3013.893720070153</v>
      </c>
      <c r="V23" s="122">
        <v>2968.0967397968629</v>
      </c>
      <c r="W23" s="122">
        <v>2918.8733580889939</v>
      </c>
      <c r="X23" s="122">
        <v>2866.6783526058589</v>
      </c>
      <c r="Y23" s="122">
        <v>2811.9566834371171</v>
      </c>
      <c r="Z23" s="122">
        <v>2755.1399374898779</v>
      </c>
      <c r="AA23" s="122">
        <v>2696.6433129459201</v>
      </c>
      <c r="AB23" s="122">
        <v>2636.8631348061099</v>
      </c>
      <c r="AC23" s="122">
        <v>2576.174883340957</v>
      </c>
      <c r="AD23" s="122">
        <v>2514.9317097179119</v>
      </c>
      <c r="AE23" s="122">
        <v>2453.463407143548</v>
      </c>
      <c r="AF23" s="122">
        <v>2392.0758014661728</v>
      </c>
      <c r="AG23" s="122">
        <v>2331.0505222225161</v>
      </c>
      <c r="AH23" s="122">
        <v>2270.6451134475678</v>
      </c>
      <c r="AI23" s="122">
        <v>2211.0934430509101</v>
      </c>
      <c r="AJ23" s="122">
        <v>2152.6063700383729</v>
      </c>
      <c r="AK23" s="122">
        <v>2095.3726301669349</v>
      </c>
      <c r="AL23" s="122">
        <v>2039.5599026074001</v>
      </c>
      <c r="AM23" s="122">
        <v>1985.3160227080409</v>
      </c>
      <c r="AN23" s="122">
        <v>1932.770308866455</v>
      </c>
    </row>
    <row r="24" spans="1:40" x14ac:dyDescent="0.2">
      <c r="A24" s="123" t="s">
        <v>87</v>
      </c>
      <c r="B24" s="122">
        <v>1802.133487467564</v>
      </c>
      <c r="C24" s="122">
        <v>1803.328477728581</v>
      </c>
      <c r="D24" s="122">
        <v>1807.508599572305</v>
      </c>
      <c r="E24" s="122">
        <v>1813.972494872085</v>
      </c>
      <c r="F24" s="122">
        <v>1822.019263709489</v>
      </c>
      <c r="G24" s="122">
        <v>1830.9408722741459</v>
      </c>
      <c r="H24" s="122">
        <v>1840.017317756912</v>
      </c>
      <c r="I24" s="122">
        <v>1848.5145963603641</v>
      </c>
      <c r="J24" s="122">
        <v>1855.6855584528639</v>
      </c>
      <c r="K24" s="122">
        <v>1860.8415792036319</v>
      </c>
      <c r="L24" s="122">
        <v>1863.563671190404</v>
      </c>
      <c r="M24" s="122">
        <v>1863.507022356687</v>
      </c>
      <c r="N24" s="122">
        <v>1860.3383506985699</v>
      </c>
      <c r="O24" s="122">
        <v>1853.741169807859</v>
      </c>
      <c r="P24" s="122">
        <v>1843.5043763964611</v>
      </c>
      <c r="Q24" s="122">
        <v>1829.771890850976</v>
      </c>
      <c r="R24" s="122">
        <v>1812.7868337587231</v>
      </c>
      <c r="S24" s="122">
        <v>1792.80411222265</v>
      </c>
      <c r="T24" s="122">
        <v>1770.0867973381889</v>
      </c>
      <c r="U24" s="122">
        <v>1744.9026991516971</v>
      </c>
      <c r="V24" s="122">
        <v>1717.52118063482</v>
      </c>
      <c r="W24" s="122">
        <v>1688.2102427333041</v>
      </c>
      <c r="X24" s="122">
        <v>1657.2339034159349</v>
      </c>
      <c r="Y24" s="122">
        <v>1624.8498850722119</v>
      </c>
      <c r="Z24" s="122">
        <v>1591.307616752076</v>
      </c>
      <c r="AA24" s="122">
        <v>1556.8465507273379</v>
      </c>
      <c r="AB24" s="122">
        <v>1521.6947867593531</v>
      </c>
      <c r="AC24" s="122">
        <v>1486.0679923185251</v>
      </c>
      <c r="AD24" s="122">
        <v>1450.168602821803</v>
      </c>
      <c r="AE24" s="122">
        <v>1414.1852827084249</v>
      </c>
      <c r="AF24" s="122">
        <v>1378.292625812858</v>
      </c>
      <c r="AG24" s="122">
        <v>1342.651071949394</v>
      </c>
      <c r="AH24" s="122">
        <v>1307.407015815462</v>
      </c>
      <c r="AI24" s="122">
        <v>1272.6930841617609</v>
      </c>
      <c r="AJ24" s="122">
        <v>1238.628557575013</v>
      </c>
      <c r="AK24" s="122">
        <v>1205.3199140809891</v>
      </c>
      <c r="AL24" s="122">
        <v>1172.861473012096</v>
      </c>
      <c r="AM24" s="122">
        <v>1141.3361191108861</v>
      </c>
      <c r="AN24" s="122">
        <v>1110.8160885809691</v>
      </c>
    </row>
    <row r="25" spans="1:40" x14ac:dyDescent="0.2">
      <c r="A25" s="123" t="s">
        <v>88</v>
      </c>
      <c r="B25" s="122">
        <v>4094.0668183633061</v>
      </c>
      <c r="C25" s="122">
        <v>4083.5417121216051</v>
      </c>
      <c r="D25" s="122">
        <v>4074.87885817504</v>
      </c>
      <c r="E25" s="122">
        <v>4067.4905352736218</v>
      </c>
      <c r="F25" s="122">
        <v>4060.7948474631648</v>
      </c>
      <c r="G25" s="122">
        <v>4054.214323575904</v>
      </c>
      <c r="H25" s="122">
        <v>4047.1753434132352</v>
      </c>
      <c r="I25" s="122">
        <v>4039.108379709995</v>
      </c>
      <c r="J25" s="122">
        <v>4029.449045634045</v>
      </c>
      <c r="K25" s="122">
        <v>4017.556102300447</v>
      </c>
      <c r="L25" s="122">
        <v>4002.4650454923458</v>
      </c>
      <c r="M25" s="122">
        <v>3983.1493893157322</v>
      </c>
      <c r="N25" s="122">
        <v>3958.6146314030921</v>
      </c>
      <c r="O25" s="122">
        <v>3927.91040280477</v>
      </c>
      <c r="P25" s="122">
        <v>3890.3699251793319</v>
      </c>
      <c r="Q25" s="122">
        <v>3846.2807543595341</v>
      </c>
      <c r="R25" s="122">
        <v>3796.179384133015</v>
      </c>
      <c r="S25" s="122">
        <v>3740.6152357513552</v>
      </c>
      <c r="T25" s="122">
        <v>3680.1440964453768</v>
      </c>
      <c r="U25" s="122">
        <v>3615.3220361944759</v>
      </c>
      <c r="V25" s="122">
        <v>3546.699857496295</v>
      </c>
      <c r="W25" s="122">
        <v>3474.8181165974811</v>
      </c>
      <c r="X25" s="122">
        <v>3400.202739386023</v>
      </c>
      <c r="Y25" s="122">
        <v>3323.36124118107</v>
      </c>
      <c r="Z25" s="122">
        <v>3244.7795471847389</v>
      </c>
      <c r="AA25" s="122">
        <v>3164.91939950705</v>
      </c>
      <c r="AB25" s="122">
        <v>3084.216327501495</v>
      </c>
      <c r="AC25" s="122">
        <v>3003.0781506595731</v>
      </c>
      <c r="AD25" s="122">
        <v>2921.883977463488</v>
      </c>
      <c r="AE25" s="122">
        <v>2840.983659304145</v>
      </c>
      <c r="AF25" s="122">
        <v>2760.697655722764</v>
      </c>
      <c r="AG25" s="122">
        <v>2681.3172656924262</v>
      </c>
      <c r="AH25" s="122">
        <v>2603.1051792697249</v>
      </c>
      <c r="AI25" s="122">
        <v>2526.2963045584829</v>
      </c>
      <c r="AJ25" s="122">
        <v>2451.0988263772761</v>
      </c>
      <c r="AK25" s="122">
        <v>2377.6954551537092</v>
      </c>
      <c r="AL25" s="122">
        <v>2306.2448272328761</v>
      </c>
      <c r="AM25" s="122">
        <v>2236.8830208468698</v>
      </c>
      <c r="AN25" s="122">
        <v>2169.7251553218339</v>
      </c>
    </row>
    <row r="26" spans="1:40" x14ac:dyDescent="0.2">
      <c r="A26" s="123" t="s">
        <v>89</v>
      </c>
      <c r="B26" s="122">
        <v>1947.952829944534</v>
      </c>
      <c r="C26" s="122">
        <v>1974.4765775956921</v>
      </c>
      <c r="D26" s="122">
        <v>2002.2910162683841</v>
      </c>
      <c r="E26" s="122">
        <v>2030.91090088753</v>
      </c>
      <c r="F26" s="122">
        <v>2059.8225044781202</v>
      </c>
      <c r="G26" s="122">
        <v>2088.4822075793468</v>
      </c>
      <c r="H26" s="122">
        <v>2116.316464241318</v>
      </c>
      <c r="I26" s="122">
        <v>2142.723280565348</v>
      </c>
      <c r="J26" s="122">
        <v>2167.0753361405891</v>
      </c>
      <c r="K26" s="122">
        <v>2188.7583928128129</v>
      </c>
      <c r="L26" s="122">
        <v>2207.2808598001029</v>
      </c>
      <c r="M26" s="122">
        <v>2222.1841510658842</v>
      </c>
      <c r="N26" s="122">
        <v>2233.0162694620758</v>
      </c>
      <c r="O26" s="122">
        <v>2239.3389771082379</v>
      </c>
      <c r="P26" s="122">
        <v>2240.8335420146959</v>
      </c>
      <c r="Q26" s="122">
        <v>2237.6015923987102</v>
      </c>
      <c r="R26" s="122">
        <v>2229.8719125715938</v>
      </c>
      <c r="S26" s="122">
        <v>2217.8983678733798</v>
      </c>
      <c r="T26" s="122">
        <v>2201.9553850261918</v>
      </c>
      <c r="U26" s="122">
        <v>2182.3335002041499</v>
      </c>
      <c r="V26" s="122">
        <v>2159.3350499671478</v>
      </c>
      <c r="W26" s="122">
        <v>2133.270069396418</v>
      </c>
      <c r="X26" s="122">
        <v>2104.4524505747472</v>
      </c>
      <c r="Y26" s="122">
        <v>2073.196403346029</v>
      </c>
      <c r="Z26" s="122">
        <v>2039.8132493910141</v>
      </c>
      <c r="AA26" s="122">
        <v>2004.6085703383851</v>
      </c>
      <c r="AB26" s="122">
        <v>1967.879721105435</v>
      </c>
      <c r="AC26" s="122">
        <v>1929.913711089376</v>
      </c>
      <c r="AD26" s="122">
        <v>1890.9854483145671</v>
      </c>
      <c r="AE26" s="122">
        <v>1851.356335240509</v>
      </c>
      <c r="AF26" s="122">
        <v>1811.273199666553</v>
      </c>
      <c r="AG26" s="122">
        <v>1770.9675400107969</v>
      </c>
      <c r="AH26" s="122">
        <v>1730.6550611432581</v>
      </c>
      <c r="AI26" s="122">
        <v>1690.5354748434979</v>
      </c>
      <c r="AJ26" s="122">
        <v>1650.792537741203</v>
      </c>
      <c r="AK26" s="122">
        <v>1611.594299183628</v>
      </c>
      <c r="AL26" s="122">
        <v>1573.0935317503261</v>
      </c>
      <c r="AM26" s="122">
        <v>1535.4283179954191</v>
      </c>
      <c r="AN26" s="122">
        <v>1498.7227683358781</v>
      </c>
    </row>
    <row r="27" spans="1:40" x14ac:dyDescent="0.2">
      <c r="A27" s="123" t="s">
        <v>90</v>
      </c>
      <c r="B27" s="122">
        <v>2335.083832377868</v>
      </c>
      <c r="C27" s="122">
        <v>2351.6626596700789</v>
      </c>
      <c r="D27" s="122">
        <v>2370.8682163354961</v>
      </c>
      <c r="E27" s="122">
        <v>2391.974910955752</v>
      </c>
      <c r="F27" s="122">
        <v>2414.2353766732122</v>
      </c>
      <c r="G27" s="122">
        <v>2436.875560476351</v>
      </c>
      <c r="H27" s="122">
        <v>2459.092234815761</v>
      </c>
      <c r="I27" s="122">
        <v>2480.0530861044681</v>
      </c>
      <c r="J27" s="122">
        <v>2498.8995454830201</v>
      </c>
      <c r="K27" s="122">
        <v>2514.817605418888</v>
      </c>
      <c r="L27" s="122">
        <v>2527.2443509744148</v>
      </c>
      <c r="M27" s="122">
        <v>2535.685819248738</v>
      </c>
      <c r="N27" s="122">
        <v>2539.659719328909</v>
      </c>
      <c r="O27" s="122">
        <v>2538.703126675679</v>
      </c>
      <c r="P27" s="122">
        <v>2532.4931206247061</v>
      </c>
      <c r="Q27" s="122">
        <v>2521.1883398788959</v>
      </c>
      <c r="R27" s="122">
        <v>2505.0875540401962</v>
      </c>
      <c r="S27" s="122">
        <v>2484.5118754618829</v>
      </c>
      <c r="T27" s="122">
        <v>2459.7996614821182</v>
      </c>
      <c r="U27" s="122">
        <v>2431.3015964559768</v>
      </c>
      <c r="V27" s="122">
        <v>2399.3760250952751</v>
      </c>
      <c r="W27" s="122">
        <v>2364.3845957561412</v>
      </c>
      <c r="X27" s="122">
        <v>2326.6882594899739</v>
      </c>
      <c r="Y27" s="122">
        <v>2286.6436582547599</v>
      </c>
      <c r="Z27" s="122">
        <v>2244.5999239700868</v>
      </c>
      <c r="AA27" s="122">
        <v>2200.895899324702</v>
      </c>
      <c r="AB27" s="122">
        <v>2155.857781583341</v>
      </c>
      <c r="AC27" s="122">
        <v>2109.7971822022209</v>
      </c>
      <c r="AD27" s="122">
        <v>2063.0095879099572</v>
      </c>
      <c r="AE27" s="122">
        <v>2015.7732030538079</v>
      </c>
      <c r="AF27" s="122">
        <v>1968.3481484217691</v>
      </c>
      <c r="AG27" s="122">
        <v>1920.975988367245</v>
      </c>
      <c r="AH27" s="122">
        <v>1873.8795557977139</v>
      </c>
      <c r="AI27" s="122">
        <v>1827.2630433366439</v>
      </c>
      <c r="AJ27" s="122">
        <v>1781.312328611662</v>
      </c>
      <c r="AK27" s="122">
        <v>1736.1955020382561</v>
      </c>
      <c r="AL27" s="122">
        <v>1692.0635665335101</v>
      </c>
      <c r="AM27" s="122">
        <v>1649.051280187382</v>
      </c>
      <c r="AN27" s="122">
        <v>1607.2781149259949</v>
      </c>
    </row>
    <row r="28" spans="1:40" x14ac:dyDescent="0.2">
      <c r="A28" s="123" t="s">
        <v>91</v>
      </c>
      <c r="B28" s="122">
        <v>6224.4128368227912</v>
      </c>
      <c r="C28" s="122">
        <v>6180.4949419314253</v>
      </c>
      <c r="D28" s="122">
        <v>6144.477409340876</v>
      </c>
      <c r="E28" s="122">
        <v>6114.62856159899</v>
      </c>
      <c r="F28" s="122">
        <v>6089.2701636368793</v>
      </c>
      <c r="G28" s="122">
        <v>6066.7631498058818</v>
      </c>
      <c r="H28" s="122">
        <v>6045.4978867750388</v>
      </c>
      <c r="I28" s="122">
        <v>6023.8887809727894</v>
      </c>
      <c r="J28" s="122">
        <v>6000.373095373684</v>
      </c>
      <c r="K28" s="122">
        <v>5973.4250950956011</v>
      </c>
      <c r="L28" s="122">
        <v>5941.5961557606424</v>
      </c>
      <c r="M28" s="122">
        <v>5903.490636755685</v>
      </c>
      <c r="N28" s="122">
        <v>5857.7680244720696</v>
      </c>
      <c r="O28" s="122">
        <v>5803.1594168278943</v>
      </c>
      <c r="P28" s="122">
        <v>5738.8036600105834</v>
      </c>
      <c r="Q28" s="122">
        <v>5665.1866421618352</v>
      </c>
      <c r="R28" s="122">
        <v>5583.1399835123166</v>
      </c>
      <c r="S28" s="122">
        <v>5493.5071989729377</v>
      </c>
      <c r="T28" s="122">
        <v>5397.1341635810813</v>
      </c>
      <c r="U28" s="122">
        <v>5294.8603860518188</v>
      </c>
      <c r="V28" s="122">
        <v>5187.5111559116795</v>
      </c>
      <c r="W28" s="122">
        <v>5075.8906053893379</v>
      </c>
      <c r="X28" s="122">
        <v>4960.7757048899584</v>
      </c>
      <c r="Y28" s="122">
        <v>4842.9111908248478</v>
      </c>
      <c r="Z28" s="122">
        <v>4723.0054070298766</v>
      </c>
      <c r="AA28" s="122">
        <v>4601.7270261006424</v>
      </c>
      <c r="AB28" s="122">
        <v>4479.702604726549</v>
      </c>
      <c r="AC28" s="122">
        <v>4357.5149174625103</v>
      </c>
      <c r="AD28" s="122">
        <v>4235.7020062163911</v>
      </c>
      <c r="AE28" s="122">
        <v>4114.7568778795339</v>
      </c>
      <c r="AF28" s="122">
        <v>3995.1277797759381</v>
      </c>
      <c r="AG28" s="122">
        <v>3877.2189817177218</v>
      </c>
      <c r="AH28" s="122">
        <v>3761.3919941803561</v>
      </c>
      <c r="AI28" s="122">
        <v>3647.9671541968241</v>
      </c>
      <c r="AJ28" s="122">
        <v>3537.2255137670541</v>
      </c>
      <c r="AK28" s="122">
        <v>3429.410969648588</v>
      </c>
      <c r="AL28" s="122">
        <v>3324.732578115887</v>
      </c>
      <c r="AM28" s="122">
        <v>3223.3670034470329</v>
      </c>
      <c r="AN28" s="122">
        <v>3125.4610543394879</v>
      </c>
    </row>
    <row r="29" spans="1:40" x14ac:dyDescent="0.2">
      <c r="A29" s="123" t="s">
        <v>92</v>
      </c>
      <c r="B29" s="122">
        <v>24050.846611769</v>
      </c>
      <c r="C29" s="122">
        <v>24376.003680584141</v>
      </c>
      <c r="D29" s="122">
        <v>24648.09906390922</v>
      </c>
      <c r="E29" s="122">
        <v>24872.253978717719</v>
      </c>
      <c r="F29" s="122">
        <v>25054.148599326221</v>
      </c>
      <c r="G29" s="122">
        <v>25199.907667049629</v>
      </c>
      <c r="H29" s="122">
        <v>25315.997767605251</v>
      </c>
      <c r="I29" s="122">
        <v>25409.13903983853</v>
      </c>
      <c r="J29" s="122">
        <v>25486.23338617515</v>
      </c>
      <c r="K29" s="122">
        <v>25551.723633391441</v>
      </c>
      <c r="L29" s="122">
        <v>25599.75136249034</v>
      </c>
      <c r="M29" s="122">
        <v>25621.850024835068</v>
      </c>
      <c r="N29" s="122">
        <v>25609.588830270932</v>
      </c>
      <c r="O29" s="122">
        <v>25554.671473412309</v>
      </c>
      <c r="P29" s="122">
        <v>25450.767921765259</v>
      </c>
      <c r="Q29" s="122">
        <v>25298.69912382328</v>
      </c>
      <c r="R29" s="122">
        <v>25101.23811341426</v>
      </c>
      <c r="S29" s="122">
        <v>24861.349260812331</v>
      </c>
      <c r="T29" s="122">
        <v>24582.145635697609</v>
      </c>
      <c r="U29" s="122">
        <v>24266.847717298679</v>
      </c>
      <c r="V29" s="122">
        <v>23918.744009513979</v>
      </c>
      <c r="W29" s="122">
        <v>23541.154027033939</v>
      </c>
      <c r="X29" s="122">
        <v>23137.394026085371</v>
      </c>
      <c r="Y29" s="122">
        <v>22710.745762875438</v>
      </c>
      <c r="Z29" s="122">
        <v>22264.428476227429</v>
      </c>
      <c r="AA29" s="122">
        <v>21801.574209996648</v>
      </c>
      <c r="AB29" s="122">
        <v>21325.206516963972</v>
      </c>
      <c r="AC29" s="122">
        <v>20838.222519980729</v>
      </c>
      <c r="AD29" s="122">
        <v>20343.378248782839</v>
      </c>
      <c r="AE29" s="122">
        <v>19843.277122386229</v>
      </c>
      <c r="AF29" s="122">
        <v>19340.361407316512</v>
      </c>
      <c r="AG29" s="122">
        <v>18836.906450874048</v>
      </c>
      <c r="AH29" s="122">
        <v>18335.017465748981</v>
      </c>
      <c r="AI29" s="122">
        <v>17836.62862699727</v>
      </c>
      <c r="AJ29" s="122">
        <v>17343.50423395446</v>
      </c>
      <c r="AK29" s="122">
        <v>16857.241687336558</v>
      </c>
      <c r="AL29" s="122">
        <v>16379.2760347329</v>
      </c>
      <c r="AM29" s="122">
        <v>15910.88584511957</v>
      </c>
      <c r="AN29" s="122">
        <v>15453.200184102299</v>
      </c>
    </row>
    <row r="30" spans="1:40" x14ac:dyDescent="0.2">
      <c r="A30" s="123" t="s">
        <v>93</v>
      </c>
      <c r="B30" s="122">
        <v>11527.535972617879</v>
      </c>
      <c r="C30" s="122">
        <v>12373.25880298162</v>
      </c>
      <c r="D30" s="122">
        <v>13238.402832081531</v>
      </c>
      <c r="E30" s="122">
        <v>14124.32943417081</v>
      </c>
      <c r="F30" s="122">
        <v>15033.416935832931</v>
      </c>
      <c r="G30" s="122">
        <v>15969.15919237977</v>
      </c>
      <c r="H30" s="122">
        <v>16936.269227219469</v>
      </c>
      <c r="I30" s="122">
        <v>17940.794202116049</v>
      </c>
      <c r="J30" s="122">
        <v>18990.24919483154</v>
      </c>
      <c r="K30" s="122">
        <v>20090.335156518999</v>
      </c>
      <c r="L30" s="122">
        <v>21233.223443057799</v>
      </c>
      <c r="M30" s="122">
        <v>22405.115527583381</v>
      </c>
      <c r="N30" s="122">
        <v>23589.09256256498</v>
      </c>
      <c r="O30" s="122">
        <v>24765.00103701332</v>
      </c>
      <c r="P30" s="122">
        <v>25912.87954163165</v>
      </c>
      <c r="Q30" s="122">
        <v>27024.50800409387</v>
      </c>
      <c r="R30" s="122">
        <v>28095.460565708971</v>
      </c>
      <c r="S30" s="122">
        <v>29122.067274099962</v>
      </c>
      <c r="T30" s="122">
        <v>30101.447244884479</v>
      </c>
      <c r="U30" s="122">
        <v>31031.525684782031</v>
      </c>
      <c r="V30" s="122">
        <v>31911.035874970348</v>
      </c>
      <c r="W30" s="122">
        <v>32739.507586575091</v>
      </c>
      <c r="X30" s="122">
        <v>33517.243686817972</v>
      </c>
      <c r="Y30" s="122">
        <v>34245.286894433812</v>
      </c>
      <c r="Z30" s="122">
        <v>34925.378760430023</v>
      </c>
      <c r="AA30" s="122">
        <v>35559.912992359546</v>
      </c>
      <c r="AB30" s="122">
        <v>36151.885216743562</v>
      </c>
      <c r="AC30" s="122">
        <v>36704.841196555441</v>
      </c>
      <c r="AD30" s="122">
        <v>37222.825401127302</v>
      </c>
      <c r="AE30" s="122">
        <v>37710.331677088987</v>
      </c>
      <c r="AF30" s="122">
        <v>38172.257603343613</v>
      </c>
      <c r="AG30" s="122">
        <v>38613.863942261021</v>
      </c>
      <c r="AH30" s="122">
        <v>39040.740433871288</v>
      </c>
      <c r="AI30" s="122">
        <v>39458.779029369063</v>
      </c>
      <c r="AJ30" s="122">
        <v>39874.155533024481</v>
      </c>
      <c r="AK30" s="122">
        <v>40293.320524866867</v>
      </c>
      <c r="AL30" s="122">
        <v>40723.000376574579</v>
      </c>
      <c r="AM30" s="122">
        <v>41170.209155521188</v>
      </c>
      <c r="AN30" s="122">
        <v>41642.272242221181</v>
      </c>
    </row>
    <row r="31" spans="1:40" x14ac:dyDescent="0.2">
      <c r="A31" s="123" t="s">
        <v>94</v>
      </c>
      <c r="B31" s="122">
        <v>1857.221055664822</v>
      </c>
      <c r="C31" s="122">
        <v>1894.763309421377</v>
      </c>
      <c r="D31" s="122">
        <v>1926.37474566893</v>
      </c>
      <c r="E31" s="122">
        <v>1952.621869950852</v>
      </c>
      <c r="F31" s="122">
        <v>1974.168450164326</v>
      </c>
      <c r="G31" s="122">
        <v>1991.7557096118351</v>
      </c>
      <c r="H31" s="122">
        <v>2006.184459217227</v>
      </c>
      <c r="I31" s="122">
        <v>2018.29991303835</v>
      </c>
      <c r="J31" s="122">
        <v>2028.979742499587</v>
      </c>
      <c r="K31" s="122">
        <v>2038.8522798695219</v>
      </c>
      <c r="L31" s="122">
        <v>2047.4613875102741</v>
      </c>
      <c r="M31" s="122">
        <v>2054.0698414011808</v>
      </c>
      <c r="N31" s="122">
        <v>2057.935868082393</v>
      </c>
      <c r="O31" s="122">
        <v>2058.32158997017</v>
      </c>
      <c r="P31" s="122">
        <v>2054.6495283234271</v>
      </c>
      <c r="Q31" s="122">
        <v>2046.947840998123</v>
      </c>
      <c r="R31" s="122">
        <v>2035.412420634967</v>
      </c>
      <c r="S31" s="122">
        <v>2020.257858733401</v>
      </c>
      <c r="T31" s="122">
        <v>2001.714107122566</v>
      </c>
      <c r="U31" s="122">
        <v>1980.023184972481</v>
      </c>
      <c r="V31" s="122">
        <v>1955.435981218993</v>
      </c>
      <c r="W31" s="122">
        <v>1928.209195710227</v>
      </c>
      <c r="X31" s="122">
        <v>1898.6024555253109</v>
      </c>
      <c r="Y31" s="122">
        <v>1866.8756359793599</v>
      </c>
      <c r="Z31" s="122">
        <v>1833.28640899884</v>
      </c>
      <c r="AA31" s="122">
        <v>1798.0880349889751</v>
      </c>
      <c r="AB31" s="122">
        <v>1761.527408152336</v>
      </c>
      <c r="AC31" s="122">
        <v>1723.8433595589161</v>
      </c>
      <c r="AD31" s="122">
        <v>1685.2652171887589</v>
      </c>
      <c r="AE31" s="122">
        <v>1646.0116177187761</v>
      </c>
      <c r="AF31" s="122">
        <v>1606.289561030889</v>
      </c>
      <c r="AG31" s="122">
        <v>1566.293695284199</v>
      </c>
      <c r="AH31" s="122">
        <v>1526.2058179051789</v>
      </c>
      <c r="AI31" s="122">
        <v>1486.1945759781861</v>
      </c>
      <c r="AJ31" s="122">
        <v>1446.415348222999</v>
      </c>
      <c r="AK31" s="122">
        <v>1407.010289976535</v>
      </c>
      <c r="AL31" s="122">
        <v>1368.1085222967411</v>
      </c>
      <c r="AM31" s="122">
        <v>1329.826446418253</v>
      </c>
      <c r="AN31" s="122">
        <v>1292.2681652513129</v>
      </c>
    </row>
    <row r="32" spans="1:40" x14ac:dyDescent="0.2">
      <c r="A32" s="123" t="s">
        <v>95</v>
      </c>
      <c r="B32" s="122">
        <v>7705.3000762763377</v>
      </c>
      <c r="C32" s="122">
        <v>7736.0273775471805</v>
      </c>
      <c r="D32" s="122">
        <v>7777.3309549576052</v>
      </c>
      <c r="E32" s="122">
        <v>7826.5416213101062</v>
      </c>
      <c r="F32" s="122">
        <v>7880.9496113232462</v>
      </c>
      <c r="G32" s="122">
        <v>7937.7813336185673</v>
      </c>
      <c r="H32" s="122">
        <v>7994.1857622409934</v>
      </c>
      <c r="I32" s="122">
        <v>8047.2308707805123</v>
      </c>
      <c r="J32" s="122">
        <v>8093.9105980840604</v>
      </c>
      <c r="K32" s="122">
        <v>8131.4147080450648</v>
      </c>
      <c r="L32" s="122">
        <v>8157.9201267006083</v>
      </c>
      <c r="M32" s="122">
        <v>8171.8753657731086</v>
      </c>
      <c r="N32" s="122">
        <v>8171.7728269031504</v>
      </c>
      <c r="O32" s="122">
        <v>8156.1727939969487</v>
      </c>
      <c r="P32" s="122">
        <v>8124.0920963883664</v>
      </c>
      <c r="Q32" s="122">
        <v>8076.1020042031096</v>
      </c>
      <c r="R32" s="122">
        <v>8013.2174527103016</v>
      </c>
      <c r="S32" s="122">
        <v>7936.5155837635848</v>
      </c>
      <c r="T32" s="122">
        <v>7847.1195367652899</v>
      </c>
      <c r="U32" s="122">
        <v>7746.1829628734949</v>
      </c>
      <c r="V32" s="122">
        <v>7634.8754698303655</v>
      </c>
      <c r="W32" s="122">
        <v>7514.3691630818812</v>
      </c>
      <c r="X32" s="122">
        <v>7385.8264079763612</v>
      </c>
      <c r="Y32" s="122">
        <v>7250.3888988310036</v>
      </c>
      <c r="Z32" s="122">
        <v>7109.1680843859131</v>
      </c>
      <c r="AA32" s="122">
        <v>6963.2369662736837</v>
      </c>
      <c r="AB32" s="122">
        <v>6813.6232580655796</v>
      </c>
      <c r="AC32" s="122">
        <v>6661.3038674782138</v>
      </c>
      <c r="AD32" s="122">
        <v>6507.2006435426056</v>
      </c>
      <c r="AE32" s="122">
        <v>6352.177313909553</v>
      </c>
      <c r="AF32" s="122">
        <v>6197.0375248374039</v>
      </c>
      <c r="AG32" s="122">
        <v>6042.5238875321966</v>
      </c>
      <c r="AH32" s="122">
        <v>5889.3179290655053</v>
      </c>
      <c r="AI32" s="122">
        <v>5738.0408437208171</v>
      </c>
      <c r="AJ32" s="122">
        <v>5589.2549409166841</v>
      </c>
      <c r="AK32" s="122">
        <v>5443.465688426254</v>
      </c>
      <c r="AL32" s="122">
        <v>5301.1242540573758</v>
      </c>
      <c r="AM32" s="122">
        <v>5162.6304548940661</v>
      </c>
      <c r="AN32" s="122">
        <v>5028.3360302759274</v>
      </c>
    </row>
    <row r="33" spans="1:40" x14ac:dyDescent="0.2">
      <c r="A33" s="123" t="s">
        <v>96</v>
      </c>
      <c r="B33" s="122">
        <v>16124.371416167731</v>
      </c>
      <c r="C33" s="122">
        <v>16272.944571634311</v>
      </c>
      <c r="D33" s="122">
        <v>16396.780934476908</v>
      </c>
      <c r="E33" s="122">
        <v>16498.081980858471</v>
      </c>
      <c r="F33" s="122">
        <v>16579.21830724967</v>
      </c>
      <c r="G33" s="122">
        <v>16642.69633924236</v>
      </c>
      <c r="H33" s="122">
        <v>16691.12811250109</v>
      </c>
      <c r="I33" s="122">
        <v>16727.204661349071</v>
      </c>
      <c r="J33" s="122">
        <v>16753.67342497499</v>
      </c>
      <c r="K33" s="122">
        <v>16771.97947453137</v>
      </c>
      <c r="L33" s="122">
        <v>16778.223276556779</v>
      </c>
      <c r="M33" s="122">
        <v>16767.18077722306</v>
      </c>
      <c r="N33" s="122">
        <v>16733.685927539351</v>
      </c>
      <c r="O33" s="122">
        <v>16672.69206904155</v>
      </c>
      <c r="P33" s="122">
        <v>16580.419782769379</v>
      </c>
      <c r="Q33" s="122">
        <v>16457.595875212901</v>
      </c>
      <c r="R33" s="122">
        <v>16306.164381392529</v>
      </c>
      <c r="S33" s="122">
        <v>16128.17621042441</v>
      </c>
      <c r="T33" s="122">
        <v>15925.76106339272</v>
      </c>
      <c r="U33" s="122">
        <v>15701.100550838781</v>
      </c>
      <c r="V33" s="122">
        <v>15456.402843211979</v>
      </c>
      <c r="W33" s="122">
        <v>15193.879124289941</v>
      </c>
      <c r="X33" s="122">
        <v>14915.722055109471</v>
      </c>
      <c r="Y33" s="122">
        <v>14624.086395880309</v>
      </c>
      <c r="Z33" s="122">
        <v>14321.071876939101</v>
      </c>
      <c r="AA33" s="122">
        <v>14008.708358022061</v>
      </c>
      <c r="AB33" s="122">
        <v>13688.943268719449</v>
      </c>
      <c r="AC33" s="122">
        <v>13363.631282383971</v>
      </c>
      <c r="AD33" s="122">
        <v>13034.526141246361</v>
      </c>
      <c r="AE33" s="122">
        <v>12703.274522081119</v>
      </c>
      <c r="AF33" s="122">
        <v>12371.411809327299</v>
      </c>
      <c r="AG33" s="122">
        <v>12040.359625826581</v>
      </c>
      <c r="AH33" s="122">
        <v>11711.424959903979</v>
      </c>
      <c r="AI33" s="122">
        <v>11385.800720909871</v>
      </c>
      <c r="AJ33" s="122">
        <v>11064.56755303854</v>
      </c>
      <c r="AK33" s="122">
        <v>10748.696738675681</v>
      </c>
      <c r="AL33" s="122">
        <v>10439.054027138151</v>
      </c>
      <c r="AM33" s="122">
        <v>10136.40423188903</v>
      </c>
      <c r="AN33" s="122">
        <v>9841.416448606662</v>
      </c>
    </row>
    <row r="34" spans="1:40" x14ac:dyDescent="0.2">
      <c r="A34" s="123" t="s">
        <v>97</v>
      </c>
      <c r="B34" s="122">
        <v>21502.759178911721</v>
      </c>
      <c r="C34" s="122">
        <v>21694.901780629611</v>
      </c>
      <c r="D34" s="122">
        <v>21855.012864003911</v>
      </c>
      <c r="E34" s="122">
        <v>21985.911848268199</v>
      </c>
      <c r="F34" s="122">
        <v>22090.629548991139</v>
      </c>
      <c r="G34" s="122">
        <v>22172.366798312079</v>
      </c>
      <c r="H34" s="122">
        <v>22234.456828702041</v>
      </c>
      <c r="I34" s="122">
        <v>22280.332064909591</v>
      </c>
      <c r="J34" s="122">
        <v>22313.49581900792</v>
      </c>
      <c r="K34" s="122">
        <v>22335.744980118969</v>
      </c>
      <c r="L34" s="122">
        <v>22341.8819616855</v>
      </c>
      <c r="M34" s="122">
        <v>22324.978695556361</v>
      </c>
      <c r="N34" s="122">
        <v>22278.187166692311</v>
      </c>
      <c r="O34" s="122">
        <v>22194.820854591359</v>
      </c>
      <c r="P34" s="122">
        <v>22069.878669094371</v>
      </c>
      <c r="Q34" s="122">
        <v>21904.344353154102</v>
      </c>
      <c r="R34" s="122">
        <v>21700.817121925749</v>
      </c>
      <c r="S34" s="122">
        <v>21462.036888001549</v>
      </c>
      <c r="T34" s="122">
        <v>21190.846863987179</v>
      </c>
      <c r="U34" s="122">
        <v>20890.1577892858</v>
      </c>
      <c r="V34" s="122">
        <v>20562.91422204323</v>
      </c>
      <c r="W34" s="122">
        <v>20212.063252626871</v>
      </c>
      <c r="X34" s="122">
        <v>19840.52591169942</v>
      </c>
      <c r="Y34" s="122">
        <v>19451.17146593042</v>
      </c>
      <c r="Z34" s="122">
        <v>19046.794719322879</v>
      </c>
      <c r="AA34" s="122">
        <v>18630.09636932088</v>
      </c>
      <c r="AB34" s="122">
        <v>18203.66640525014</v>
      </c>
      <c r="AC34" s="122">
        <v>17769.970482840072</v>
      </c>
      <c r="AD34" s="122">
        <v>17331.339162890708</v>
      </c>
      <c r="AE34" s="122">
        <v>16889.959864618711</v>
      </c>
      <c r="AF34" s="122">
        <v>16447.871354653718</v>
      </c>
      <c r="AG34" s="122">
        <v>16006.960570677091</v>
      </c>
      <c r="AH34" s="122">
        <v>15568.96156377541</v>
      </c>
      <c r="AI34" s="122">
        <v>15135.4563350763</v>
      </c>
      <c r="AJ34" s="122">
        <v>14707.877339443021</v>
      </c>
      <c r="AK34" s="122">
        <v>14287.51143116807</v>
      </c>
      <c r="AL34" s="122">
        <v>13875.50503296943</v>
      </c>
      <c r="AM34" s="122">
        <v>13472.870319403541</v>
      </c>
      <c r="AN34" s="122">
        <v>13080.492218353669</v>
      </c>
    </row>
    <row r="35" spans="1:40" x14ac:dyDescent="0.2">
      <c r="A35" s="123" t="s">
        <v>98</v>
      </c>
      <c r="B35" s="122">
        <v>13204.368998026081</v>
      </c>
      <c r="C35" s="122">
        <v>13383.92401520418</v>
      </c>
      <c r="D35" s="122">
        <v>13534.188758967661</v>
      </c>
      <c r="E35" s="122">
        <v>13657.991623056831</v>
      </c>
      <c r="F35" s="122">
        <v>13758.47154031404</v>
      </c>
      <c r="G35" s="122">
        <v>13839.01441683681</v>
      </c>
      <c r="H35" s="122">
        <v>13903.19605290557</v>
      </c>
      <c r="I35" s="122">
        <v>13954.73309600902</v>
      </c>
      <c r="J35" s="122">
        <v>13997.443183483079</v>
      </c>
      <c r="K35" s="122">
        <v>14033.7887810107</v>
      </c>
      <c r="L35" s="122">
        <v>14060.55312629457</v>
      </c>
      <c r="M35" s="122">
        <v>14073.08108347592</v>
      </c>
      <c r="N35" s="122">
        <v>14066.736600546739</v>
      </c>
      <c r="O35" s="122">
        <v>14036.95698267284</v>
      </c>
      <c r="P35" s="122">
        <v>13980.259800235781</v>
      </c>
      <c r="Q35" s="122">
        <v>13897.093013256161</v>
      </c>
      <c r="R35" s="122">
        <v>13788.977701403561</v>
      </c>
      <c r="S35" s="122">
        <v>13657.54031487553</v>
      </c>
      <c r="T35" s="122">
        <v>13504.48925975095</v>
      </c>
      <c r="U35" s="122">
        <v>13331.592218358341</v>
      </c>
      <c r="V35" s="122">
        <v>13140.65451149306</v>
      </c>
      <c r="W35" s="122">
        <v>12933.498758964281</v>
      </c>
      <c r="X35" s="122">
        <v>12711.94604423794</v>
      </c>
      <c r="Y35" s="122">
        <v>12477.7987392265</v>
      </c>
      <c r="Z35" s="122">
        <v>12232.825097720361</v>
      </c>
      <c r="AA35" s="122">
        <v>11978.745681504861</v>
      </c>
      <c r="AB35" s="122">
        <v>11717.22164259586</v>
      </c>
      <c r="AC35" s="122">
        <v>11449.84484878227</v>
      </c>
      <c r="AD35" s="122">
        <v>11178.12980811663</v>
      </c>
      <c r="AE35" s="122">
        <v>10903.50732130446</v>
      </c>
      <c r="AF35" s="122">
        <v>10627.319769106891</v>
      </c>
      <c r="AG35" s="122">
        <v>10350.81792476177</v>
      </c>
      <c r="AH35" s="122">
        <v>10075.1591688056</v>
      </c>
      <c r="AI35" s="122">
        <v>9801.4069752179439</v>
      </c>
      <c r="AJ35" s="122">
        <v>9530.531533130461</v>
      </c>
      <c r="AK35" s="122">
        <v>9263.4113670168827</v>
      </c>
      <c r="AL35" s="122">
        <v>9000.8358198620554</v>
      </c>
      <c r="AM35" s="122">
        <v>8743.5082678480339</v>
      </c>
      <c r="AN35" s="122">
        <v>8492.0499411499495</v>
      </c>
    </row>
    <row r="36" spans="1:40" x14ac:dyDescent="0.2">
      <c r="A36" s="123" t="s">
        <v>99</v>
      </c>
      <c r="B36" s="122">
        <v>15179.327689922769</v>
      </c>
      <c r="C36" s="122">
        <v>15686.592069329439</v>
      </c>
      <c r="D36" s="122">
        <v>16243.08722100149</v>
      </c>
      <c r="E36" s="122">
        <v>16843.881212670301</v>
      </c>
      <c r="F36" s="122">
        <v>17483.126367958619</v>
      </c>
      <c r="G36" s="122">
        <v>18153.863649295901</v>
      </c>
      <c r="H36" s="122">
        <v>18847.849293725281</v>
      </c>
      <c r="I36" s="122">
        <v>19555.413497555059</v>
      </c>
      <c r="J36" s="122">
        <v>20265.363169979199</v>
      </c>
      <c r="K36" s="122">
        <v>20965.752348427552</v>
      </c>
      <c r="L36" s="122">
        <v>21646.554328044349</v>
      </c>
      <c r="M36" s="122">
        <v>22297.68264123908</v>
      </c>
      <c r="N36" s="122">
        <v>22908.34317801685</v>
      </c>
      <c r="O36" s="122">
        <v>23467.184808794591</v>
      </c>
      <c r="P36" s="122">
        <v>23964.332347285781</v>
      </c>
      <c r="Q36" s="122">
        <v>24397.40077940853</v>
      </c>
      <c r="R36" s="122">
        <v>24766.568082814141</v>
      </c>
      <c r="S36" s="122">
        <v>25072.769074477179</v>
      </c>
      <c r="T36" s="122">
        <v>25317.634681135831</v>
      </c>
      <c r="U36" s="122">
        <v>25503.422883562991</v>
      </c>
      <c r="V36" s="122">
        <v>25632.94393763319</v>
      </c>
      <c r="W36" s="122">
        <v>25709.482364544041</v>
      </c>
      <c r="X36" s="122">
        <v>25736.71802075415</v>
      </c>
      <c r="Y36" s="122">
        <v>25718.648322436438</v>
      </c>
      <c r="Z36" s="122">
        <v>25659.51342662935</v>
      </c>
      <c r="AA36" s="122">
        <v>25563.725877993162</v>
      </c>
      <c r="AB36" s="122">
        <v>25435.80593074649</v>
      </c>
      <c r="AC36" s="122">
        <v>25280.323462593009</v>
      </c>
      <c r="AD36" s="122">
        <v>25101.84712161354</v>
      </c>
      <c r="AE36" s="122">
        <v>24904.90109624041</v>
      </c>
      <c r="AF36" s="122">
        <v>24693.929678328848</v>
      </c>
      <c r="AG36" s="122">
        <v>24473.269603684421</v>
      </c>
      <c r="AH36" s="122">
        <v>24247.130005043931</v>
      </c>
      <c r="AI36" s="122">
        <v>24019.579699750499</v>
      </c>
      <c r="AJ36" s="122">
        <v>23794.54145731606</v>
      </c>
      <c r="AK36" s="122">
        <v>23575.792848948138</v>
      </c>
      <c r="AL36" s="122">
        <v>23366.973269607519</v>
      </c>
      <c r="AM36" s="122">
        <v>23171.596740683381</v>
      </c>
      <c r="AN36" s="122">
        <v>22993.070145365338</v>
      </c>
    </row>
    <row r="37" spans="1:40" x14ac:dyDescent="0.2">
      <c r="A37" s="123" t="s">
        <v>100</v>
      </c>
      <c r="B37" s="122">
        <v>15793.232462385689</v>
      </c>
      <c r="C37" s="122">
        <v>16353.23821129916</v>
      </c>
      <c r="D37" s="122">
        <v>16965.792891906622</v>
      </c>
      <c r="E37" s="122">
        <v>17625.990110862898</v>
      </c>
      <c r="F37" s="122">
        <v>18327.918545162269</v>
      </c>
      <c r="G37" s="122">
        <v>19064.452292911388</v>
      </c>
      <c r="H37" s="122">
        <v>19827.062813685909</v>
      </c>
      <c r="I37" s="122">
        <v>20605.66310094545</v>
      </c>
      <c r="J37" s="122">
        <v>21388.49714606534</v>
      </c>
      <c r="K37" s="122">
        <v>22162.91840706658</v>
      </c>
      <c r="L37" s="122">
        <v>22918.12716864295</v>
      </c>
      <c r="M37" s="122">
        <v>23643.16097667599</v>
      </c>
      <c r="N37" s="122">
        <v>24326.236656785932</v>
      </c>
      <c r="O37" s="122">
        <v>24954.911086575299</v>
      </c>
      <c r="P37" s="122">
        <v>25518.276754194761</v>
      </c>
      <c r="Q37" s="122">
        <v>26013.480170802719</v>
      </c>
      <c r="R37" s="122">
        <v>26440.442513460101</v>
      </c>
      <c r="S37" s="122">
        <v>26799.918819947528</v>
      </c>
      <c r="T37" s="122">
        <v>27093.435922526609</v>
      </c>
      <c r="U37" s="122">
        <v>27323.22053993497</v>
      </c>
      <c r="V37" s="122">
        <v>27492.12037600726</v>
      </c>
      <c r="W37" s="122">
        <v>27603.520977800759</v>
      </c>
      <c r="X37" s="122">
        <v>27661.260927697022</v>
      </c>
      <c r="Y37" s="122">
        <v>27669.547701448711</v>
      </c>
      <c r="Z37" s="122">
        <v>27632.876236506909</v>
      </c>
      <c r="AA37" s="122">
        <v>27555.95194032494</v>
      </c>
      <c r="AB37" s="122">
        <v>27443.61954326275</v>
      </c>
      <c r="AC37" s="122">
        <v>27300.79887965968</v>
      </c>
      <c r="AD37" s="122">
        <v>27132.428375642321</v>
      </c>
      <c r="AE37" s="122">
        <v>26943.416742761321</v>
      </c>
      <c r="AF37" s="122">
        <v>26738.603129577928</v>
      </c>
      <c r="AG37" s="122">
        <v>26522.725773452828</v>
      </c>
      <c r="AH37" s="122">
        <v>26300.399024555049</v>
      </c>
      <c r="AI37" s="122">
        <v>26076.09848427659</v>
      </c>
      <c r="AJ37" s="122">
        <v>25854.153910161731</v>
      </c>
      <c r="AK37" s="122">
        <v>25638.749487493751</v>
      </c>
      <c r="AL37" s="122">
        <v>25433.93105148476</v>
      </c>
      <c r="AM37" s="122">
        <v>25243.619860964882</v>
      </c>
      <c r="AN37" s="122">
        <v>25071.632571909329</v>
      </c>
    </row>
    <row r="38" spans="1:40" x14ac:dyDescent="0.2">
      <c r="A38" s="123" t="s">
        <v>101</v>
      </c>
      <c r="B38" s="122">
        <v>12204.55859303716</v>
      </c>
      <c r="C38" s="122">
        <v>12897.329101910909</v>
      </c>
      <c r="D38" s="122">
        <v>13647.304974465291</v>
      </c>
      <c r="E38" s="122">
        <v>14452.763130653089</v>
      </c>
      <c r="F38" s="122">
        <v>15310.84677110433</v>
      </c>
      <c r="G38" s="122">
        <v>16217.32931949595</v>
      </c>
      <c r="H38" s="122">
        <v>17166.380148719691</v>
      </c>
      <c r="I38" s="122">
        <v>18150.343281485249</v>
      </c>
      <c r="J38" s="122">
        <v>19159.543283951829</v>
      </c>
      <c r="K38" s="122">
        <v>20182.634243354241</v>
      </c>
      <c r="L38" s="122">
        <v>21208.212532282439</v>
      </c>
      <c r="M38" s="122">
        <v>22223.664298127878</v>
      </c>
      <c r="N38" s="122">
        <v>23214.77710663126</v>
      </c>
      <c r="O38" s="122">
        <v>24165.872602439169</v>
      </c>
      <c r="P38" s="122">
        <v>25062.24924298382</v>
      </c>
      <c r="Q38" s="122">
        <v>25897.758707523379</v>
      </c>
      <c r="R38" s="122">
        <v>26669.353162341111</v>
      </c>
      <c r="S38" s="122">
        <v>27375.02635346512</v>
      </c>
      <c r="T38" s="122">
        <v>28013.796212491528</v>
      </c>
      <c r="U38" s="122">
        <v>28585.667258278259</v>
      </c>
      <c r="V38" s="122">
        <v>29091.57589511983</v>
      </c>
      <c r="W38" s="122">
        <v>29533.321968448639</v>
      </c>
      <c r="X38" s="122">
        <v>29913.490042036021</v>
      </c>
      <c r="Y38" s="122">
        <v>30235.363823563828</v>
      </c>
      <c r="Z38" s="122">
        <v>30502.837010333409</v>
      </c>
      <c r="AA38" s="122">
        <v>30720.3235784602</v>
      </c>
      <c r="AB38" s="122">
        <v>30892.67022274237</v>
      </c>
      <c r="AC38" s="122">
        <v>31025.073295468901</v>
      </c>
      <c r="AD38" s="122">
        <v>31123.00221397034</v>
      </c>
      <c r="AE38" s="122">
        <v>31192.13092933414</v>
      </c>
      <c r="AF38" s="122">
        <v>31238.27868990754</v>
      </c>
      <c r="AG38" s="122">
        <v>31267.361007189978</v>
      </c>
      <c r="AH38" s="122">
        <v>31285.351449361959</v>
      </c>
      <c r="AI38" s="122">
        <v>31298.25465689092</v>
      </c>
      <c r="AJ38" s="122">
        <v>31312.09080062875</v>
      </c>
      <c r="AK38" s="122">
        <v>31332.891588727602</v>
      </c>
      <c r="AL38" s="122">
        <v>31366.707876171291</v>
      </c>
      <c r="AM38" s="122">
        <v>31419.628940511469</v>
      </c>
      <c r="AN38" s="122">
        <v>31497.813560035531</v>
      </c>
    </row>
    <row r="39" spans="1:40" x14ac:dyDescent="0.2">
      <c r="A39" s="123" t="s">
        <v>46</v>
      </c>
      <c r="B39" s="122">
        <v>24223.247878201619</v>
      </c>
      <c r="C39" s="122">
        <v>25056.839227698671</v>
      </c>
      <c r="D39" s="122">
        <v>25969.961156471119</v>
      </c>
      <c r="E39" s="122">
        <v>26954.910968986562</v>
      </c>
      <c r="F39" s="122">
        <v>28002.48536190192</v>
      </c>
      <c r="G39" s="122">
        <v>29101.66379093019</v>
      </c>
      <c r="H39" s="122">
        <v>30239.32618488685</v>
      </c>
      <c r="I39" s="122">
        <v>31400.020978862689</v>
      </c>
      <c r="J39" s="122">
        <v>32565.803063314441</v>
      </c>
      <c r="K39" s="122">
        <v>33717.446194955402</v>
      </c>
      <c r="L39" s="122">
        <v>34838.675749968512</v>
      </c>
      <c r="M39" s="122">
        <v>35913.047561606298</v>
      </c>
      <c r="N39" s="122">
        <v>36922.926076779557</v>
      </c>
      <c r="O39" s="122">
        <v>37849.72781842629</v>
      </c>
      <c r="P39" s="122">
        <v>38677.225301235711</v>
      </c>
      <c r="Q39" s="122">
        <v>39401.338046814933</v>
      </c>
      <c r="R39" s="122">
        <v>40022.155985843121</v>
      </c>
      <c r="S39" s="122">
        <v>40541.0113715275</v>
      </c>
      <c r="T39" s="122">
        <v>40960.382631667613</v>
      </c>
      <c r="U39" s="122">
        <v>41283.784065152337</v>
      </c>
      <c r="V39" s="122">
        <v>41515.645641815543</v>
      </c>
      <c r="W39" s="122">
        <v>41661.187002113598</v>
      </c>
      <c r="X39" s="122">
        <v>41726.289470511409</v>
      </c>
      <c r="Y39" s="122">
        <v>41717.369521931738</v>
      </c>
      <c r="Z39" s="122">
        <v>41641.256702319297</v>
      </c>
      <c r="AA39" s="122">
        <v>41505.078529074919</v>
      </c>
      <c r="AB39" s="122">
        <v>41316.154409154922</v>
      </c>
      <c r="AC39" s="122">
        <v>41081.900133128896</v>
      </c>
      <c r="AD39" s="122">
        <v>40809.744049886751</v>
      </c>
      <c r="AE39" s="122">
        <v>40507.055612657037</v>
      </c>
      <c r="AF39" s="122">
        <v>40181.086622445531</v>
      </c>
      <c r="AG39" s="122">
        <v>39838.925186379951</v>
      </c>
      <c r="AH39" s="122">
        <v>39487.462159148468</v>
      </c>
      <c r="AI39" s="122">
        <v>39133.369646552826</v>
      </c>
      <c r="AJ39" s="122">
        <v>38783.091019942643</v>
      </c>
      <c r="AK39" s="122">
        <v>38442.841816260028</v>
      </c>
      <c r="AL39" s="122">
        <v>38118.620876947767</v>
      </c>
      <c r="AM39" s="122">
        <v>37816.231105981169</v>
      </c>
      <c r="AN39" s="122">
        <v>37541.30929869497</v>
      </c>
    </row>
    <row r="40" spans="1:40" x14ac:dyDescent="0.2">
      <c r="A40" s="123" t="s">
        <v>102</v>
      </c>
      <c r="B40" s="122">
        <v>6611.9630030332364</v>
      </c>
      <c r="C40" s="122">
        <v>6760.3109068923604</v>
      </c>
      <c r="D40" s="122">
        <v>6928.0304485823217</v>
      </c>
      <c r="E40" s="122">
        <v>7112.4760832803786</v>
      </c>
      <c r="F40" s="122">
        <v>7310.7311537013438</v>
      </c>
      <c r="G40" s="122">
        <v>7519.5321514907537</v>
      </c>
      <c r="H40" s="122">
        <v>7735.2061155869333</v>
      </c>
      <c r="I40" s="122">
        <v>7953.6243095537366</v>
      </c>
      <c r="J40" s="122">
        <v>8170.1761154764108</v>
      </c>
      <c r="K40" s="122">
        <v>8380.1475049915298</v>
      </c>
      <c r="L40" s="122">
        <v>8579.960617370316</v>
      </c>
      <c r="M40" s="122">
        <v>8766.2022577288426</v>
      </c>
      <c r="N40" s="122">
        <v>8935.3056720601471</v>
      </c>
      <c r="O40" s="122">
        <v>9083.6052138966479</v>
      </c>
      <c r="P40" s="122">
        <v>9208.0553715967508</v>
      </c>
      <c r="Q40" s="122">
        <v>9308.3210936115975</v>
      </c>
      <c r="R40" s="122">
        <v>9384.9557895486305</v>
      </c>
      <c r="S40" s="122">
        <v>9438.7444146540038</v>
      </c>
      <c r="T40" s="122">
        <v>9470.6768959544988</v>
      </c>
      <c r="U40" s="122">
        <v>9481.9201161928249</v>
      </c>
      <c r="V40" s="122">
        <v>9473.7892722442248</v>
      </c>
      <c r="W40" s="122">
        <v>9447.7193520281598</v>
      </c>
      <c r="X40" s="122">
        <v>9405.2373864401725</v>
      </c>
      <c r="Y40" s="122">
        <v>9347.9360358842769</v>
      </c>
      <c r="Z40" s="122">
        <v>9277.4489695526845</v>
      </c>
      <c r="AA40" s="122">
        <v>9195.4283940881596</v>
      </c>
      <c r="AB40" s="122">
        <v>9103.5249904039738</v>
      </c>
      <c r="AC40" s="122">
        <v>9003.3704262418378</v>
      </c>
      <c r="AD40" s="122">
        <v>8896.5625297848637</v>
      </c>
      <c r="AE40" s="122">
        <v>8784.6531378809177</v>
      </c>
      <c r="AF40" s="122">
        <v>8669.1385720886337</v>
      </c>
      <c r="AG40" s="122">
        <v>8551.4526471901027</v>
      </c>
      <c r="AH40" s="122">
        <v>8432.9620799032818</v>
      </c>
      <c r="AI40" s="122">
        <v>8314.9641397904452</v>
      </c>
      <c r="AJ40" s="122">
        <v>8198.6863690297214</v>
      </c>
      <c r="AK40" s="122">
        <v>8085.2881918680287</v>
      </c>
      <c r="AL40" s="122">
        <v>7975.8642371667966</v>
      </c>
      <c r="AM40" s="122">
        <v>7871.4492074511809</v>
      </c>
      <c r="AN40" s="122">
        <v>7773.0241442784773</v>
      </c>
    </row>
    <row r="41" spans="1:40" x14ac:dyDescent="0.2">
      <c r="A41" s="123" t="s">
        <v>103</v>
      </c>
      <c r="B41" s="122">
        <v>27519.37503144029</v>
      </c>
      <c r="C41" s="122">
        <v>29678.766530101129</v>
      </c>
      <c r="D41" s="122">
        <v>32030.198610170632</v>
      </c>
      <c r="E41" s="122">
        <v>34576.666481186927</v>
      </c>
      <c r="F41" s="122">
        <v>37318.099349769538</v>
      </c>
      <c r="G41" s="122">
        <v>40250.568635672178</v>
      </c>
      <c r="H41" s="122">
        <v>43365.447584270361</v>
      </c>
      <c r="I41" s="122">
        <v>46648.550870684718</v>
      </c>
      <c r="J41" s="122">
        <v>50079.293464171162</v>
      </c>
      <c r="K41" s="122">
        <v>53630.572314561257</v>
      </c>
      <c r="L41" s="122">
        <v>57270.439680351563</v>
      </c>
      <c r="M41" s="122">
        <v>60960.340492976728</v>
      </c>
      <c r="N41" s="122">
        <v>64654.382089489343</v>
      </c>
      <c r="O41" s="122">
        <v>68299.44821523226</v>
      </c>
      <c r="P41" s="122">
        <v>71842.835819897125</v>
      </c>
      <c r="Q41" s="122">
        <v>75257.366119856757</v>
      </c>
      <c r="R41" s="122">
        <v>78525.287194200951</v>
      </c>
      <c r="S41" s="122">
        <v>81632.052725641159</v>
      </c>
      <c r="T41" s="122">
        <v>84566.481413624657</v>
      </c>
      <c r="U41" s="122">
        <v>87320.830776305083</v>
      </c>
      <c r="V41" s="122">
        <v>89890.791692913714</v>
      </c>
      <c r="W41" s="122">
        <v>92275.412408801669</v>
      </c>
      <c r="X41" s="122">
        <v>94476.962477220179</v>
      </c>
      <c r="Y41" s="122">
        <v>96500.748247479176</v>
      </c>
      <c r="Z41" s="122">
        <v>98354.892065385793</v>
      </c>
      <c r="AA41" s="122">
        <v>100050.0873926304</v>
      </c>
      <c r="AB41" s="122">
        <v>101599.341659736</v>
      </c>
      <c r="AC41" s="122">
        <v>103017.71793641269</v>
      </c>
      <c r="AD41" s="122">
        <v>104322.08553195671</v>
      </c>
      <c r="AE41" s="122">
        <v>105530.8885237534</v>
      </c>
      <c r="AF41" s="122">
        <v>106663.9400450207</v>
      </c>
      <c r="AG41" s="122">
        <v>107742.2490258319</v>
      </c>
      <c r="AH41" s="122">
        <v>108787.8850457629</v>
      </c>
      <c r="AI41" s="122">
        <v>109823.88608284159</v>
      </c>
      <c r="AJ41" s="122">
        <v>110874.21328215821</v>
      </c>
      <c r="AK41" s="122">
        <v>111963.756460419</v>
      </c>
      <c r="AL41" s="122">
        <v>113118.3939454895</v>
      </c>
      <c r="AM41" s="122">
        <v>114365.11055528891</v>
      </c>
      <c r="AN41" s="122">
        <v>115732.178081483</v>
      </c>
    </row>
    <row r="42" spans="1:40" x14ac:dyDescent="0.2">
      <c r="A42" s="123" t="s">
        <v>104</v>
      </c>
      <c r="B42" s="122">
        <v>40049.197919647981</v>
      </c>
      <c r="C42" s="122">
        <v>43895.69461793104</v>
      </c>
      <c r="D42" s="122">
        <v>47884.942837803348</v>
      </c>
      <c r="E42" s="122">
        <v>52023.618339824287</v>
      </c>
      <c r="F42" s="122">
        <v>56325.137451063121</v>
      </c>
      <c r="G42" s="122">
        <v>60810.654666785013</v>
      </c>
      <c r="H42" s="122">
        <v>65510.120855026958</v>
      </c>
      <c r="I42" s="122">
        <v>70463.468163905243</v>
      </c>
      <c r="J42" s="122">
        <v>75722.006208323786</v>
      </c>
      <c r="K42" s="122">
        <v>81331.839442172524</v>
      </c>
      <c r="L42" s="122">
        <v>87270.331067540814</v>
      </c>
      <c r="M42" s="122">
        <v>93482.361003496422</v>
      </c>
      <c r="N42" s="122">
        <v>99893.956725671334</v>
      </c>
      <c r="O42" s="122">
        <v>106410.55953303599</v>
      </c>
      <c r="P42" s="122">
        <v>112932.9323897858</v>
      </c>
      <c r="Q42" s="122">
        <v>119415.5678333125</v>
      </c>
      <c r="R42" s="122">
        <v>125830.1685750043</v>
      </c>
      <c r="S42" s="122">
        <v>132151.20228913709</v>
      </c>
      <c r="T42" s="122">
        <v>138356.31652228601</v>
      </c>
      <c r="U42" s="122">
        <v>144426.6769137274</v>
      </c>
      <c r="V42" s="122">
        <v>150347.22748513409</v>
      </c>
      <c r="W42" s="122">
        <v>156106.87460640579</v>
      </c>
      <c r="X42" s="122">
        <v>161698.59878953951</v>
      </c>
      <c r="Y42" s="122">
        <v>167119.50064014131</v>
      </c>
      <c r="Z42" s="122">
        <v>172370.7890702631</v>
      </c>
      <c r="AA42" s="122">
        <v>177457.72123615191</v>
      </c>
      <c r="AB42" s="122">
        <v>182389.5046229155</v>
      </c>
      <c r="AC42" s="122">
        <v>187179.17228718579</v>
      </c>
      <c r="AD42" s="122">
        <v>191843.44253623599</v>
      </c>
      <c r="AE42" s="122">
        <v>196402.57432688901</v>
      </c>
      <c r="AF42" s="122">
        <v>200880.2294767728</v>
      </c>
      <c r="AG42" s="122">
        <v>205303.352465189</v>
      </c>
      <c r="AH42" s="122">
        <v>209702.07823390109</v>
      </c>
      <c r="AI42" s="122">
        <v>214109.67805216881</v>
      </c>
      <c r="AJ42" s="122">
        <v>218562.55325652359</v>
      </c>
      <c r="AK42" s="122">
        <v>223100.28658399911</v>
      </c>
      <c r="AL42" s="122">
        <v>227765.76095649961</v>
      </c>
      <c r="AM42" s="122">
        <v>232605.35601341369</v>
      </c>
      <c r="AN42" s="122">
        <v>237669.23350185761</v>
      </c>
    </row>
    <row r="43" spans="1:40" x14ac:dyDescent="0.2">
      <c r="A43" s="123" t="s">
        <v>105</v>
      </c>
      <c r="B43" s="122">
        <v>3224.8526645654251</v>
      </c>
      <c r="C43" s="122">
        <v>3431.7689157605332</v>
      </c>
      <c r="D43" s="122">
        <v>3642.525975669651</v>
      </c>
      <c r="E43" s="122">
        <v>3857.4429354561571</v>
      </c>
      <c r="F43" s="122">
        <v>4077.034274849394</v>
      </c>
      <c r="G43" s="122">
        <v>4302.0255285005896</v>
      </c>
      <c r="H43" s="122">
        <v>4533.3697326532056</v>
      </c>
      <c r="I43" s="122">
        <v>4772.2655698080853</v>
      </c>
      <c r="J43" s="122">
        <v>5020.1782782722839</v>
      </c>
      <c r="K43" s="122">
        <v>5278.0774515698449</v>
      </c>
      <c r="L43" s="122">
        <v>5543.7855966435236</v>
      </c>
      <c r="M43" s="122">
        <v>5813.7766992349898</v>
      </c>
      <c r="N43" s="122">
        <v>6083.8532302250678</v>
      </c>
      <c r="O43" s="122">
        <v>6349.1381354359864</v>
      </c>
      <c r="P43" s="122">
        <v>6604.9146683176641</v>
      </c>
      <c r="Q43" s="122">
        <v>6849.3730054696889</v>
      </c>
      <c r="R43" s="122">
        <v>7081.6408138476154</v>
      </c>
      <c r="S43" s="122">
        <v>7301.0402516272252</v>
      </c>
      <c r="T43" s="122">
        <v>7507.0906436744499</v>
      </c>
      <c r="U43" s="122">
        <v>7699.5074847366141</v>
      </c>
      <c r="V43" s="122">
        <v>7878.1981410391236</v>
      </c>
      <c r="W43" s="122">
        <v>8043.2546860695784</v>
      </c>
      <c r="X43" s="122">
        <v>8194.9443504323481</v>
      </c>
      <c r="Y43" s="122">
        <v>8333.6980897746525</v>
      </c>
      <c r="Z43" s="122">
        <v>8460.097780699838</v>
      </c>
      <c r="AA43" s="122">
        <v>8574.8625446470651</v>
      </c>
      <c r="AB43" s="122">
        <v>8678.8346766569048</v>
      </c>
      <c r="AC43" s="122">
        <v>8772.9656226891311</v>
      </c>
      <c r="AD43" s="122">
        <v>8858.3024086798941</v>
      </c>
      <c r="AE43" s="122">
        <v>8935.9748796967342</v>
      </c>
      <c r="AF43" s="122">
        <v>9007.1840610523523</v>
      </c>
      <c r="AG43" s="122">
        <v>9073.1919074899324</v>
      </c>
      <c r="AH43" s="122">
        <v>9135.312663659548</v>
      </c>
      <c r="AI43" s="122">
        <v>9194.9060208603769</v>
      </c>
      <c r="AJ43" s="122">
        <v>9253.3722229007253</v>
      </c>
      <c r="AK43" s="122">
        <v>9312.1492491285644</v>
      </c>
      <c r="AL43" s="122">
        <v>9372.7121861745272</v>
      </c>
      <c r="AM43" s="122">
        <v>9436.5748925210537</v>
      </c>
      <c r="AN43" s="122">
        <v>9505.2940623585928</v>
      </c>
    </row>
    <row r="44" spans="1:40" x14ac:dyDescent="0.2">
      <c r="A44" s="123" t="s">
        <v>106</v>
      </c>
      <c r="B44" s="122">
        <v>907.3493796355416</v>
      </c>
      <c r="C44" s="122">
        <v>930.70298227878163</v>
      </c>
      <c r="D44" s="122">
        <v>954.06155581926089</v>
      </c>
      <c r="E44" s="122">
        <v>977.26366066578612</v>
      </c>
      <c r="F44" s="122">
        <v>1000.134705990405</v>
      </c>
      <c r="G44" s="122">
        <v>1022.4874169544649</v>
      </c>
      <c r="H44" s="122">
        <v>1044.1226173054081</v>
      </c>
      <c r="I44" s="122">
        <v>1064.830355163632</v>
      </c>
      <c r="J44" s="122">
        <v>1084.3913952070079</v>
      </c>
      <c r="K44" s="122">
        <v>1102.5747210526861</v>
      </c>
      <c r="L44" s="122">
        <v>1119.126157964238</v>
      </c>
      <c r="M44" s="122">
        <v>1133.7834315355631</v>
      </c>
      <c r="N44" s="122">
        <v>1146.283933070737</v>
      </c>
      <c r="O44" s="122">
        <v>1156.3687320636111</v>
      </c>
      <c r="P44" s="122">
        <v>1163.836474067811</v>
      </c>
      <c r="Q44" s="122">
        <v>1168.698151846751</v>
      </c>
      <c r="R44" s="122">
        <v>1171.0333368893851</v>
      </c>
      <c r="S44" s="122">
        <v>1170.939363558794</v>
      </c>
      <c r="T44" s="122">
        <v>1168.5291129137579</v>
      </c>
      <c r="U44" s="122">
        <v>1163.92873354517</v>
      </c>
      <c r="V44" s="122">
        <v>1157.2753478161339</v>
      </c>
      <c r="W44" s="122">
        <v>1148.7147874654131</v>
      </c>
      <c r="X44" s="122">
        <v>1138.3993974536149</v>
      </c>
      <c r="Y44" s="122">
        <v>1126.4859414304151</v>
      </c>
      <c r="Z44" s="122">
        <v>1113.1336364931351</v>
      </c>
      <c r="AA44" s="122">
        <v>1098.5023391850459</v>
      </c>
      <c r="AB44" s="122">
        <v>1082.750899112584</v>
      </c>
      <c r="AC44" s="122">
        <v>1066.035691283699</v>
      </c>
      <c r="AD44" s="122">
        <v>1048.5093333948159</v>
      </c>
      <c r="AE44" s="122">
        <v>1030.319589903452</v>
      </c>
      <c r="AF44" s="122">
        <v>1011.608460872317</v>
      </c>
      <c r="AG44" s="122">
        <v>992.51145028907229</v>
      </c>
      <c r="AH44" s="122">
        <v>973.15700586256048</v>
      </c>
      <c r="AI44" s="122">
        <v>953.66612016115698</v>
      </c>
      <c r="AJ44" s="122">
        <v>934.15208136724493</v>
      </c>
      <c r="AK44" s="122">
        <v>914.72036083650573</v>
      </c>
      <c r="AL44" s="122">
        <v>895.46862402702209</v>
      </c>
      <c r="AM44" s="122">
        <v>876.48685114986642</v>
      </c>
      <c r="AN44" s="122">
        <v>857.85755403686369</v>
      </c>
    </row>
    <row r="45" spans="1:40" x14ac:dyDescent="0.2">
      <c r="A45" s="123" t="s">
        <v>47</v>
      </c>
      <c r="B45" s="122">
        <v>1483.3175160522719</v>
      </c>
      <c r="C45" s="122">
        <v>1568.286986726645</v>
      </c>
      <c r="D45" s="122">
        <v>1674.2475969973209</v>
      </c>
      <c r="E45" s="122">
        <v>1801.215074413868</v>
      </c>
      <c r="F45" s="122">
        <v>1949.0016915033179</v>
      </c>
      <c r="G45" s="122">
        <v>2116.9403695231822</v>
      </c>
      <c r="H45" s="122">
        <v>2303.582713022302</v>
      </c>
      <c r="I45" s="122">
        <v>2506.379241467424</v>
      </c>
      <c r="J45" s="122">
        <v>2721.363519791576</v>
      </c>
      <c r="K45" s="122">
        <v>2943.8693857102239</v>
      </c>
      <c r="L45" s="122">
        <v>3171.930776991097</v>
      </c>
      <c r="M45" s="122">
        <v>3404.3125355271441</v>
      </c>
      <c r="N45" s="122">
        <v>3639.678982517054</v>
      </c>
      <c r="O45" s="122">
        <v>3876.6094106628252</v>
      </c>
      <c r="P45" s="122">
        <v>4113.6493170364902</v>
      </c>
      <c r="Q45" s="122">
        <v>4349.4463784912323</v>
      </c>
      <c r="R45" s="122">
        <v>4582.6955265243096</v>
      </c>
      <c r="S45" s="122">
        <v>4812.1277313326027</v>
      </c>
      <c r="T45" s="122">
        <v>5036.5276455366547</v>
      </c>
      <c r="U45" s="122">
        <v>5254.7498088886296</v>
      </c>
      <c r="V45" s="122">
        <v>5465.7331168985511</v>
      </c>
      <c r="W45" s="122">
        <v>5668.5133193467373</v>
      </c>
      <c r="X45" s="122">
        <v>5862.2333808643398</v>
      </c>
      <c r="Y45" s="122">
        <v>6046.1516025587034</v>
      </c>
      <c r="Z45" s="122">
        <v>6219.6474686422134</v>
      </c>
      <c r="AA45" s="122">
        <v>6382.2252430964008</v>
      </c>
      <c r="AB45" s="122">
        <v>6533.5153968267732</v>
      </c>
      <c r="AC45" s="122">
        <v>6673.2739941943546</v>
      </c>
      <c r="AD45" s="122">
        <v>6801.380208311969</v>
      </c>
      <c r="AE45" s="122">
        <v>6917.8321665378526</v>
      </c>
      <c r="AF45" s="122">
        <v>7022.7413510315901</v>
      </c>
      <c r="AG45" s="122">
        <v>7116.325794245824</v>
      </c>
      <c r="AH45" s="122">
        <v>7198.9023162868398</v>
      </c>
      <c r="AI45" s="122">
        <v>7270.8780508981436</v>
      </c>
      <c r="AJ45" s="122">
        <v>7332.7415002871867</v>
      </c>
      <c r="AK45" s="122">
        <v>7385.0533471274484</v>
      </c>
      <c r="AL45" s="122">
        <v>7428.4372358900418</v>
      </c>
      <c r="AM45" s="122">
        <v>7463.5707162655353</v>
      </c>
      <c r="AN45" s="122">
        <v>7491.1765198765706</v>
      </c>
    </row>
    <row r="46" spans="1:40" x14ac:dyDescent="0.2">
      <c r="A46" s="123" t="s">
        <v>107</v>
      </c>
      <c r="B46" s="122">
        <v>474.62286420659473</v>
      </c>
      <c r="C46" s="122">
        <v>494.34136985147211</v>
      </c>
      <c r="D46" s="122">
        <v>513.84394901120299</v>
      </c>
      <c r="E46" s="122">
        <v>533.05517909710932</v>
      </c>
      <c r="F46" s="122">
        <v>551.89995665166816</v>
      </c>
      <c r="G46" s="122">
        <v>570.30406383939101</v>
      </c>
      <c r="H46" s="122">
        <v>588.19472813207665</v>
      </c>
      <c r="I46" s="122">
        <v>605.50116872786668</v>
      </c>
      <c r="J46" s="122">
        <v>622.15512349254641</v>
      </c>
      <c r="K46" s="122">
        <v>638.07321223507779</v>
      </c>
      <c r="L46" s="122">
        <v>653.09956058345017</v>
      </c>
      <c r="M46" s="122">
        <v>667.05537623807356</v>
      </c>
      <c r="N46" s="122">
        <v>679.75838462682748</v>
      </c>
      <c r="O46" s="122">
        <v>691.02540470037002</v>
      </c>
      <c r="P46" s="122">
        <v>700.70392780405496</v>
      </c>
      <c r="Q46" s="122">
        <v>708.76394124913259</v>
      </c>
      <c r="R46" s="122">
        <v>715.21794183416887</v>
      </c>
      <c r="S46" s="122">
        <v>720.09220417109475</v>
      </c>
      <c r="T46" s="122">
        <v>723.42571036134643</v>
      </c>
      <c r="U46" s="122">
        <v>725.26895869097712</v>
      </c>
      <c r="V46" s="122">
        <v>725.68268447876414</v>
      </c>
      <c r="W46" s="122">
        <v>724.73652517259779</v>
      </c>
      <c r="X46" s="122">
        <v>722.50766000017427</v>
      </c>
      <c r="Y46" s="122">
        <v>719.07945208209867</v>
      </c>
      <c r="Z46" s="122">
        <v>714.5401180538513</v>
      </c>
      <c r="AA46" s="122">
        <v>708.98144706039477</v>
      </c>
      <c r="AB46" s="122">
        <v>702.49758761819851</v>
      </c>
      <c r="AC46" s="122">
        <v>695.18391740735296</v>
      </c>
      <c r="AD46" s="122">
        <v>687.13600766971911</v>
      </c>
      <c r="AE46" s="122">
        <v>678.44869063986391</v>
      </c>
      <c r="AF46" s="122">
        <v>669.21523539855787</v>
      </c>
      <c r="AG46" s="122">
        <v>659.52663477129215</v>
      </c>
      <c r="AH46" s="122">
        <v>649.47100343716068</v>
      </c>
      <c r="AI46" s="122">
        <v>639.13308529173673</v>
      </c>
      <c r="AJ46" s="122">
        <v>628.59386633240342</v>
      </c>
      <c r="AK46" s="122">
        <v>617.93028790529695</v>
      </c>
      <c r="AL46" s="122">
        <v>607.21505405881931</v>
      </c>
      <c r="AM46" s="122">
        <v>596.51652597097882</v>
      </c>
      <c r="AN46" s="122">
        <v>585.89869593228048</v>
      </c>
    </row>
    <row r="47" spans="1:40" x14ac:dyDescent="0.2">
      <c r="A47" s="123" t="s">
        <v>108</v>
      </c>
      <c r="B47" s="122">
        <v>17470.728074872739</v>
      </c>
      <c r="C47" s="122">
        <v>18240.846627361869</v>
      </c>
      <c r="D47" s="122">
        <v>19154.329700701492</v>
      </c>
      <c r="E47" s="122">
        <v>20200.806313632031</v>
      </c>
      <c r="F47" s="122">
        <v>21366.925200717531</v>
      </c>
      <c r="G47" s="122">
        <v>22634.907999544979</v>
      </c>
      <c r="H47" s="122">
        <v>23981.183726598902</v>
      </c>
      <c r="I47" s="122">
        <v>25375.200220979539</v>
      </c>
      <c r="J47" s="122">
        <v>26778.553721003529</v>
      </c>
      <c r="K47" s="122">
        <v>28150.89535265891</v>
      </c>
      <c r="L47" s="122">
        <v>29471.412062559772</v>
      </c>
      <c r="M47" s="122">
        <v>30724.609632691288</v>
      </c>
      <c r="N47" s="122">
        <v>31894.923045574771</v>
      </c>
      <c r="O47" s="122">
        <v>32967.009906501276</v>
      </c>
      <c r="P47" s="122">
        <v>33928.017734946407</v>
      </c>
      <c r="Q47" s="122">
        <v>34774.161743893957</v>
      </c>
      <c r="R47" s="122">
        <v>35505.651818840692</v>
      </c>
      <c r="S47" s="122">
        <v>36124.706562004671</v>
      </c>
      <c r="T47" s="122">
        <v>36635.368600329377</v>
      </c>
      <c r="U47" s="122">
        <v>37043.292720533253</v>
      </c>
      <c r="V47" s="122">
        <v>37355.518025884463</v>
      </c>
      <c r="W47" s="122">
        <v>37580.23454891282</v>
      </c>
      <c r="X47" s="122">
        <v>37726.553635459233</v>
      </c>
      <c r="Y47" s="122">
        <v>37804.290064226232</v>
      </c>
      <c r="Z47" s="122">
        <v>37823.762400695719</v>
      </c>
      <c r="AA47" s="122">
        <v>37795.616609535391</v>
      </c>
      <c r="AB47" s="122">
        <v>37730.676552317113</v>
      </c>
      <c r="AC47" s="122">
        <v>37639.823745138572</v>
      </c>
      <c r="AD47" s="122">
        <v>37533.907692131157</v>
      </c>
      <c r="AE47" s="122">
        <v>37423.687277093421</v>
      </c>
      <c r="AF47" s="122">
        <v>37319.80310333649</v>
      </c>
      <c r="AG47" s="122">
        <v>37232.780326866159</v>
      </c>
      <c r="AH47" s="122">
        <v>37173.061428538771</v>
      </c>
      <c r="AI47" s="122">
        <v>37151.068511599638</v>
      </c>
      <c r="AJ47" s="122">
        <v>37177.295087135033</v>
      </c>
      <c r="AK47" s="122">
        <v>37262.427920565271</v>
      </c>
      <c r="AL47" s="122">
        <v>37417.500364182109</v>
      </c>
      <c r="AM47" s="122">
        <v>37654.079712185492</v>
      </c>
      <c r="AN47" s="122">
        <v>37984.49251963252</v>
      </c>
    </row>
    <row r="48" spans="1:40" x14ac:dyDescent="0.2">
      <c r="A48" s="123" t="s">
        <v>109</v>
      </c>
      <c r="B48" s="122">
        <v>2464.9908072284761</v>
      </c>
      <c r="C48" s="122">
        <v>2665.639810747904</v>
      </c>
      <c r="D48" s="122">
        <v>2902.2716072083222</v>
      </c>
      <c r="E48" s="122">
        <v>3175.729098975241</v>
      </c>
      <c r="F48" s="122">
        <v>3486.0694450325068</v>
      </c>
      <c r="G48" s="122">
        <v>3832.0767026235922</v>
      </c>
      <c r="H48" s="122">
        <v>4210.7194654358591</v>
      </c>
      <c r="I48" s="122">
        <v>4616.5842005751674</v>
      </c>
      <c r="J48" s="122">
        <v>5041.3393783976444</v>
      </c>
      <c r="K48" s="122">
        <v>5474.9522231977944</v>
      </c>
      <c r="L48" s="122">
        <v>5911.4354159548911</v>
      </c>
      <c r="M48" s="122">
        <v>6345.7490623415006</v>
      </c>
      <c r="N48" s="122">
        <v>6772.5041858342802</v>
      </c>
      <c r="O48" s="122">
        <v>7186.0664005257422</v>
      </c>
      <c r="P48" s="122">
        <v>7581.1713896112151</v>
      </c>
      <c r="Q48" s="122">
        <v>7954.741014529216</v>
      </c>
      <c r="R48" s="122">
        <v>8304.823114532237</v>
      </c>
      <c r="S48" s="122">
        <v>8630.1692479699359</v>
      </c>
      <c r="T48" s="122">
        <v>8930.2330871398754</v>
      </c>
      <c r="U48" s="122">
        <v>9205.148594182956</v>
      </c>
      <c r="V48" s="122">
        <v>9455.69186823981</v>
      </c>
      <c r="W48" s="122">
        <v>9683.2309482743258</v>
      </c>
      <c r="X48" s="122">
        <v>9889.6679665264783</v>
      </c>
      <c r="Y48" s="122">
        <v>10077.37792228057</v>
      </c>
      <c r="Z48" s="122">
        <v>10249.148042608171</v>
      </c>
      <c r="AA48" s="122">
        <v>10408.121277902979</v>
      </c>
      <c r="AB48" s="122">
        <v>10557.747006000071</v>
      </c>
      <c r="AC48" s="122">
        <v>10701.74154506533</v>
      </c>
      <c r="AD48" s="122">
        <v>10844.06065071466</v>
      </c>
      <c r="AE48" s="122">
        <v>10988.885837626251</v>
      </c>
      <c r="AF48" s="122">
        <v>11140.62615376031</v>
      </c>
      <c r="AG48" s="122">
        <v>11303.93697431179</v>
      </c>
      <c r="AH48" s="122">
        <v>11483.75749806724</v>
      </c>
      <c r="AI48" s="122">
        <v>11685.36894695137</v>
      </c>
      <c r="AJ48" s="122">
        <v>11914.47602107588</v>
      </c>
      <c r="AK48" s="122">
        <v>12177.314987174541</v>
      </c>
      <c r="AL48" s="122">
        <v>12480.79293442255</v>
      </c>
      <c r="AM48" s="122">
        <v>12832.664298342141</v>
      </c>
      <c r="AN48" s="122">
        <v>13241.752844398041</v>
      </c>
    </row>
    <row r="49" spans="1:40" x14ac:dyDescent="0.2">
      <c r="A49" s="123" t="s">
        <v>110</v>
      </c>
      <c r="B49" s="122">
        <v>1298.5975960878829</v>
      </c>
      <c r="C49" s="122">
        <v>1353.358237928918</v>
      </c>
      <c r="D49" s="122">
        <v>1418.4510559999389</v>
      </c>
      <c r="E49" s="122">
        <v>1493.0706591018361</v>
      </c>
      <c r="F49" s="122">
        <v>1576.201742686643</v>
      </c>
      <c r="G49" s="122">
        <v>1666.51679937672</v>
      </c>
      <c r="H49" s="122">
        <v>1762.2805703498341</v>
      </c>
      <c r="I49" s="122">
        <v>1861.2679057207481</v>
      </c>
      <c r="J49" s="122">
        <v>1960.704823859299</v>
      </c>
      <c r="K49" s="122">
        <v>2057.695692688967</v>
      </c>
      <c r="L49" s="122">
        <v>2150.7611082536082</v>
      </c>
      <c r="M49" s="122">
        <v>2238.808173344677</v>
      </c>
      <c r="N49" s="122">
        <v>2320.7420096262872</v>
      </c>
      <c r="O49" s="122">
        <v>2395.4863633948648</v>
      </c>
      <c r="P49" s="122">
        <v>2462.1464457360039</v>
      </c>
      <c r="Q49" s="122">
        <v>2520.4810919427869</v>
      </c>
      <c r="R49" s="122">
        <v>2570.5338694625539</v>
      </c>
      <c r="S49" s="122">
        <v>2612.489052098806</v>
      </c>
      <c r="T49" s="122">
        <v>2646.6580150990271</v>
      </c>
      <c r="U49" s="122">
        <v>2673.4638467626069</v>
      </c>
      <c r="V49" s="122">
        <v>2693.4249564633951</v>
      </c>
      <c r="W49" s="122">
        <v>2707.1384007412212</v>
      </c>
      <c r="X49" s="122">
        <v>2715.2635672790202</v>
      </c>
      <c r="Y49" s="122">
        <v>2718.5067598151932</v>
      </c>
      <c r="Z49" s="122">
        <v>2717.6071234208212</v>
      </c>
      <c r="AA49" s="122">
        <v>2713.324246169117</v>
      </c>
      <c r="AB49" s="122">
        <v>2706.4276758657861</v>
      </c>
      <c r="AC49" s="122">
        <v>2697.688503676784</v>
      </c>
      <c r="AD49" s="122">
        <v>2687.8730933572319</v>
      </c>
      <c r="AE49" s="122">
        <v>2677.7389773417008</v>
      </c>
      <c r="AF49" s="122">
        <v>2668.0329002027502</v>
      </c>
      <c r="AG49" s="122">
        <v>2659.4909661709548</v>
      </c>
      <c r="AH49" s="122">
        <v>2652.8408402871428</v>
      </c>
      <c r="AI49" s="122">
        <v>2648.8059618394191</v>
      </c>
      <c r="AJ49" s="122">
        <v>2648.1117535511662</v>
      </c>
      <c r="AK49" s="122">
        <v>2651.4938503160829</v>
      </c>
      <c r="AL49" s="122">
        <v>2659.7084274039189</v>
      </c>
      <c r="AM49" s="122">
        <v>2673.5447810054552</v>
      </c>
      <c r="AN49" s="122">
        <v>2693.840405767904</v>
      </c>
    </row>
    <row r="50" spans="1:40" x14ac:dyDescent="0.2">
      <c r="A50" s="123" t="s">
        <v>36</v>
      </c>
      <c r="B50" s="122">
        <v>42091.75905114122</v>
      </c>
      <c r="C50" s="122">
        <v>47824.424643317609</v>
      </c>
      <c r="D50" s="122">
        <v>54370.76894861809</v>
      </c>
      <c r="E50" s="122">
        <v>61798.997171101633</v>
      </c>
      <c r="F50" s="122">
        <v>70167.305597385493</v>
      </c>
      <c r="G50" s="122">
        <v>79517.511533470126</v>
      </c>
      <c r="H50" s="122">
        <v>89867.478721291685</v>
      </c>
      <c r="I50" s="122">
        <v>101202.5182580735</v>
      </c>
      <c r="J50" s="122">
        <v>113466.1330922872</v>
      </c>
      <c r="K50" s="122">
        <v>126578.7117271443</v>
      </c>
      <c r="L50" s="122">
        <v>140537.54374784039</v>
      </c>
      <c r="M50" s="122">
        <v>155372.88373159751</v>
      </c>
      <c r="N50" s="122">
        <v>171128.8306875714</v>
      </c>
      <c r="O50" s="122">
        <v>187866.8430690665</v>
      </c>
      <c r="P50" s="122">
        <v>205654.11773419971</v>
      </c>
      <c r="Q50" s="122">
        <v>224510.13931927731</v>
      </c>
      <c r="R50" s="122">
        <v>244435.4308539925</v>
      </c>
      <c r="S50" s="122">
        <v>265424.11187627091</v>
      </c>
      <c r="T50" s="122">
        <v>287463.67754118558</v>
      </c>
      <c r="U50" s="122">
        <v>310534.84584226517</v>
      </c>
      <c r="V50" s="122">
        <v>334611.47688647901</v>
      </c>
      <c r="W50" s="122">
        <v>359660.56702212448</v>
      </c>
      <c r="X50" s="122">
        <v>385642.31941182399</v>
      </c>
      <c r="Y50" s="122">
        <v>412510.29139803041</v>
      </c>
      <c r="Z50" s="122">
        <v>440211.61775353702</v>
      </c>
      <c r="AA50" s="122">
        <v>468687.30767242209</v>
      </c>
      <c r="AB50" s="122">
        <v>497872.61216455261</v>
      </c>
      <c r="AC50" s="122">
        <v>527697.45739460259</v>
      </c>
      <c r="AD50" s="122">
        <v>558086.93847794982</v>
      </c>
      <c r="AE50" s="122">
        <v>588961.86733093369</v>
      </c>
      <c r="AF50" s="122">
        <v>620239.36738929211</v>
      </c>
      <c r="AG50" s="122">
        <v>651833.50736947893</v>
      </c>
      <c r="AH50" s="122">
        <v>683655.96576280834</v>
      </c>
      <c r="AI50" s="122">
        <v>715616.71742778295</v>
      </c>
      <c r="AJ50" s="122">
        <v>747624.73348323558</v>
      </c>
      <c r="AK50" s="122">
        <v>779588.68570210168</v>
      </c>
      <c r="AL50" s="122">
        <v>811417.64675713482</v>
      </c>
      <c r="AM50" s="122">
        <v>843021.77796672937</v>
      </c>
      <c r="AN50" s="122">
        <v>874312.99661947705</v>
      </c>
    </row>
    <row r="51" spans="1:40" x14ac:dyDescent="0.2">
      <c r="A51" s="123" t="s">
        <v>37</v>
      </c>
      <c r="B51" s="122">
        <v>35734.097446895939</v>
      </c>
      <c r="C51" s="122">
        <v>39516.953275996137</v>
      </c>
      <c r="D51" s="122">
        <v>43709.315532216191</v>
      </c>
      <c r="E51" s="122">
        <v>48323.300044339026</v>
      </c>
      <c r="F51" s="122">
        <v>53362.147919016134</v>
      </c>
      <c r="G51" s="122">
        <v>58817.46039187671</v>
      </c>
      <c r="H51" s="122">
        <v>64666.237795612418</v>
      </c>
      <c r="I51" s="122">
        <v>70867.871994932488</v>
      </c>
      <c r="J51" s="122">
        <v>77361.302106962146</v>
      </c>
      <c r="K51" s="122">
        <v>84079.582392707278</v>
      </c>
      <c r="L51" s="122">
        <v>91010.257841553539</v>
      </c>
      <c r="M51" s="122">
        <v>98163.830853273772</v>
      </c>
      <c r="N51" s="122">
        <v>105560.7186053027</v>
      </c>
      <c r="O51" s="122">
        <v>113232.52571060621</v>
      </c>
      <c r="P51" s="122">
        <v>121212.38252888359</v>
      </c>
      <c r="Q51" s="122">
        <v>129497.3827835237</v>
      </c>
      <c r="R51" s="122">
        <v>138071.82559228741</v>
      </c>
      <c r="S51" s="122">
        <v>146916.67062101219</v>
      </c>
      <c r="T51" s="122">
        <v>156009.44281816349</v>
      </c>
      <c r="U51" s="122">
        <v>165324.17072917221</v>
      </c>
      <c r="V51" s="122">
        <v>174831.3623132834</v>
      </c>
      <c r="W51" s="122">
        <v>184498.0218985533</v>
      </c>
      <c r="X51" s="122">
        <v>194287.7115233675</v>
      </c>
      <c r="Y51" s="122">
        <v>204160.65942437129</v>
      </c>
      <c r="Z51" s="122">
        <v>214073.91784234231</v>
      </c>
      <c r="AA51" s="122">
        <v>223981.57163340109</v>
      </c>
      <c r="AB51" s="122">
        <v>233834.99839989381</v>
      </c>
      <c r="AC51" s="122">
        <v>243583.1800031598</v>
      </c>
      <c r="AD51" s="122">
        <v>253173.06440194041</v>
      </c>
      <c r="AE51" s="122">
        <v>262549.97579095681</v>
      </c>
      <c r="AF51" s="122">
        <v>271658.0700124937</v>
      </c>
      <c r="AG51" s="122">
        <v>280440.83120020549</v>
      </c>
      <c r="AH51" s="122">
        <v>288841.6046114731</v>
      </c>
      <c r="AI51" s="122">
        <v>296804.15963653981</v>
      </c>
      <c r="AJ51" s="122">
        <v>304273.27606444422</v>
      </c>
      <c r="AK51" s="122">
        <v>311195.34586265008</v>
      </c>
      <c r="AL51" s="122">
        <v>317518.98201431357</v>
      </c>
      <c r="AM51" s="122">
        <v>323195.62537785643</v>
      </c>
      <c r="AN51" s="122">
        <v>328180.14010985458</v>
      </c>
    </row>
    <row r="52" spans="1:40" x14ac:dyDescent="0.2">
      <c r="A52" s="123" t="s">
        <v>38</v>
      </c>
      <c r="B52" s="122">
        <v>26597.51092538951</v>
      </c>
      <c r="C52" s="122">
        <v>29141.198014604441</v>
      </c>
      <c r="D52" s="122">
        <v>31930.311839734499</v>
      </c>
      <c r="E52" s="122">
        <v>34966.574809007609</v>
      </c>
      <c r="F52" s="122">
        <v>38245.64787299915</v>
      </c>
      <c r="G52" s="122">
        <v>41755.604102959842</v>
      </c>
      <c r="H52" s="122">
        <v>45475.361730141849</v>
      </c>
      <c r="I52" s="122">
        <v>49373.170664649188</v>
      </c>
      <c r="J52" s="122">
        <v>53405.27555128526</v>
      </c>
      <c r="K52" s="122">
        <v>57526.126966715463</v>
      </c>
      <c r="L52" s="122">
        <v>61728.025230026273</v>
      </c>
      <c r="M52" s="122">
        <v>66019.019123062841</v>
      </c>
      <c r="N52" s="122">
        <v>70413.892181251664</v>
      </c>
      <c r="O52" s="122">
        <v>74934.773177728945</v>
      </c>
      <c r="P52" s="122">
        <v>79604.133646057657</v>
      </c>
      <c r="Q52" s="122">
        <v>84418.8512709567</v>
      </c>
      <c r="R52" s="122">
        <v>89367.070153351669</v>
      </c>
      <c r="S52" s="122">
        <v>94434.90216197673</v>
      </c>
      <c r="T52" s="122">
        <v>99606.378669114711</v>
      </c>
      <c r="U52" s="122">
        <v>104863.4248807102</v>
      </c>
      <c r="V52" s="122">
        <v>110185.8596109291</v>
      </c>
      <c r="W52" s="122">
        <v>115551.4231840865</v>
      </c>
      <c r="X52" s="122">
        <v>120935.83589901299</v>
      </c>
      <c r="Y52" s="122">
        <v>126312.88915862401</v>
      </c>
      <c r="Z52" s="122">
        <v>131654.5709488811</v>
      </c>
      <c r="AA52" s="122">
        <v>136931.22684703261</v>
      </c>
      <c r="AB52" s="122">
        <v>142111.7571520723</v>
      </c>
      <c r="AC52" s="122">
        <v>147163.85006676751</v>
      </c>
      <c r="AD52" s="122">
        <v>152054.2501293344</v>
      </c>
      <c r="AE52" s="122">
        <v>156749.06030595</v>
      </c>
      <c r="AF52" s="122">
        <v>161214.0753279643</v>
      </c>
      <c r="AG52" s="122">
        <v>165415.1430079526</v>
      </c>
      <c r="AH52" s="122">
        <v>169318.5494174099</v>
      </c>
      <c r="AI52" s="122">
        <v>172891.42297891731</v>
      </c>
      <c r="AJ52" s="122">
        <v>176102.15174174629</v>
      </c>
      <c r="AK52" s="122">
        <v>178920.8073979411</v>
      </c>
      <c r="AL52" s="122">
        <v>181319.56898196461</v>
      </c>
      <c r="AM52" s="122">
        <v>183273.13870658851</v>
      </c>
      <c r="AN52" s="122">
        <v>184759.1420447604</v>
      </c>
    </row>
    <row r="53" spans="1:40" x14ac:dyDescent="0.2">
      <c r="A53" s="123" t="s">
        <v>39</v>
      </c>
      <c r="B53" s="122">
        <v>6452.974249433144</v>
      </c>
      <c r="C53" s="122">
        <v>6887.0635791104469</v>
      </c>
      <c r="D53" s="122">
        <v>7347.9024873862099</v>
      </c>
      <c r="E53" s="122">
        <v>7833.1774146182579</v>
      </c>
      <c r="F53" s="122">
        <v>8339.6530594699052</v>
      </c>
      <c r="G53" s="122">
        <v>8863.0582086163122</v>
      </c>
      <c r="H53" s="122">
        <v>9397.9898459956803</v>
      </c>
      <c r="I53" s="122">
        <v>9937.8456808860992</v>
      </c>
      <c r="J53" s="122">
        <v>10474.796343584259</v>
      </c>
      <c r="K53" s="122">
        <v>11001.73539732849</v>
      </c>
      <c r="L53" s="122">
        <v>11518.85948352961</v>
      </c>
      <c r="M53" s="122">
        <v>12029.20434798212</v>
      </c>
      <c r="N53" s="122">
        <v>12536.89307770031</v>
      </c>
      <c r="O53" s="122">
        <v>13047.130263611671</v>
      </c>
      <c r="P53" s="122">
        <v>13564.70198916739</v>
      </c>
      <c r="Q53" s="122">
        <v>14089.010152348021</v>
      </c>
      <c r="R53" s="122">
        <v>14617.80362989885</v>
      </c>
      <c r="S53" s="122">
        <v>15148.569738679031</v>
      </c>
      <c r="T53" s="122">
        <v>15678.534036281309</v>
      </c>
      <c r="U53" s="122">
        <v>16204.664379197189</v>
      </c>
      <c r="V53" s="122">
        <v>16723.679758083919</v>
      </c>
      <c r="W53" s="122">
        <v>17232.064390719159</v>
      </c>
      <c r="X53" s="122">
        <v>17726.087493438929</v>
      </c>
      <c r="Y53" s="122">
        <v>18201.82906964617</v>
      </c>
      <c r="Z53" s="122">
        <v>18655.21194835729</v>
      </c>
      <c r="AA53" s="122">
        <v>19082.040176483599</v>
      </c>
      <c r="AB53" s="122">
        <v>19478.04371631188</v>
      </c>
      <c r="AC53" s="122">
        <v>19838.92922618959</v>
      </c>
      <c r="AD53" s="122">
        <v>20160.436510673189</v>
      </c>
      <c r="AE53" s="122">
        <v>20438.400020527992</v>
      </c>
      <c r="AF53" s="122">
        <v>20668.814568457699</v>
      </c>
      <c r="AG53" s="122">
        <v>20847.90420998535</v>
      </c>
      <c r="AH53" s="122">
        <v>20972.193028375041</v>
      </c>
      <c r="AI53" s="122">
        <v>21038.576366654881</v>
      </c>
      <c r="AJ53" s="122">
        <v>21044.390878163649</v>
      </c>
      <c r="AK53" s="122">
        <v>20987.481629371439</v>
      </c>
      <c r="AL53" s="122">
        <v>20866.264394686259</v>
      </c>
      <c r="AM53" s="122">
        <v>20679.781241598579</v>
      </c>
      <c r="AN53" s="122">
        <v>20427.747523714908</v>
      </c>
    </row>
    <row r="54" spans="1:40" x14ac:dyDescent="0.2">
      <c r="A54" s="123" t="s">
        <v>40</v>
      </c>
      <c r="B54" s="122">
        <v>17998.461308152699</v>
      </c>
      <c r="C54" s="122">
        <v>19410.81259828051</v>
      </c>
      <c r="D54" s="122">
        <v>20930.379214019311</v>
      </c>
      <c r="E54" s="122">
        <v>22552.74752125239</v>
      </c>
      <c r="F54" s="122">
        <v>24270.277314047351</v>
      </c>
      <c r="G54" s="122">
        <v>26071.55156029285</v>
      </c>
      <c r="H54" s="122">
        <v>27940.862829439269</v>
      </c>
      <c r="I54" s="122">
        <v>29857.777991610761</v>
      </c>
      <c r="J54" s="122">
        <v>31796.83036634091</v>
      </c>
      <c r="K54" s="122">
        <v>33733.572508873483</v>
      </c>
      <c r="L54" s="122">
        <v>35666.023230278654</v>
      </c>
      <c r="M54" s="122">
        <v>37601.235437757248</v>
      </c>
      <c r="N54" s="122">
        <v>39549.941670940309</v>
      </c>
      <c r="O54" s="122">
        <v>41526.671070579658</v>
      </c>
      <c r="P54" s="122">
        <v>43545.315407133377</v>
      </c>
      <c r="Q54" s="122">
        <v>45603.845206830811</v>
      </c>
      <c r="R54" s="122">
        <v>47695.138632646092</v>
      </c>
      <c r="S54" s="122">
        <v>49811.122534517592</v>
      </c>
      <c r="T54" s="122">
        <v>51942.761426681027</v>
      </c>
      <c r="U54" s="122">
        <v>54080.059634222147</v>
      </c>
      <c r="V54" s="122">
        <v>56212.078289623627</v>
      </c>
      <c r="W54" s="122">
        <v>58326.968757659997</v>
      </c>
      <c r="X54" s="122">
        <v>60412.023906438728</v>
      </c>
      <c r="Y54" s="122">
        <v>62453.748419455413</v>
      </c>
      <c r="Z54" s="122">
        <v>64437.949055470148</v>
      </c>
      <c r="AA54" s="122">
        <v>66349.845409011366</v>
      </c>
      <c r="AB54" s="122">
        <v>68174.201305796756</v>
      </c>
      <c r="AC54" s="122">
        <v>69895.476488380489</v>
      </c>
      <c r="AD54" s="122">
        <v>71497.997714800949</v>
      </c>
      <c r="AE54" s="122">
        <v>72966.147816861499</v>
      </c>
      <c r="AF54" s="122">
        <v>74284.570658033583</v>
      </c>
      <c r="AG54" s="122">
        <v>75438.389309941558</v>
      </c>
      <c r="AH54" s="122">
        <v>76413.434149964742</v>
      </c>
      <c r="AI54" s="122">
        <v>77196.476992100128</v>
      </c>
      <c r="AJ54" s="122">
        <v>77775.466822165763</v>
      </c>
      <c r="AK54" s="122">
        <v>78139.76224113116</v>
      </c>
      <c r="AL54" s="122">
        <v>78280.355351509555</v>
      </c>
      <c r="AM54" s="122">
        <v>78190.081575130011</v>
      </c>
      <c r="AN54" s="122">
        <v>77863.809788076353</v>
      </c>
    </row>
    <row r="55" spans="1:40" x14ac:dyDescent="0.2">
      <c r="A55" s="123" t="s">
        <v>41</v>
      </c>
      <c r="B55" s="122">
        <v>44125.462351119488</v>
      </c>
      <c r="C55" s="122">
        <v>47718.276868680427</v>
      </c>
      <c r="D55" s="122">
        <v>51596.881962466628</v>
      </c>
      <c r="E55" s="122">
        <v>55752.263679294963</v>
      </c>
      <c r="F55" s="122">
        <v>60167.091445994964</v>
      </c>
      <c r="G55" s="122">
        <v>64814.192644181152</v>
      </c>
      <c r="H55" s="122">
        <v>69655.100142150375</v>
      </c>
      <c r="I55" s="122">
        <v>74638.783954894432</v>
      </c>
      <c r="J55" s="122">
        <v>79700.700704699295</v>
      </c>
      <c r="K55" s="122">
        <v>84778.016300787844</v>
      </c>
      <c r="L55" s="122">
        <v>89864.317699773237</v>
      </c>
      <c r="M55" s="122">
        <v>94976.044919049746</v>
      </c>
      <c r="N55" s="122">
        <v>100139.0566418846</v>
      </c>
      <c r="O55" s="122">
        <v>105389.0223872598</v>
      </c>
      <c r="P55" s="122">
        <v>110760.4058065284</v>
      </c>
      <c r="Q55" s="122">
        <v>116248.0504609983</v>
      </c>
      <c r="R55" s="122">
        <v>121833.9881871517</v>
      </c>
      <c r="S55" s="122">
        <v>127497.7589007559</v>
      </c>
      <c r="T55" s="122">
        <v>133216.3755369625</v>
      </c>
      <c r="U55" s="122">
        <v>138964.32212369121</v>
      </c>
      <c r="V55" s="122">
        <v>144713.58924116939</v>
      </c>
      <c r="W55" s="122">
        <v>150433.75087067869</v>
      </c>
      <c r="X55" s="122">
        <v>156092.08624393801</v>
      </c>
      <c r="Y55" s="122">
        <v>161653.74976110519</v>
      </c>
      <c r="Z55" s="122">
        <v>167081.99134368991</v>
      </c>
      <c r="AA55" s="122">
        <v>172338.42872689289</v>
      </c>
      <c r="AB55" s="122">
        <v>177383.37217749169</v>
      </c>
      <c r="AC55" s="122">
        <v>182176.2009579833</v>
      </c>
      <c r="AD55" s="122">
        <v>186675.78956161611</v>
      </c>
      <c r="AE55" s="122">
        <v>190840.98033958519</v>
      </c>
      <c r="AF55" s="122">
        <v>194631.0976618159</v>
      </c>
      <c r="AG55" s="122">
        <v>198006.4972341742</v>
      </c>
      <c r="AH55" s="122">
        <v>200929.14268216601</v>
      </c>
      <c r="AI55" s="122">
        <v>203363.20005430869</v>
      </c>
      <c r="AJ55" s="122">
        <v>205275.63955215679</v>
      </c>
      <c r="AK55" s="122">
        <v>206636.8326156665</v>
      </c>
      <c r="AL55" s="122">
        <v>207421.13154049631</v>
      </c>
      <c r="AM55" s="122">
        <v>207607.4181342597</v>
      </c>
      <c r="AN55" s="122">
        <v>207179.6075839262</v>
      </c>
    </row>
    <row r="56" spans="1:40" x14ac:dyDescent="0.2">
      <c r="A56" s="123" t="s">
        <v>42</v>
      </c>
      <c r="B56" s="122">
        <v>26850.540684381289</v>
      </c>
      <c r="C56" s="122">
        <v>28575.711198272282</v>
      </c>
      <c r="D56" s="122">
        <v>30400.245726167821</v>
      </c>
      <c r="E56" s="122">
        <v>32313.982873531739</v>
      </c>
      <c r="F56" s="122">
        <v>34303.193588513866</v>
      </c>
      <c r="G56" s="122">
        <v>36350.183063038232</v>
      </c>
      <c r="H56" s="122">
        <v>38432.970425865387</v>
      </c>
      <c r="I56" s="122">
        <v>40525.083589551723</v>
      </c>
      <c r="J56" s="122">
        <v>42595.509966078564</v>
      </c>
      <c r="K56" s="122">
        <v>44616.558524869972</v>
      </c>
      <c r="L56" s="122">
        <v>46590.077189452408</v>
      </c>
      <c r="M56" s="122">
        <v>48529.271418600198</v>
      </c>
      <c r="N56" s="122">
        <v>50451.601351202647</v>
      </c>
      <c r="O56" s="122">
        <v>52378.715798854028</v>
      </c>
      <c r="P56" s="122">
        <v>54330.319985400529</v>
      </c>
      <c r="Q56" s="122">
        <v>56304.077239043661</v>
      </c>
      <c r="R56" s="122">
        <v>58290.957489183427</v>
      </c>
      <c r="S56" s="122">
        <v>60280.922520991349</v>
      </c>
      <c r="T56" s="122">
        <v>62262.928487660989</v>
      </c>
      <c r="U56" s="122">
        <v>64224.945626352928</v>
      </c>
      <c r="V56" s="122">
        <v>66153.997238561074</v>
      </c>
      <c r="W56" s="122">
        <v>68036.219830148446</v>
      </c>
      <c r="X56" s="122">
        <v>69856.946054638014</v>
      </c>
      <c r="Y56" s="122">
        <v>71600.811758958997</v>
      </c>
      <c r="Z56" s="122">
        <v>73251.887989682669</v>
      </c>
      <c r="AA56" s="122">
        <v>74793.838279134172</v>
      </c>
      <c r="AB56" s="122">
        <v>76210.100897732467</v>
      </c>
      <c r="AC56" s="122">
        <v>77484.095039247506</v>
      </c>
      <c r="AD56" s="122">
        <v>78599.449112085582</v>
      </c>
      <c r="AE56" s="122">
        <v>79540.248460361181</v>
      </c>
      <c r="AF56" s="122">
        <v>80291.298956950865</v>
      </c>
      <c r="AG56" s="122">
        <v>80838.402025848729</v>
      </c>
      <c r="AH56" s="122">
        <v>81168.635796612813</v>
      </c>
      <c r="AI56" s="122">
        <v>81270.636307103559</v>
      </c>
      <c r="AJ56" s="122">
        <v>81134.871992369037</v>
      </c>
      <c r="AK56" s="122">
        <v>80753.904168815207</v>
      </c>
      <c r="AL56" s="122">
        <v>80122.6258842549</v>
      </c>
      <c r="AM56" s="122">
        <v>79238.471393583881</v>
      </c>
      <c r="AN56" s="122">
        <v>78101.588668748431</v>
      </c>
    </row>
    <row r="57" spans="1:40" x14ac:dyDescent="0.2">
      <c r="A57" s="123" t="s">
        <v>43</v>
      </c>
      <c r="B57" s="122">
        <v>7683.5639559520841</v>
      </c>
      <c r="C57" s="122">
        <v>8290.3644286987601</v>
      </c>
      <c r="D57" s="122">
        <v>8980.754156915491</v>
      </c>
      <c r="E57" s="122">
        <v>9755.4260258266422</v>
      </c>
      <c r="F57" s="122">
        <v>10613.04214187477</v>
      </c>
      <c r="G57" s="122">
        <v>11549.40802493499</v>
      </c>
      <c r="H57" s="122">
        <v>12556.59013865051</v>
      </c>
      <c r="I57" s="122">
        <v>13622.030280502429</v>
      </c>
      <c r="J57" s="122">
        <v>14727.738471486089</v>
      </c>
      <c r="K57" s="122">
        <v>15853.743576966421</v>
      </c>
      <c r="L57" s="122">
        <v>16992.312149423738</v>
      </c>
      <c r="M57" s="122">
        <v>18139.813567471188</v>
      </c>
      <c r="N57" s="122">
        <v>19293.35105656704</v>
      </c>
      <c r="O57" s="122">
        <v>20450.872046180441</v>
      </c>
      <c r="P57" s="122">
        <v>21610.376253129889</v>
      </c>
      <c r="Q57" s="122">
        <v>22766.95677870126</v>
      </c>
      <c r="R57" s="122">
        <v>23914.85898300412</v>
      </c>
      <c r="S57" s="122">
        <v>25048.33603015438</v>
      </c>
      <c r="T57" s="122">
        <v>26161.71324960488</v>
      </c>
      <c r="U57" s="122">
        <v>27249.45082448321</v>
      </c>
      <c r="V57" s="122">
        <v>28306.203735330539</v>
      </c>
      <c r="W57" s="122">
        <v>29326.87797806802</v>
      </c>
      <c r="X57" s="122">
        <v>30306.682185819289</v>
      </c>
      <c r="Y57" s="122">
        <v>31241.17391128977</v>
      </c>
      <c r="Z57" s="122">
        <v>32126.299965382139</v>
      </c>
      <c r="AA57" s="122">
        <v>32958.430354141557</v>
      </c>
      <c r="AB57" s="122">
        <v>33734.38550556163</v>
      </c>
      <c r="AC57" s="122">
        <v>34451.456626050131</v>
      </c>
      <c r="AD57" s="122">
        <v>35107.419169581117</v>
      </c>
      <c r="AE57" s="122">
        <v>35700.539537315897</v>
      </c>
      <c r="AF57" s="122">
        <v>36229.575248859328</v>
      </c>
      <c r="AG57" s="122">
        <v>36693.768935968546</v>
      </c>
      <c r="AH57" s="122">
        <v>37092.836603719406</v>
      </c>
      <c r="AI57" s="122">
        <v>37426.950681685499</v>
      </c>
      <c r="AJ57" s="122">
        <v>37696.718448043888</v>
      </c>
      <c r="AK57" s="122">
        <v>37903.156452631432</v>
      </c>
      <c r="AL57" s="122">
        <v>38047.661591308919</v>
      </c>
      <c r="AM57" s="122">
        <v>38131.979494399318</v>
      </c>
      <c r="AN57" s="122">
        <v>38158.170887698187</v>
      </c>
    </row>
    <row r="58" spans="1:40" x14ac:dyDescent="0.2">
      <c r="A58" s="123" t="s">
        <v>44</v>
      </c>
      <c r="B58" s="122">
        <v>54218.036905075918</v>
      </c>
      <c r="C58" s="122">
        <v>58696.322691136083</v>
      </c>
      <c r="D58" s="122">
        <v>63537.251994139799</v>
      </c>
      <c r="E58" s="122">
        <v>68730.706639523036</v>
      </c>
      <c r="F58" s="122">
        <v>74256.154861725678</v>
      </c>
      <c r="G58" s="122">
        <v>80080.686852106941</v>
      </c>
      <c r="H58" s="122">
        <v>86157.130374772605</v>
      </c>
      <c r="I58" s="122">
        <v>92422.38760433947</v>
      </c>
      <c r="J58" s="122">
        <v>98796.164050112158</v>
      </c>
      <c r="K58" s="122">
        <v>105199.85806470391</v>
      </c>
      <c r="L58" s="122">
        <v>111624.84827629389</v>
      </c>
      <c r="M58" s="122">
        <v>118090.93546888221</v>
      </c>
      <c r="N58" s="122">
        <v>124629.6843316794</v>
      </c>
      <c r="O58" s="122">
        <v>131284.95965478741</v>
      </c>
      <c r="P58" s="122">
        <v>138099.32068287709</v>
      </c>
      <c r="Q58" s="122">
        <v>145066.35688300949</v>
      </c>
      <c r="R58" s="122">
        <v>152163.75321217041</v>
      </c>
      <c r="S58" s="122">
        <v>159366.05209364789</v>
      </c>
      <c r="T58" s="122">
        <v>166644.60624043091</v>
      </c>
      <c r="U58" s="122">
        <v>173967.5726075531</v>
      </c>
      <c r="V58" s="122">
        <v>181299.95276046111</v>
      </c>
      <c r="W58" s="122">
        <v>188603.68463953209</v>
      </c>
      <c r="X58" s="122">
        <v>195837.79022015931</v>
      </c>
      <c r="Y58" s="122">
        <v>202958.5829012412</v>
      </c>
      <c r="Z58" s="122">
        <v>209919.93759481559</v>
      </c>
      <c r="AA58" s="122">
        <v>216673.62543374079</v>
      </c>
      <c r="AB58" s="122">
        <v>223169.71376714151</v>
      </c>
      <c r="AC58" s="122">
        <v>229357.03068640659</v>
      </c>
      <c r="AD58" s="122">
        <v>235183.69173767709</v>
      </c>
      <c r="AE58" s="122">
        <v>240597.68475836911</v>
      </c>
      <c r="AF58" s="122">
        <v>245547.5069623501</v>
      </c>
      <c r="AG58" s="122">
        <v>249982.8465366801</v>
      </c>
      <c r="AH58" s="122">
        <v>253855.2991558559</v>
      </c>
      <c r="AI58" s="122">
        <v>257119.10802780581</v>
      </c>
      <c r="AJ58" s="122">
        <v>259731.9144253397</v>
      </c>
      <c r="AK58" s="122">
        <v>261655.50419652031</v>
      </c>
      <c r="AL58" s="122">
        <v>262856.53455778892</v>
      </c>
      <c r="AM58" s="122">
        <v>263307.22462275898</v>
      </c>
      <c r="AN58" s="122">
        <v>262985.99267080729</v>
      </c>
    </row>
    <row r="59" spans="1:40" x14ac:dyDescent="0.2">
      <c r="A59" s="123" t="s">
        <v>196</v>
      </c>
      <c r="B59" s="122">
        <v>375578.60517081118</v>
      </c>
      <c r="C59" s="122">
        <v>387683.62141912221</v>
      </c>
      <c r="D59" s="122">
        <v>400765.69786332268</v>
      </c>
      <c r="E59" s="122">
        <v>414748.80110842822</v>
      </c>
      <c r="F59" s="122">
        <v>429555.044638397</v>
      </c>
      <c r="G59" s="122">
        <v>445099.62406152551</v>
      </c>
      <c r="H59" s="122">
        <v>461286.47130633972</v>
      </c>
      <c r="I59" s="122">
        <v>478004.94304384961</v>
      </c>
      <c r="J59" s="122">
        <v>495128.01359023218</v>
      </c>
      <c r="K59" s="122">
        <v>512507.14724321029</v>
      </c>
      <c r="L59" s="122">
        <v>529952.09358599829</v>
      </c>
      <c r="M59" s="122">
        <v>547236.71865556692</v>
      </c>
      <c r="N59" s="122">
        <v>564101.58162630035</v>
      </c>
      <c r="O59" s="122">
        <v>580253.7345981301</v>
      </c>
      <c r="P59" s="122">
        <v>595417.61545557354</v>
      </c>
      <c r="Q59" s="122">
        <v>609500.37969936093</v>
      </c>
      <c r="R59" s="122">
        <v>622470.34195375256</v>
      </c>
      <c r="S59" s="122">
        <v>634311.30914371565</v>
      </c>
      <c r="T59" s="122">
        <v>645022.3449939125</v>
      </c>
      <c r="U59" s="122">
        <v>654617.26503814175</v>
      </c>
      <c r="V59" s="122">
        <v>663123.90320902073</v>
      </c>
      <c r="W59" s="122">
        <v>670583.19512830477</v>
      </c>
      <c r="X59" s="122">
        <v>677048.12515229627</v>
      </c>
      <c r="Y59" s="122">
        <v>682582.58427893824</v>
      </c>
      <c r="Z59" s="122">
        <v>687260.18449536455</v>
      </c>
      <c r="AA59" s="122">
        <v>691163.07237807475</v>
      </c>
      <c r="AB59" s="122">
        <v>694380.78110780613</v>
      </c>
      <c r="AC59" s="122">
        <v>697009.15587695478</v>
      </c>
      <c r="AD59" s="122">
        <v>699149.38327672926</v>
      </c>
      <c r="AE59" s="122">
        <v>700907.15095080296</v>
      </c>
      <c r="AF59" s="122">
        <v>702391.95985233539</v>
      </c>
      <c r="AG59" s="122">
        <v>703716.60806568584</v>
      </c>
      <c r="AH59" s="122">
        <v>704996.86254387896</v>
      </c>
      <c r="AI59" s="122">
        <v>706351.33343314275</v>
      </c>
      <c r="AJ59" s="122">
        <v>707901.56505583401</v>
      </c>
      <c r="AK59" s="122">
        <v>709772.35824943543</v>
      </c>
      <c r="AL59" s="122">
        <v>712092.34077068197</v>
      </c>
      <c r="AM59" s="122">
        <v>714994.80606067472</v>
      </c>
      <c r="AN59" s="122">
        <v>718618.84607311117</v>
      </c>
    </row>
    <row r="60" spans="1:40" x14ac:dyDescent="0.2">
      <c r="A60" s="123" t="s">
        <v>197</v>
      </c>
      <c r="B60" s="122">
        <v>261752.4068775413</v>
      </c>
      <c r="C60" s="122">
        <v>286061.12729809672</v>
      </c>
      <c r="D60" s="122">
        <v>312803.81186166411</v>
      </c>
      <c r="E60" s="122">
        <v>342027.17617849528</v>
      </c>
      <c r="F60" s="122">
        <v>373724.51380102732</v>
      </c>
      <c r="G60" s="122">
        <v>407819.65638147708</v>
      </c>
      <c r="H60" s="122">
        <v>444149.72200391977</v>
      </c>
      <c r="I60" s="122">
        <v>482447.47001944011</v>
      </c>
      <c r="J60" s="122">
        <v>522324.45065283577</v>
      </c>
      <c r="K60" s="122">
        <v>563367.90546009713</v>
      </c>
      <c r="L60" s="122">
        <v>605532.26484817185</v>
      </c>
      <c r="M60" s="122">
        <v>648922.23886767682</v>
      </c>
      <c r="N60" s="122">
        <v>693703.9696041001</v>
      </c>
      <c r="O60" s="122">
        <v>740111.5131786745</v>
      </c>
      <c r="P60" s="122">
        <v>788381.07403337758</v>
      </c>
      <c r="Q60" s="122">
        <v>838504.67009468935</v>
      </c>
      <c r="R60" s="122">
        <v>890390.82673368626</v>
      </c>
      <c r="S60" s="122">
        <v>943928.44647800596</v>
      </c>
      <c r="T60" s="122">
        <v>998986.41800608533</v>
      </c>
      <c r="U60" s="122">
        <v>1055413.4566476471</v>
      </c>
      <c r="V60" s="122">
        <v>1113038.1998339209</v>
      </c>
      <c r="W60" s="122">
        <v>1171669.578571571</v>
      </c>
      <c r="X60" s="122">
        <v>1231097.482938637</v>
      </c>
      <c r="Y60" s="122">
        <v>1291093.7358027219</v>
      </c>
      <c r="Z60" s="122">
        <v>1351413.384442158</v>
      </c>
      <c r="AA60" s="122">
        <v>1411796.3145322599</v>
      </c>
      <c r="AB60" s="122">
        <v>1471969.1850865551</v>
      </c>
      <c r="AC60" s="122">
        <v>1531647.6764887881</v>
      </c>
      <c r="AD60" s="122">
        <v>1590539.0368156589</v>
      </c>
      <c r="AE60" s="122">
        <v>1648344.9043608611</v>
      </c>
      <c r="AF60" s="122">
        <v>1704764.376786218</v>
      </c>
      <c r="AG60" s="122">
        <v>1759497.2898302351</v>
      </c>
      <c r="AH60" s="122">
        <v>1812247.6612083849</v>
      </c>
      <c r="AI60" s="122">
        <v>1862727.248472899</v>
      </c>
      <c r="AJ60" s="122">
        <v>1910659.163407665</v>
      </c>
      <c r="AK60" s="122">
        <v>1955781.480266829</v>
      </c>
      <c r="AL60" s="122">
        <v>1997850.771073458</v>
      </c>
      <c r="AM60" s="122">
        <v>2036645.4985129051</v>
      </c>
      <c r="AN60" s="122">
        <v>2071969.195897063</v>
      </c>
    </row>
    <row r="61" spans="1:40" x14ac:dyDescent="0.2">
      <c r="A61" s="123" t="s">
        <v>198</v>
      </c>
      <c r="B61" s="122">
        <v>1131667.82684</v>
      </c>
      <c r="C61" s="122">
        <v>1191736.6956441731</v>
      </c>
      <c r="D61" s="122">
        <v>1256336.3283222499</v>
      </c>
      <c r="E61" s="122">
        <v>1325076.041879962</v>
      </c>
      <c r="F61" s="122">
        <v>1397449.6915219279</v>
      </c>
      <c r="G61" s="122">
        <v>1472801.0145419349</v>
      </c>
      <c r="H61" s="122">
        <v>1550293.68740366</v>
      </c>
      <c r="I61" s="122">
        <v>1628889.3780584589</v>
      </c>
      <c r="J61" s="122">
        <v>1707337.977897353</v>
      </c>
      <c r="K61" s="122">
        <v>1784510.990121555</v>
      </c>
      <c r="L61" s="122">
        <v>1860506.1742187981</v>
      </c>
      <c r="M61" s="122">
        <v>1935850.984164082</v>
      </c>
      <c r="N61" s="122">
        <v>2011183.9287805411</v>
      </c>
      <c r="O61" s="122">
        <v>2087243.649633561</v>
      </c>
      <c r="P61" s="122">
        <v>2164676.571555621</v>
      </c>
      <c r="Q61" s="122">
        <v>2243423.8770797672</v>
      </c>
      <c r="R61" s="122">
        <v>2323232.1393008209</v>
      </c>
      <c r="S61" s="122">
        <v>2403835.152238877</v>
      </c>
      <c r="T61" s="122">
        <v>2484952.6214405568</v>
      </c>
      <c r="U61" s="122">
        <v>2566289.090512577</v>
      </c>
      <c r="V61" s="122">
        <v>2647533.199343272</v>
      </c>
      <c r="W61" s="122">
        <v>2728357.373146784</v>
      </c>
      <c r="X61" s="122">
        <v>2808418.0400344748</v>
      </c>
      <c r="Y61" s="122">
        <v>2887356.4685105602</v>
      </c>
      <c r="Z61" s="122">
        <v>2964800.3051386252</v>
      </c>
      <c r="AA61" s="122">
        <v>3040365.87677977</v>
      </c>
      <c r="AB61" s="122">
        <v>3113661.3015325498</v>
      </c>
      <c r="AC61" s="122">
        <v>3184290.4282278069</v>
      </c>
      <c r="AD61" s="122">
        <v>3251857.5966359512</v>
      </c>
      <c r="AE61" s="122">
        <v>3315973.1802141122</v>
      </c>
      <c r="AF61" s="122">
        <v>3376259.8412585789</v>
      </c>
      <c r="AG61" s="122">
        <v>3432359.3959661219</v>
      </c>
      <c r="AH61" s="122">
        <v>3483940.1556085991</v>
      </c>
      <c r="AI61" s="122">
        <v>3530704.5814585872</v>
      </c>
      <c r="AJ61" s="122">
        <v>3572397.0671034572</v>
      </c>
      <c r="AK61" s="122">
        <v>3608811.6442794502</v>
      </c>
      <c r="AL61" s="122">
        <v>3639799.3992749131</v>
      </c>
      <c r="AM61" s="122">
        <v>3665275.3881080411</v>
      </c>
      <c r="AN61" s="122">
        <v>3685224.8516569789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476-AC89-4417-AEF3-2E407C5CB792}">
  <dimension ref="A1:S118"/>
  <sheetViews>
    <sheetView workbookViewId="0">
      <selection sqref="A1:A2"/>
    </sheetView>
  </sheetViews>
  <sheetFormatPr defaultRowHeight="14.25" x14ac:dyDescent="0.2"/>
  <cols>
    <col min="1" max="1" width="42.25" bestFit="1" customWidth="1"/>
    <col min="2" max="5" width="12.25" customWidth="1"/>
    <col min="6" max="6" width="11.625" bestFit="1" customWidth="1"/>
    <col min="8" max="9" width="13.875" customWidth="1"/>
    <col min="10" max="11" width="12" customWidth="1"/>
    <col min="12" max="15" width="11.625" customWidth="1"/>
  </cols>
  <sheetData>
    <row r="1" spans="1:19" x14ac:dyDescent="0.15">
      <c r="A1" s="183" t="s">
        <v>170</v>
      </c>
      <c r="B1" s="186">
        <v>2013</v>
      </c>
      <c r="C1" s="186"/>
      <c r="D1" s="185">
        <v>2018</v>
      </c>
      <c r="E1" s="185"/>
      <c r="H1" s="76" t="s">
        <v>171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4" x14ac:dyDescent="0.15">
      <c r="A2" s="184"/>
      <c r="B2" s="46" t="s">
        <v>49</v>
      </c>
      <c r="C2" s="47" t="s">
        <v>50</v>
      </c>
      <c r="D2" s="46" t="s">
        <v>49</v>
      </c>
      <c r="E2" s="47" t="s">
        <v>50</v>
      </c>
      <c r="H2" s="78" t="s">
        <v>172</v>
      </c>
      <c r="I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14.45" customHeight="1" x14ac:dyDescent="0.2">
      <c r="A3" s="48" t="s">
        <v>51</v>
      </c>
      <c r="B3" s="52">
        <v>592963.19999999995</v>
      </c>
      <c r="C3" s="52">
        <v>100</v>
      </c>
      <c r="D3" s="52">
        <v>919281.1</v>
      </c>
      <c r="E3" s="52">
        <v>100</v>
      </c>
      <c r="H3" s="80" t="s">
        <v>173</v>
      </c>
      <c r="I3" s="46" t="s">
        <v>174</v>
      </c>
      <c r="J3" s="46" t="s">
        <v>175</v>
      </c>
      <c r="K3" s="46" t="s">
        <v>176</v>
      </c>
      <c r="L3" s="46" t="s">
        <v>177</v>
      </c>
      <c r="M3" s="46" t="s">
        <v>178</v>
      </c>
      <c r="N3" s="46" t="s">
        <v>179</v>
      </c>
      <c r="O3" s="46" t="s">
        <v>180</v>
      </c>
      <c r="P3" s="46" t="s">
        <v>181</v>
      </c>
      <c r="Q3" s="46" t="s">
        <v>182</v>
      </c>
      <c r="R3" s="46" t="s">
        <v>183</v>
      </c>
      <c r="S3" s="47" t="s">
        <v>184</v>
      </c>
    </row>
    <row r="4" spans="1:19" ht="14.45" customHeight="1" x14ac:dyDescent="0.2">
      <c r="A4" s="49" t="s">
        <v>45</v>
      </c>
      <c r="B4" s="52">
        <v>54692.4</v>
      </c>
      <c r="C4" s="52">
        <v>9.1999999999999993</v>
      </c>
      <c r="D4" s="52">
        <v>67558.7</v>
      </c>
      <c r="E4" s="52">
        <v>7.3</v>
      </c>
      <c r="H4" s="48" t="s">
        <v>185</v>
      </c>
      <c r="I4" s="52">
        <v>412119.3</v>
      </c>
      <c r="J4" s="52">
        <v>487940.2</v>
      </c>
      <c r="K4" s="52">
        <v>538580</v>
      </c>
      <c r="L4" s="52">
        <v>592963.19999999995</v>
      </c>
      <c r="M4" s="52">
        <v>643563.1</v>
      </c>
      <c r="N4" s="52">
        <v>688858.2</v>
      </c>
      <c r="O4" s="52">
        <v>746395.1</v>
      </c>
      <c r="P4" s="52">
        <v>832035.9</v>
      </c>
      <c r="Q4" s="52">
        <v>919281.1</v>
      </c>
      <c r="R4" s="52">
        <v>986515.2</v>
      </c>
      <c r="S4" s="52">
        <v>1013567</v>
      </c>
    </row>
    <row r="5" spans="1:19" ht="14.45" customHeight="1" x14ac:dyDescent="0.2">
      <c r="A5" s="50" t="s">
        <v>65</v>
      </c>
      <c r="B5" s="52">
        <v>31498.1</v>
      </c>
      <c r="C5" s="52">
        <v>5.3</v>
      </c>
      <c r="D5" s="52">
        <v>39613.300000000003</v>
      </c>
      <c r="E5" s="52">
        <v>4.3</v>
      </c>
      <c r="H5" s="50" t="s">
        <v>45</v>
      </c>
      <c r="I5" s="52">
        <v>39619</v>
      </c>
      <c r="J5" s="52">
        <v>46122.6</v>
      </c>
      <c r="K5" s="52">
        <v>50581.2</v>
      </c>
      <c r="L5" s="52">
        <v>54692.4</v>
      </c>
      <c r="M5" s="52">
        <v>57472.2</v>
      </c>
      <c r="N5" s="52">
        <v>59852.6</v>
      </c>
      <c r="O5" s="52">
        <v>62451</v>
      </c>
      <c r="P5" s="52">
        <v>64660</v>
      </c>
      <c r="Q5" s="52">
        <v>67558.7</v>
      </c>
      <c r="R5" s="52">
        <v>73576.899999999994</v>
      </c>
      <c r="S5" s="52">
        <v>81396.5</v>
      </c>
    </row>
    <row r="6" spans="1:19" ht="14.45" customHeight="1" x14ac:dyDescent="0.2">
      <c r="A6" s="50" t="s">
        <v>66</v>
      </c>
      <c r="B6" s="52">
        <v>2534.8000000000002</v>
      </c>
      <c r="C6" s="52">
        <v>0.4</v>
      </c>
      <c r="D6" s="52">
        <v>3544.2</v>
      </c>
      <c r="E6" s="52">
        <v>0.4</v>
      </c>
      <c r="H6" s="50" t="s">
        <v>70</v>
      </c>
      <c r="I6" s="52">
        <v>20998.7</v>
      </c>
      <c r="J6" s="52">
        <v>26296.2</v>
      </c>
      <c r="K6" s="52">
        <v>25093</v>
      </c>
      <c r="L6" s="52">
        <v>25467.599999999999</v>
      </c>
      <c r="M6" s="52">
        <v>23550.5</v>
      </c>
      <c r="N6" s="52">
        <v>19243.099999999999</v>
      </c>
      <c r="O6" s="52">
        <v>18514.8</v>
      </c>
      <c r="P6" s="52">
        <v>21380.1</v>
      </c>
      <c r="Q6" s="52">
        <v>22592.3</v>
      </c>
      <c r="R6" s="52">
        <v>23695.5</v>
      </c>
      <c r="S6" s="52">
        <v>22011.5</v>
      </c>
    </row>
    <row r="7" spans="1:19" ht="14.45" customHeight="1" x14ac:dyDescent="0.2">
      <c r="A7" s="50" t="s">
        <v>67</v>
      </c>
      <c r="B7" s="52">
        <v>13394.9</v>
      </c>
      <c r="C7" s="52">
        <v>2.2999999999999998</v>
      </c>
      <c r="D7" s="52">
        <v>14254.9</v>
      </c>
      <c r="E7" s="52">
        <v>1.6</v>
      </c>
      <c r="H7" s="50" t="s">
        <v>78</v>
      </c>
      <c r="I7" s="52">
        <v>132887</v>
      </c>
      <c r="J7" s="52">
        <v>156459.4</v>
      </c>
      <c r="K7" s="52">
        <v>169809.5</v>
      </c>
      <c r="L7" s="52">
        <v>181871.1</v>
      </c>
      <c r="M7" s="52">
        <v>194189.7</v>
      </c>
      <c r="N7" s="52">
        <v>199436</v>
      </c>
      <c r="O7" s="52">
        <v>209508.9</v>
      </c>
      <c r="P7" s="52">
        <v>233876.5</v>
      </c>
      <c r="Q7" s="52">
        <v>255937.2</v>
      </c>
      <c r="R7" s="52">
        <v>264136.7</v>
      </c>
      <c r="S7" s="52">
        <v>266417.8</v>
      </c>
    </row>
    <row r="8" spans="1:19" ht="14.45" customHeight="1" x14ac:dyDescent="0.2">
      <c r="A8" s="50" t="s">
        <v>68</v>
      </c>
      <c r="B8" s="52">
        <v>5600.2</v>
      </c>
      <c r="C8" s="52">
        <v>0.9</v>
      </c>
      <c r="D8" s="52">
        <v>7332.7</v>
      </c>
      <c r="E8" s="52">
        <v>0.8</v>
      </c>
      <c r="H8" s="50" t="s">
        <v>52</v>
      </c>
      <c r="I8" s="52">
        <v>11237.4</v>
      </c>
      <c r="J8" s="52">
        <v>12383.6</v>
      </c>
      <c r="K8" s="52">
        <v>13998.9</v>
      </c>
      <c r="L8" s="52">
        <v>14994.5</v>
      </c>
      <c r="M8" s="52">
        <v>15457.2</v>
      </c>
      <c r="N8" s="52">
        <v>16289.8</v>
      </c>
      <c r="O8" s="52">
        <v>17382.7</v>
      </c>
      <c r="P8" s="52">
        <v>19862.7</v>
      </c>
      <c r="Q8" s="52">
        <v>22559.8</v>
      </c>
      <c r="R8" s="52">
        <v>24026.400000000001</v>
      </c>
      <c r="S8" s="52">
        <v>24473.599999999999</v>
      </c>
    </row>
    <row r="9" spans="1:19" ht="14.45" customHeight="1" x14ac:dyDescent="0.2">
      <c r="A9" s="50" t="s">
        <v>69</v>
      </c>
      <c r="B9" s="52">
        <v>1664.4</v>
      </c>
      <c r="C9" s="52">
        <v>0.3</v>
      </c>
      <c r="D9" s="52">
        <v>2813.6</v>
      </c>
      <c r="E9" s="52">
        <v>0.3</v>
      </c>
      <c r="H9" s="50" t="s">
        <v>53</v>
      </c>
      <c r="I9" s="52">
        <v>27259.3</v>
      </c>
      <c r="J9" s="52">
        <v>32926.5</v>
      </c>
      <c r="K9" s="52">
        <v>36896.1</v>
      </c>
      <c r="L9" s="52">
        <v>40896.800000000003</v>
      </c>
      <c r="M9" s="52">
        <v>45401.7</v>
      </c>
      <c r="N9" s="52">
        <v>47761.3</v>
      </c>
      <c r="O9" s="52">
        <v>51498.9</v>
      </c>
      <c r="P9" s="52">
        <v>57905.599999999999</v>
      </c>
      <c r="Q9" s="52">
        <v>65493</v>
      </c>
      <c r="R9" s="52">
        <v>70648.100000000006</v>
      </c>
      <c r="S9" s="52">
        <v>72444.7</v>
      </c>
    </row>
    <row r="10" spans="1:19" ht="14.45" customHeight="1" x14ac:dyDescent="0.2">
      <c r="A10" s="49" t="s">
        <v>70</v>
      </c>
      <c r="B10" s="52">
        <v>25467.599999999999</v>
      </c>
      <c r="C10" s="52">
        <v>4.3</v>
      </c>
      <c r="D10" s="52">
        <v>22592.3</v>
      </c>
      <c r="E10" s="52">
        <v>2.5</v>
      </c>
      <c r="H10" s="50" t="s">
        <v>54</v>
      </c>
      <c r="I10" s="52">
        <v>35907.9</v>
      </c>
      <c r="J10" s="52">
        <v>43734.5</v>
      </c>
      <c r="K10" s="52">
        <v>49835.5</v>
      </c>
      <c r="L10" s="52">
        <v>56288.9</v>
      </c>
      <c r="M10" s="52">
        <v>63170.400000000001</v>
      </c>
      <c r="N10" s="52">
        <v>67719.600000000006</v>
      </c>
      <c r="O10" s="52">
        <v>73724.5</v>
      </c>
      <c r="P10" s="52">
        <v>81156.600000000006</v>
      </c>
      <c r="Q10" s="52">
        <v>88903.7</v>
      </c>
      <c r="R10" s="52">
        <v>95650.9</v>
      </c>
      <c r="S10" s="52">
        <v>96086.1</v>
      </c>
    </row>
    <row r="11" spans="1:19" ht="14.45" customHeight="1" x14ac:dyDescent="0.2">
      <c r="A11" s="50" t="s">
        <v>71</v>
      </c>
      <c r="B11" s="52">
        <v>11543.5</v>
      </c>
      <c r="C11" s="52">
        <v>1.9</v>
      </c>
      <c r="D11" s="52">
        <v>11347.2</v>
      </c>
      <c r="E11" s="52">
        <v>1.2</v>
      </c>
      <c r="H11" s="50" t="s">
        <v>55</v>
      </c>
      <c r="I11" s="52">
        <v>18783.599999999999</v>
      </c>
      <c r="J11" s="52">
        <v>21842</v>
      </c>
      <c r="K11" s="52">
        <v>23763.200000000001</v>
      </c>
      <c r="L11" s="52">
        <v>26042.7</v>
      </c>
      <c r="M11" s="52">
        <v>28534.400000000001</v>
      </c>
      <c r="N11" s="52">
        <v>30519.5</v>
      </c>
      <c r="O11" s="52">
        <v>33028.699999999997</v>
      </c>
      <c r="P11" s="52">
        <v>37121.9</v>
      </c>
      <c r="Q11" s="52">
        <v>40337.199999999997</v>
      </c>
      <c r="R11" s="52">
        <v>42466.3</v>
      </c>
      <c r="S11" s="52">
        <v>40582.9</v>
      </c>
    </row>
    <row r="12" spans="1:19" ht="14.45" customHeight="1" x14ac:dyDescent="0.2">
      <c r="A12" s="50" t="s">
        <v>72</v>
      </c>
      <c r="B12" s="52">
        <v>7782.6</v>
      </c>
      <c r="C12" s="52">
        <v>1.3</v>
      </c>
      <c r="D12" s="52">
        <v>6370.2</v>
      </c>
      <c r="E12" s="52">
        <v>0.7</v>
      </c>
      <c r="H12" s="50" t="s">
        <v>56</v>
      </c>
      <c r="I12" s="52">
        <v>7712</v>
      </c>
      <c r="J12" s="52">
        <v>8565.4</v>
      </c>
      <c r="K12" s="52">
        <v>9536.9</v>
      </c>
      <c r="L12" s="52">
        <v>10228.299999999999</v>
      </c>
      <c r="M12" s="52">
        <v>11228.7</v>
      </c>
      <c r="N12" s="52">
        <v>12306.1</v>
      </c>
      <c r="O12" s="52">
        <v>13607.8</v>
      </c>
      <c r="P12" s="52">
        <v>15056</v>
      </c>
      <c r="Q12" s="52">
        <v>16520.599999999999</v>
      </c>
      <c r="R12" s="52">
        <v>17903.099999999999</v>
      </c>
      <c r="S12" s="52">
        <v>15285.4</v>
      </c>
    </row>
    <row r="13" spans="1:19" ht="14.45" customHeight="1" x14ac:dyDescent="0.2">
      <c r="A13" s="50" t="s">
        <v>73</v>
      </c>
      <c r="B13" s="52">
        <v>2427</v>
      </c>
      <c r="C13" s="52">
        <v>0.4</v>
      </c>
      <c r="D13" s="52">
        <v>924.2</v>
      </c>
      <c r="E13" s="52">
        <v>0.1</v>
      </c>
      <c r="H13" s="50" t="s">
        <v>57</v>
      </c>
      <c r="I13" s="52">
        <v>9049.7000000000007</v>
      </c>
      <c r="J13" s="52">
        <v>10304.799999999999</v>
      </c>
      <c r="K13" s="52">
        <v>11928.7</v>
      </c>
      <c r="L13" s="52">
        <v>13729.7</v>
      </c>
      <c r="M13" s="52">
        <v>15470.6</v>
      </c>
      <c r="N13" s="52">
        <v>17516.8</v>
      </c>
      <c r="O13" s="52">
        <v>20124.099999999999</v>
      </c>
      <c r="P13" s="52">
        <v>23808.9</v>
      </c>
      <c r="Q13" s="52">
        <v>28733.5</v>
      </c>
      <c r="R13" s="52">
        <v>33391.800000000003</v>
      </c>
      <c r="S13" s="52">
        <v>38244.1</v>
      </c>
    </row>
    <row r="14" spans="1:19" ht="14.45" customHeight="1" x14ac:dyDescent="0.2">
      <c r="A14" s="50" t="s">
        <v>74</v>
      </c>
      <c r="B14" s="52">
        <v>1358</v>
      </c>
      <c r="C14" s="52">
        <v>0.2</v>
      </c>
      <c r="D14" s="52">
        <v>1447</v>
      </c>
      <c r="E14" s="52">
        <v>0.2</v>
      </c>
      <c r="H14" s="50" t="s">
        <v>58</v>
      </c>
      <c r="I14" s="52">
        <v>25733.1</v>
      </c>
      <c r="J14" s="52">
        <v>30747.200000000001</v>
      </c>
      <c r="K14" s="52">
        <v>35272.199999999997</v>
      </c>
      <c r="L14" s="52">
        <v>41293.4</v>
      </c>
      <c r="M14" s="52">
        <v>46853.4</v>
      </c>
      <c r="N14" s="52">
        <v>56299.8</v>
      </c>
      <c r="O14" s="52">
        <v>59964</v>
      </c>
      <c r="P14" s="52">
        <v>64844.3</v>
      </c>
      <c r="Q14" s="52">
        <v>70610.3</v>
      </c>
      <c r="R14" s="52">
        <v>76250.600000000006</v>
      </c>
      <c r="S14" s="52">
        <v>83617.7</v>
      </c>
    </row>
    <row r="15" spans="1:19" ht="14.45" customHeight="1" x14ac:dyDescent="0.2">
      <c r="A15" s="50" t="s">
        <v>75</v>
      </c>
      <c r="B15" s="52">
        <v>1472.9</v>
      </c>
      <c r="C15" s="52">
        <v>0.2</v>
      </c>
      <c r="D15" s="52">
        <v>1620.1</v>
      </c>
      <c r="E15" s="52">
        <v>0.2</v>
      </c>
      <c r="H15" s="50" t="s">
        <v>59</v>
      </c>
      <c r="I15" s="52">
        <v>23326.6</v>
      </c>
      <c r="J15" s="52">
        <v>27780.7</v>
      </c>
      <c r="K15" s="52">
        <v>30751.9</v>
      </c>
      <c r="L15" s="52">
        <v>35340.400000000001</v>
      </c>
      <c r="M15" s="52">
        <v>38086.400000000001</v>
      </c>
      <c r="N15" s="52">
        <v>42573.8</v>
      </c>
      <c r="O15" s="52">
        <v>49969.4</v>
      </c>
      <c r="P15" s="52">
        <v>57086</v>
      </c>
      <c r="Q15" s="52">
        <v>64623</v>
      </c>
      <c r="R15" s="52">
        <v>70444.800000000003</v>
      </c>
      <c r="S15" s="52">
        <v>73425.3</v>
      </c>
    </row>
    <row r="16" spans="1:19" ht="14.45" customHeight="1" x14ac:dyDescent="0.2">
      <c r="A16" s="50" t="s">
        <v>76</v>
      </c>
      <c r="B16" s="52">
        <v>864.3</v>
      </c>
      <c r="C16" s="52">
        <v>0.1</v>
      </c>
      <c r="D16" s="52">
        <v>856.8</v>
      </c>
      <c r="E16" s="52">
        <v>0.1</v>
      </c>
      <c r="H16" s="50" t="s">
        <v>60</v>
      </c>
      <c r="I16" s="52">
        <v>7259.8</v>
      </c>
      <c r="J16" s="52">
        <v>9150.2000000000007</v>
      </c>
      <c r="K16" s="52">
        <v>10887.4</v>
      </c>
      <c r="L16" s="52">
        <v>12904.9</v>
      </c>
      <c r="M16" s="52">
        <v>15451.3</v>
      </c>
      <c r="N16" s="52">
        <v>18089.7</v>
      </c>
      <c r="O16" s="52">
        <v>21528.6</v>
      </c>
      <c r="P16" s="52">
        <v>25273.3</v>
      </c>
      <c r="Q16" s="52">
        <v>29468.5</v>
      </c>
      <c r="R16" s="52">
        <v>32638</v>
      </c>
      <c r="S16" s="52">
        <v>32467.599999999999</v>
      </c>
    </row>
    <row r="17" spans="1:19" ht="14.45" customHeight="1" x14ac:dyDescent="0.2">
      <c r="A17" s="50" t="s">
        <v>77</v>
      </c>
      <c r="B17" s="52">
        <v>19.399999999999999</v>
      </c>
      <c r="C17" s="52">
        <v>0</v>
      </c>
      <c r="D17" s="52">
        <v>26.9</v>
      </c>
      <c r="E17" s="52">
        <v>0</v>
      </c>
      <c r="H17" s="50" t="s">
        <v>61</v>
      </c>
      <c r="I17" s="52">
        <v>6464.3</v>
      </c>
      <c r="J17" s="52">
        <v>7944.8</v>
      </c>
      <c r="K17" s="52">
        <v>9456.1</v>
      </c>
      <c r="L17" s="52">
        <v>11023.2</v>
      </c>
      <c r="M17" s="52">
        <v>12476</v>
      </c>
      <c r="N17" s="52">
        <v>13887.2</v>
      </c>
      <c r="O17" s="52">
        <v>15394.2</v>
      </c>
      <c r="P17" s="52">
        <v>17444.7</v>
      </c>
      <c r="Q17" s="52">
        <v>20175.3</v>
      </c>
      <c r="R17" s="52">
        <v>22624.3</v>
      </c>
      <c r="S17" s="52">
        <v>24166.2</v>
      </c>
    </row>
    <row r="18" spans="1:19" ht="14.45" customHeight="1" x14ac:dyDescent="0.2">
      <c r="A18" s="49" t="s">
        <v>78</v>
      </c>
      <c r="B18" s="52">
        <v>181871.1</v>
      </c>
      <c r="C18" s="52">
        <v>30.7</v>
      </c>
      <c r="D18" s="52">
        <v>255937.2</v>
      </c>
      <c r="E18" s="52">
        <v>27.8</v>
      </c>
      <c r="H18" s="50" t="s">
        <v>62</v>
      </c>
      <c r="I18" s="52">
        <v>2035.1</v>
      </c>
      <c r="J18" s="52">
        <v>2499.3000000000002</v>
      </c>
      <c r="K18" s="52">
        <v>3024.7</v>
      </c>
      <c r="L18" s="52">
        <v>3665.1</v>
      </c>
      <c r="M18" s="52">
        <v>3940.9</v>
      </c>
      <c r="N18" s="52">
        <v>4128.6000000000004</v>
      </c>
      <c r="O18" s="52">
        <v>4354.6000000000004</v>
      </c>
      <c r="P18" s="52">
        <v>4602.6000000000004</v>
      </c>
      <c r="Q18" s="52">
        <v>5096.1000000000004</v>
      </c>
      <c r="R18" s="52">
        <v>5861.3</v>
      </c>
      <c r="S18" s="52">
        <v>5863.1</v>
      </c>
    </row>
    <row r="19" spans="1:19" ht="14.45" customHeight="1" x14ac:dyDescent="0.2">
      <c r="A19" s="50" t="s">
        <v>79</v>
      </c>
      <c r="B19" s="52">
        <v>8931.2999999999993</v>
      </c>
      <c r="C19" s="52">
        <v>1.5</v>
      </c>
      <c r="D19" s="52">
        <v>9303.6</v>
      </c>
      <c r="E19" s="52">
        <v>1</v>
      </c>
      <c r="H19" s="50" t="s">
        <v>63</v>
      </c>
      <c r="I19" s="52">
        <v>6458</v>
      </c>
      <c r="J19" s="52">
        <v>7574.7</v>
      </c>
      <c r="K19" s="52">
        <v>8227.7999999999993</v>
      </c>
      <c r="L19" s="52">
        <v>8707.7000000000007</v>
      </c>
      <c r="M19" s="52">
        <v>9633.5</v>
      </c>
      <c r="N19" s="52">
        <v>10586.7</v>
      </c>
      <c r="O19" s="52">
        <v>12183.5</v>
      </c>
      <c r="P19" s="52">
        <v>13725.4</v>
      </c>
      <c r="Q19" s="52">
        <v>14793.3</v>
      </c>
      <c r="R19" s="52">
        <v>16983.400000000001</v>
      </c>
      <c r="S19" s="52">
        <v>16353.2</v>
      </c>
    </row>
    <row r="20" spans="1:19" ht="14.45" customHeight="1" x14ac:dyDescent="0.2">
      <c r="A20" s="50" t="s">
        <v>80</v>
      </c>
      <c r="B20" s="52">
        <v>3982.1</v>
      </c>
      <c r="C20" s="52">
        <v>0.7</v>
      </c>
      <c r="D20" s="52">
        <v>5686.7</v>
      </c>
      <c r="E20" s="52">
        <v>0.6</v>
      </c>
      <c r="H20" s="50" t="s">
        <v>41</v>
      </c>
      <c r="I20" s="52">
        <v>12367.9</v>
      </c>
      <c r="J20" s="52">
        <v>14774.6</v>
      </c>
      <c r="K20" s="52">
        <v>16645.7</v>
      </c>
      <c r="L20" s="52">
        <v>18951.400000000001</v>
      </c>
      <c r="M20" s="52">
        <v>21211</v>
      </c>
      <c r="N20" s="52">
        <v>24370.5</v>
      </c>
      <c r="O20" s="52">
        <v>26964.9</v>
      </c>
      <c r="P20" s="52">
        <v>30208.400000000001</v>
      </c>
      <c r="Q20" s="52">
        <v>34001.4</v>
      </c>
      <c r="R20" s="52">
        <v>37934.1</v>
      </c>
      <c r="S20" s="52">
        <v>40091.9</v>
      </c>
    </row>
    <row r="21" spans="1:19" ht="14.45" customHeight="1" x14ac:dyDescent="0.2">
      <c r="A21" s="50" t="s">
        <v>81</v>
      </c>
      <c r="B21" s="52">
        <v>4117.8</v>
      </c>
      <c r="C21" s="52">
        <v>0.7</v>
      </c>
      <c r="D21" s="52">
        <v>6327.3</v>
      </c>
      <c r="E21" s="52">
        <v>0.7</v>
      </c>
      <c r="H21" s="50" t="s">
        <v>42</v>
      </c>
      <c r="I21" s="52">
        <v>5889.4</v>
      </c>
      <c r="J21" s="52">
        <v>7428.8</v>
      </c>
      <c r="K21" s="52">
        <v>9011.2000000000007</v>
      </c>
      <c r="L21" s="52">
        <v>11034.4</v>
      </c>
      <c r="M21" s="52">
        <v>12653.3</v>
      </c>
      <c r="N21" s="52">
        <v>14765.4</v>
      </c>
      <c r="O21" s="52">
        <v>16766.8</v>
      </c>
      <c r="P21" s="52">
        <v>18548.8</v>
      </c>
      <c r="Q21" s="52">
        <v>20652.599999999999</v>
      </c>
      <c r="R21" s="52">
        <v>22354.6</v>
      </c>
      <c r="S21" s="52">
        <v>24396.1</v>
      </c>
    </row>
    <row r="22" spans="1:19" ht="14.45" customHeight="1" x14ac:dyDescent="0.2">
      <c r="A22" s="50" t="s">
        <v>82</v>
      </c>
      <c r="B22" s="52">
        <v>6928.9</v>
      </c>
      <c r="C22" s="52">
        <v>1.2</v>
      </c>
      <c r="D22" s="52">
        <v>7927.3</v>
      </c>
      <c r="E22" s="52">
        <v>0.9</v>
      </c>
      <c r="H22" s="50" t="s">
        <v>64</v>
      </c>
      <c r="I22" s="52">
        <v>2827.7</v>
      </c>
      <c r="J22" s="52">
        <v>3325.9</v>
      </c>
      <c r="K22" s="52">
        <v>3758.2</v>
      </c>
      <c r="L22" s="52">
        <v>4137.8999999999996</v>
      </c>
      <c r="M22" s="52">
        <v>4480.7</v>
      </c>
      <c r="N22" s="52">
        <v>5063.8</v>
      </c>
      <c r="O22" s="52">
        <v>5579.8</v>
      </c>
      <c r="P22" s="52">
        <v>6625.4</v>
      </c>
      <c r="Q22" s="52">
        <v>7301.3</v>
      </c>
      <c r="R22" s="52">
        <v>8137.8</v>
      </c>
      <c r="S22" s="52">
        <v>6981.2</v>
      </c>
    </row>
    <row r="23" spans="1:19" ht="14.45" customHeight="1" x14ac:dyDescent="0.2">
      <c r="A23" s="50" t="s">
        <v>83</v>
      </c>
      <c r="B23" s="52">
        <v>7063</v>
      </c>
      <c r="C23" s="52">
        <v>1.2</v>
      </c>
      <c r="D23" s="52">
        <v>8007.1</v>
      </c>
      <c r="E23" s="52">
        <v>0.9</v>
      </c>
      <c r="H23" s="51" t="s">
        <v>44</v>
      </c>
      <c r="I23" s="53">
        <v>16302.7</v>
      </c>
      <c r="J23" s="56">
        <v>18079</v>
      </c>
      <c r="K23" s="56">
        <v>20101.7</v>
      </c>
      <c r="L23" s="56">
        <v>21693</v>
      </c>
      <c r="M23" s="56">
        <v>24301.200000000001</v>
      </c>
      <c r="N23" s="56">
        <v>28447.8</v>
      </c>
      <c r="O23" s="56">
        <v>33847.800000000003</v>
      </c>
      <c r="P23" s="56">
        <v>38848.800000000003</v>
      </c>
      <c r="Q23" s="56">
        <v>43923.1</v>
      </c>
      <c r="R23" s="56">
        <v>47790.5</v>
      </c>
      <c r="S23" s="56">
        <v>49261.9</v>
      </c>
    </row>
    <row r="24" spans="1:19" ht="14.45" customHeight="1" x14ac:dyDescent="0.2">
      <c r="A24" s="50" t="s">
        <v>84</v>
      </c>
      <c r="B24" s="52">
        <v>6055.9</v>
      </c>
      <c r="C24" s="52">
        <v>1</v>
      </c>
      <c r="D24" s="52">
        <v>8430.1</v>
      </c>
      <c r="E24" s="52">
        <v>0.9</v>
      </c>
      <c r="H24" s="79" t="s">
        <v>186</v>
      </c>
    </row>
    <row r="25" spans="1:19" ht="14.45" customHeight="1" x14ac:dyDescent="0.2">
      <c r="A25" s="50" t="s">
        <v>85</v>
      </c>
      <c r="B25" s="52">
        <v>3615.7</v>
      </c>
      <c r="C25" s="52">
        <v>0.6</v>
      </c>
      <c r="D25" s="52">
        <v>4680.3999999999996</v>
      </c>
      <c r="E25" s="52">
        <v>0.5</v>
      </c>
    </row>
    <row r="26" spans="1:19" ht="14.45" customHeight="1" x14ac:dyDescent="0.2">
      <c r="A26" s="50" t="s">
        <v>86</v>
      </c>
      <c r="B26" s="52">
        <v>2920</v>
      </c>
      <c r="C26" s="52">
        <v>0.5</v>
      </c>
      <c r="D26" s="52">
        <v>3655.3</v>
      </c>
      <c r="E26" s="52">
        <v>0.4</v>
      </c>
    </row>
    <row r="27" spans="1:19" ht="14.45" customHeight="1" x14ac:dyDescent="0.2">
      <c r="A27" s="50" t="s">
        <v>87</v>
      </c>
      <c r="B27" s="52">
        <v>1871.5</v>
      </c>
      <c r="C27" s="52">
        <v>0.3</v>
      </c>
      <c r="D27" s="52">
        <v>2983.9</v>
      </c>
      <c r="E27" s="52">
        <v>0.3</v>
      </c>
    </row>
    <row r="28" spans="1:19" ht="14.45" customHeight="1" x14ac:dyDescent="0.2">
      <c r="A28" s="50" t="s">
        <v>88</v>
      </c>
      <c r="B28" s="52">
        <v>2717.6</v>
      </c>
      <c r="C28" s="52">
        <v>0.5</v>
      </c>
      <c r="D28" s="52">
        <v>3772.8</v>
      </c>
      <c r="E28" s="52">
        <v>0.4</v>
      </c>
    </row>
    <row r="29" spans="1:19" ht="14.45" customHeight="1" x14ac:dyDescent="0.2">
      <c r="A29" s="50" t="s">
        <v>89</v>
      </c>
      <c r="B29" s="52">
        <v>1861.1</v>
      </c>
      <c r="C29" s="52">
        <v>0.3</v>
      </c>
      <c r="D29" s="52">
        <v>2544</v>
      </c>
      <c r="E29" s="52">
        <v>0.3</v>
      </c>
    </row>
    <row r="30" spans="1:19" ht="14.45" customHeight="1" x14ac:dyDescent="0.2">
      <c r="A30" s="50" t="s">
        <v>90</v>
      </c>
      <c r="B30" s="52">
        <v>3104.1</v>
      </c>
      <c r="C30" s="52">
        <v>0.5</v>
      </c>
      <c r="D30" s="52">
        <v>4659.8999999999996</v>
      </c>
      <c r="E30" s="52">
        <v>0.5</v>
      </c>
    </row>
    <row r="31" spans="1:19" ht="14.45" customHeight="1" x14ac:dyDescent="0.2">
      <c r="A31" s="50" t="s">
        <v>91</v>
      </c>
      <c r="B31" s="52">
        <v>7439.6</v>
      </c>
      <c r="C31" s="52">
        <v>1.3</v>
      </c>
      <c r="D31" s="52">
        <v>11333.7</v>
      </c>
      <c r="E31" s="52">
        <v>1.2</v>
      </c>
    </row>
    <row r="32" spans="1:19" ht="14.45" customHeight="1" x14ac:dyDescent="0.2">
      <c r="A32" s="50" t="s">
        <v>92</v>
      </c>
      <c r="B32" s="52">
        <v>12836</v>
      </c>
      <c r="C32" s="52">
        <v>2.2000000000000002</v>
      </c>
      <c r="D32" s="52">
        <v>16678.900000000001</v>
      </c>
      <c r="E32" s="52">
        <v>1.8</v>
      </c>
    </row>
    <row r="33" spans="1:5" ht="14.45" customHeight="1" x14ac:dyDescent="0.2">
      <c r="A33" s="50" t="s">
        <v>93</v>
      </c>
      <c r="B33" s="52">
        <v>4709.3</v>
      </c>
      <c r="C33" s="52">
        <v>0.8</v>
      </c>
      <c r="D33" s="52">
        <v>8407.1</v>
      </c>
      <c r="E33" s="52">
        <v>0.9</v>
      </c>
    </row>
    <row r="34" spans="1:5" ht="14.45" customHeight="1" x14ac:dyDescent="0.2">
      <c r="A34" s="50" t="s">
        <v>94</v>
      </c>
      <c r="B34" s="52">
        <v>952.9</v>
      </c>
      <c r="C34" s="52">
        <v>0.2</v>
      </c>
      <c r="D34" s="52">
        <v>1489.3</v>
      </c>
      <c r="E34" s="52">
        <v>0.2</v>
      </c>
    </row>
    <row r="35" spans="1:5" ht="14.45" customHeight="1" x14ac:dyDescent="0.2">
      <c r="A35" s="50" t="s">
        <v>95</v>
      </c>
      <c r="B35" s="52">
        <v>6016.6</v>
      </c>
      <c r="C35" s="52">
        <v>1</v>
      </c>
      <c r="D35" s="52">
        <v>7785.9</v>
      </c>
      <c r="E35" s="52">
        <v>0.8</v>
      </c>
    </row>
    <row r="36" spans="1:5" ht="14.45" customHeight="1" x14ac:dyDescent="0.2">
      <c r="A36" s="50" t="s">
        <v>96</v>
      </c>
      <c r="B36" s="52">
        <v>11568.2</v>
      </c>
      <c r="C36" s="52">
        <v>2</v>
      </c>
      <c r="D36" s="52">
        <v>17101</v>
      </c>
      <c r="E36" s="52">
        <v>1.9</v>
      </c>
    </row>
    <row r="37" spans="1:5" ht="14.45" customHeight="1" x14ac:dyDescent="0.2">
      <c r="A37" s="50" t="s">
        <v>97</v>
      </c>
      <c r="B37" s="52">
        <v>9513.9</v>
      </c>
      <c r="C37" s="52">
        <v>1.6</v>
      </c>
      <c r="D37" s="52">
        <v>12941.5</v>
      </c>
      <c r="E37" s="52">
        <v>1.4</v>
      </c>
    </row>
    <row r="38" spans="1:5" ht="14.45" customHeight="1" x14ac:dyDescent="0.2">
      <c r="A38" s="50" t="s">
        <v>98</v>
      </c>
      <c r="B38" s="52">
        <v>5421.8</v>
      </c>
      <c r="C38" s="52">
        <v>0.9</v>
      </c>
      <c r="D38" s="52">
        <v>7513.4</v>
      </c>
      <c r="E38" s="52">
        <v>0.8</v>
      </c>
    </row>
    <row r="39" spans="1:5" ht="14.45" customHeight="1" x14ac:dyDescent="0.2">
      <c r="A39" s="50" t="s">
        <v>99</v>
      </c>
      <c r="B39" s="52">
        <v>8748.2999999999993</v>
      </c>
      <c r="C39" s="52">
        <v>1.5</v>
      </c>
      <c r="D39" s="52">
        <v>11611.8</v>
      </c>
      <c r="E39" s="52">
        <v>1.3</v>
      </c>
    </row>
    <row r="40" spans="1:5" ht="14.45" customHeight="1" x14ac:dyDescent="0.2">
      <c r="A40" s="50" t="s">
        <v>100</v>
      </c>
      <c r="B40" s="52">
        <v>9843</v>
      </c>
      <c r="C40" s="52">
        <v>1.7</v>
      </c>
      <c r="D40" s="52">
        <v>13328.1</v>
      </c>
      <c r="E40" s="52">
        <v>1.4</v>
      </c>
    </row>
    <row r="41" spans="1:5" ht="14.45" customHeight="1" x14ac:dyDescent="0.2">
      <c r="A41" s="51" t="s">
        <v>101</v>
      </c>
      <c r="B41" s="53">
        <v>7405.2</v>
      </c>
      <c r="C41" s="56">
        <v>1.2</v>
      </c>
      <c r="D41" s="53">
        <v>10552.6</v>
      </c>
      <c r="E41" s="56">
        <v>1.1000000000000001</v>
      </c>
    </row>
    <row r="42" spans="1:5" ht="14.45" customHeight="1" x14ac:dyDescent="0.2">
      <c r="A42" s="54" t="s">
        <v>46</v>
      </c>
      <c r="B42" s="52">
        <v>12121.2</v>
      </c>
      <c r="C42" s="52">
        <v>2</v>
      </c>
      <c r="D42" s="52">
        <v>19378.900000000001</v>
      </c>
      <c r="E42" s="52">
        <v>2.1</v>
      </c>
    </row>
    <row r="43" spans="1:5" ht="14.45" customHeight="1" x14ac:dyDescent="0.2">
      <c r="A43" s="50" t="s">
        <v>102</v>
      </c>
      <c r="B43" s="52">
        <v>3593.2</v>
      </c>
      <c r="C43" s="52">
        <v>0.6</v>
      </c>
      <c r="D43" s="52">
        <v>4434.8999999999996</v>
      </c>
      <c r="E43" s="52">
        <v>0.5</v>
      </c>
    </row>
    <row r="44" spans="1:5" ht="14.45" customHeight="1" x14ac:dyDescent="0.2">
      <c r="A44" s="50" t="s">
        <v>103</v>
      </c>
      <c r="B44" s="52">
        <v>11288.4</v>
      </c>
      <c r="C44" s="52">
        <v>1.9</v>
      </c>
      <c r="D44" s="52">
        <v>15585.3</v>
      </c>
      <c r="E44" s="52">
        <v>1.7</v>
      </c>
    </row>
    <row r="45" spans="1:5" ht="14.45" customHeight="1" x14ac:dyDescent="0.2">
      <c r="A45" s="50" t="s">
        <v>104</v>
      </c>
      <c r="B45" s="52">
        <v>13822.8</v>
      </c>
      <c r="C45" s="52">
        <v>2.2999999999999998</v>
      </c>
      <c r="D45" s="52">
        <v>24312</v>
      </c>
      <c r="E45" s="52">
        <v>2.6</v>
      </c>
    </row>
    <row r="46" spans="1:5" ht="14.45" customHeight="1" x14ac:dyDescent="0.2">
      <c r="A46" s="50" t="s">
        <v>105</v>
      </c>
      <c r="B46" s="52">
        <v>1816.8</v>
      </c>
      <c r="C46" s="52">
        <v>0.3</v>
      </c>
      <c r="D46" s="52">
        <v>2679</v>
      </c>
      <c r="E46" s="52">
        <v>0.3</v>
      </c>
    </row>
    <row r="47" spans="1:5" ht="14.45" customHeight="1" x14ac:dyDescent="0.2">
      <c r="A47" s="50" t="s">
        <v>106</v>
      </c>
      <c r="B47" s="52">
        <v>657.5</v>
      </c>
      <c r="C47" s="52">
        <v>0.1</v>
      </c>
      <c r="D47" s="52">
        <v>1022</v>
      </c>
      <c r="E47" s="52">
        <v>0.1</v>
      </c>
    </row>
    <row r="48" spans="1:5" ht="14.45" customHeight="1" x14ac:dyDescent="0.2">
      <c r="A48" s="50" t="s">
        <v>47</v>
      </c>
      <c r="B48" s="52">
        <v>533.1</v>
      </c>
      <c r="C48" s="52">
        <v>0.1</v>
      </c>
      <c r="D48" s="52">
        <v>913.1</v>
      </c>
      <c r="E48" s="52">
        <v>0.1</v>
      </c>
    </row>
    <row r="49" spans="1:5" ht="14.45" customHeight="1" x14ac:dyDescent="0.2">
      <c r="A49" s="50" t="s">
        <v>107</v>
      </c>
      <c r="B49" s="52">
        <v>414</v>
      </c>
      <c r="C49" s="52">
        <v>0.1</v>
      </c>
      <c r="D49" s="52">
        <v>890.4</v>
      </c>
      <c r="E49" s="52">
        <v>0.1</v>
      </c>
    </row>
    <row r="50" spans="1:5" ht="14.45" customHeight="1" x14ac:dyDescent="0.2">
      <c r="A50" s="49" t="s">
        <v>52</v>
      </c>
      <c r="B50" s="52">
        <v>14994.5</v>
      </c>
      <c r="C50" s="52">
        <v>2.5</v>
      </c>
      <c r="D50" s="52">
        <v>22559.8</v>
      </c>
      <c r="E50" s="52">
        <v>2.5</v>
      </c>
    </row>
    <row r="51" spans="1:5" ht="14.45" customHeight="1" x14ac:dyDescent="0.2">
      <c r="A51" s="50" t="s">
        <v>108</v>
      </c>
      <c r="B51" s="52">
        <v>13303.2</v>
      </c>
      <c r="C51" s="52">
        <v>2.2000000000000002</v>
      </c>
      <c r="D51" s="52">
        <v>19112.2</v>
      </c>
      <c r="E51" s="52">
        <v>2.1</v>
      </c>
    </row>
    <row r="52" spans="1:5" ht="14.45" customHeight="1" x14ac:dyDescent="0.2">
      <c r="A52" s="50" t="s">
        <v>109</v>
      </c>
      <c r="B52" s="52">
        <v>805.4</v>
      </c>
      <c r="C52" s="52">
        <v>0.1</v>
      </c>
      <c r="D52" s="52">
        <v>1597.8</v>
      </c>
      <c r="E52" s="52">
        <v>0.2</v>
      </c>
    </row>
    <row r="53" spans="1:5" ht="14.45" customHeight="1" x14ac:dyDescent="0.2">
      <c r="A53" s="50" t="s">
        <v>110</v>
      </c>
      <c r="B53" s="52">
        <v>885.9</v>
      </c>
      <c r="C53" s="52">
        <v>0.1</v>
      </c>
      <c r="D53" s="52">
        <v>1849.8</v>
      </c>
      <c r="E53" s="52">
        <v>0.2</v>
      </c>
    </row>
    <row r="54" spans="1:5" ht="14.45" customHeight="1" x14ac:dyDescent="0.2">
      <c r="A54" s="49" t="s">
        <v>53</v>
      </c>
      <c r="B54" s="52">
        <v>40896.800000000003</v>
      </c>
      <c r="C54" s="52">
        <v>6.9</v>
      </c>
      <c r="D54" s="52">
        <v>65493</v>
      </c>
      <c r="E54" s="52">
        <v>7.1</v>
      </c>
    </row>
    <row r="55" spans="1:5" ht="14.45" customHeight="1" x14ac:dyDescent="0.2">
      <c r="A55" s="50" t="s">
        <v>111</v>
      </c>
      <c r="B55" s="52">
        <v>25719.599999999999</v>
      </c>
      <c r="C55" s="52">
        <v>4.3</v>
      </c>
      <c r="D55" s="52">
        <v>38489.9</v>
      </c>
      <c r="E55" s="52">
        <v>4.2</v>
      </c>
    </row>
    <row r="56" spans="1:5" ht="14.45" customHeight="1" x14ac:dyDescent="0.2">
      <c r="A56" s="50" t="s">
        <v>112</v>
      </c>
      <c r="B56" s="52">
        <v>8410.1</v>
      </c>
      <c r="C56" s="52">
        <v>1.4</v>
      </c>
      <c r="D56" s="52">
        <v>15789.8</v>
      </c>
      <c r="E56" s="52">
        <v>1.7</v>
      </c>
    </row>
    <row r="57" spans="1:5" ht="14.45" customHeight="1" x14ac:dyDescent="0.2">
      <c r="A57" s="50" t="s">
        <v>113</v>
      </c>
      <c r="B57" s="52">
        <v>2561.1</v>
      </c>
      <c r="C57" s="52">
        <v>0.4</v>
      </c>
      <c r="D57" s="52">
        <v>4840.8999999999996</v>
      </c>
      <c r="E57" s="52">
        <v>0.5</v>
      </c>
    </row>
    <row r="58" spans="1:5" ht="14.45" customHeight="1" x14ac:dyDescent="0.2">
      <c r="A58" s="50" t="s">
        <v>114</v>
      </c>
      <c r="B58" s="52">
        <v>4206</v>
      </c>
      <c r="C58" s="52">
        <v>0.7</v>
      </c>
      <c r="D58" s="52">
        <v>6372.5</v>
      </c>
      <c r="E58" s="52">
        <v>0.7</v>
      </c>
    </row>
    <row r="59" spans="1:5" ht="14.45" customHeight="1" x14ac:dyDescent="0.2">
      <c r="A59" s="49" t="s">
        <v>54</v>
      </c>
      <c r="B59" s="52">
        <v>56288.9</v>
      </c>
      <c r="C59" s="52">
        <v>9.5</v>
      </c>
      <c r="D59" s="52">
        <v>88903.7</v>
      </c>
      <c r="E59" s="52">
        <v>9.6999999999999993</v>
      </c>
    </row>
    <row r="60" spans="1:5" ht="14.45" customHeight="1" x14ac:dyDescent="0.2">
      <c r="A60" s="50" t="s">
        <v>115</v>
      </c>
      <c r="B60" s="52">
        <v>32687.1</v>
      </c>
      <c r="C60" s="52">
        <v>5.5</v>
      </c>
      <c r="D60" s="52">
        <v>48702.5</v>
      </c>
      <c r="E60" s="52">
        <v>5.3</v>
      </c>
    </row>
    <row r="61" spans="1:5" ht="14.45" customHeight="1" x14ac:dyDescent="0.2">
      <c r="A61" s="50" t="s">
        <v>116</v>
      </c>
      <c r="B61" s="52">
        <v>23601.8</v>
      </c>
      <c r="C61" s="52">
        <v>4</v>
      </c>
      <c r="D61" s="52">
        <v>40201.300000000003</v>
      </c>
      <c r="E61" s="52">
        <v>4.4000000000000004</v>
      </c>
    </row>
    <row r="62" spans="1:5" ht="14.45" customHeight="1" x14ac:dyDescent="0.2">
      <c r="A62" s="49" t="s">
        <v>55</v>
      </c>
      <c r="B62" s="52">
        <v>26042.7</v>
      </c>
      <c r="C62" s="52">
        <v>4.4000000000000004</v>
      </c>
      <c r="D62" s="52">
        <v>40337.199999999997</v>
      </c>
      <c r="E62" s="52">
        <v>4.4000000000000004</v>
      </c>
    </row>
    <row r="63" spans="1:5" ht="14.45" customHeight="1" x14ac:dyDescent="0.2">
      <c r="A63" s="50" t="s">
        <v>117</v>
      </c>
      <c r="B63" s="52">
        <v>3545.5</v>
      </c>
      <c r="C63" s="52">
        <v>0.6</v>
      </c>
      <c r="D63" s="52">
        <v>5878.6</v>
      </c>
      <c r="E63" s="52">
        <v>0.6</v>
      </c>
    </row>
    <row r="64" spans="1:5" ht="14.45" customHeight="1" x14ac:dyDescent="0.2">
      <c r="A64" s="50" t="s">
        <v>118</v>
      </c>
      <c r="B64" s="52">
        <v>14459.1</v>
      </c>
      <c r="C64" s="52">
        <v>2.4</v>
      </c>
      <c r="D64" s="52">
        <v>22390.6</v>
      </c>
      <c r="E64" s="52">
        <v>2.4</v>
      </c>
    </row>
    <row r="65" spans="1:5" ht="14.45" customHeight="1" x14ac:dyDescent="0.2">
      <c r="A65" s="50" t="s">
        <v>119</v>
      </c>
      <c r="B65" s="52">
        <v>1689.9</v>
      </c>
      <c r="C65" s="52">
        <v>0.3</v>
      </c>
      <c r="D65" s="52">
        <v>2174.3000000000002</v>
      </c>
      <c r="E65" s="52">
        <v>0.2</v>
      </c>
    </row>
    <row r="66" spans="1:5" ht="14.45" customHeight="1" x14ac:dyDescent="0.2">
      <c r="A66" s="50" t="s">
        <v>120</v>
      </c>
      <c r="B66" s="52">
        <v>1467.7</v>
      </c>
      <c r="C66" s="52">
        <v>0.2</v>
      </c>
      <c r="D66" s="52">
        <v>2202.3000000000002</v>
      </c>
      <c r="E66" s="52">
        <v>0.2</v>
      </c>
    </row>
    <row r="67" spans="1:5" ht="14.45" customHeight="1" x14ac:dyDescent="0.2">
      <c r="A67" s="50" t="s">
        <v>121</v>
      </c>
      <c r="B67" s="52">
        <v>399.5</v>
      </c>
      <c r="C67" s="52">
        <v>0.1</v>
      </c>
      <c r="D67" s="52">
        <v>804.7</v>
      </c>
      <c r="E67" s="52">
        <v>0.1</v>
      </c>
    </row>
    <row r="68" spans="1:5" ht="14.45" customHeight="1" x14ac:dyDescent="0.2">
      <c r="A68" s="50" t="s">
        <v>122</v>
      </c>
      <c r="B68" s="52">
        <v>1484.2</v>
      </c>
      <c r="C68" s="52">
        <v>0.3</v>
      </c>
      <c r="D68" s="52">
        <v>1941.3</v>
      </c>
      <c r="E68" s="52">
        <v>0.2</v>
      </c>
    </row>
    <row r="69" spans="1:5" ht="14.45" customHeight="1" x14ac:dyDescent="0.2">
      <c r="A69" s="50" t="s">
        <v>123</v>
      </c>
      <c r="B69" s="52">
        <v>1687.5</v>
      </c>
      <c r="C69" s="52">
        <v>0.3</v>
      </c>
      <c r="D69" s="52">
        <v>2548.3000000000002</v>
      </c>
      <c r="E69" s="52">
        <v>0.3</v>
      </c>
    </row>
    <row r="70" spans="1:5" ht="14.45" customHeight="1" x14ac:dyDescent="0.2">
      <c r="A70" s="50" t="s">
        <v>124</v>
      </c>
      <c r="B70" s="52">
        <v>1309.2</v>
      </c>
      <c r="C70" s="52">
        <v>0.2</v>
      </c>
      <c r="D70" s="52">
        <v>2397.1</v>
      </c>
      <c r="E70" s="52">
        <v>0.3</v>
      </c>
    </row>
    <row r="71" spans="1:5" ht="14.45" customHeight="1" x14ac:dyDescent="0.2">
      <c r="A71" s="49" t="s">
        <v>56</v>
      </c>
      <c r="B71" s="52">
        <v>10228.299999999999</v>
      </c>
      <c r="C71" s="52">
        <v>1.7</v>
      </c>
      <c r="D71" s="52">
        <v>16520.599999999999</v>
      </c>
      <c r="E71" s="52">
        <v>1.8</v>
      </c>
    </row>
    <row r="72" spans="1:5" ht="14.45" customHeight="1" x14ac:dyDescent="0.2">
      <c r="A72" s="50" t="s">
        <v>125</v>
      </c>
      <c r="B72" s="52">
        <v>2187</v>
      </c>
      <c r="C72" s="52">
        <v>0.4</v>
      </c>
      <c r="D72" s="52">
        <v>3333.7</v>
      </c>
      <c r="E72" s="52">
        <v>0.4</v>
      </c>
    </row>
    <row r="73" spans="1:5" ht="14.45" customHeight="1" x14ac:dyDescent="0.2">
      <c r="A73" s="50" t="s">
        <v>126</v>
      </c>
      <c r="B73" s="52">
        <v>8041.3</v>
      </c>
      <c r="C73" s="52">
        <v>1.4</v>
      </c>
      <c r="D73" s="52">
        <v>13186.9</v>
      </c>
      <c r="E73" s="52">
        <v>1.4</v>
      </c>
    </row>
    <row r="74" spans="1:5" ht="14.45" customHeight="1" x14ac:dyDescent="0.2">
      <c r="A74" s="49" t="s">
        <v>57</v>
      </c>
      <c r="B74" s="52">
        <v>13729.7</v>
      </c>
      <c r="C74" s="52">
        <v>2.2999999999999998</v>
      </c>
      <c r="D74" s="52">
        <v>28733.5</v>
      </c>
      <c r="E74" s="52">
        <v>3.1</v>
      </c>
    </row>
    <row r="75" spans="1:5" ht="14.45" customHeight="1" x14ac:dyDescent="0.2">
      <c r="A75" s="50" t="s">
        <v>127</v>
      </c>
      <c r="B75" s="52">
        <v>7729.9</v>
      </c>
      <c r="C75" s="52">
        <v>1.3</v>
      </c>
      <c r="D75" s="52">
        <v>10976.4</v>
      </c>
      <c r="E75" s="52">
        <v>1.2</v>
      </c>
    </row>
    <row r="76" spans="1:5" ht="14.45" customHeight="1" x14ac:dyDescent="0.2">
      <c r="A76" s="50" t="s">
        <v>128</v>
      </c>
      <c r="B76" s="52">
        <v>1428.4</v>
      </c>
      <c r="C76" s="52">
        <v>0.2</v>
      </c>
      <c r="D76" s="52">
        <v>5208.8999999999996</v>
      </c>
      <c r="E76" s="52">
        <v>0.6</v>
      </c>
    </row>
    <row r="77" spans="1:5" ht="14.45" customHeight="1" x14ac:dyDescent="0.2">
      <c r="A77" s="50" t="s">
        <v>129</v>
      </c>
      <c r="B77" s="52">
        <v>4571.3</v>
      </c>
      <c r="C77" s="52">
        <v>0.8</v>
      </c>
      <c r="D77" s="52">
        <v>12548.3</v>
      </c>
      <c r="E77" s="52">
        <v>1.4</v>
      </c>
    </row>
    <row r="78" spans="1:5" ht="14.45" customHeight="1" x14ac:dyDescent="0.2">
      <c r="A78" s="49" t="s">
        <v>58</v>
      </c>
      <c r="B78" s="52">
        <v>41293.4</v>
      </c>
      <c r="C78" s="52">
        <v>7</v>
      </c>
      <c r="D78" s="52">
        <v>70610.3</v>
      </c>
      <c r="E78" s="52">
        <v>7.7</v>
      </c>
    </row>
    <row r="79" spans="1:5" ht="14.45" customHeight="1" x14ac:dyDescent="0.2">
      <c r="A79" s="50" t="s">
        <v>130</v>
      </c>
      <c r="B79" s="52">
        <v>30532.9</v>
      </c>
      <c r="C79" s="52">
        <v>5.0999999999999996</v>
      </c>
      <c r="D79" s="52">
        <v>57314</v>
      </c>
      <c r="E79" s="52">
        <v>6.2</v>
      </c>
    </row>
    <row r="80" spans="1:5" ht="14.45" customHeight="1" x14ac:dyDescent="0.2">
      <c r="A80" s="50" t="s">
        <v>131</v>
      </c>
      <c r="B80" s="52">
        <v>3252.9</v>
      </c>
      <c r="C80" s="52">
        <v>0.5</v>
      </c>
      <c r="D80" s="52">
        <v>3544.9</v>
      </c>
      <c r="E80" s="52">
        <v>0.4</v>
      </c>
    </row>
    <row r="81" spans="1:5" ht="14.45" customHeight="1" x14ac:dyDescent="0.2">
      <c r="A81" s="50" t="s">
        <v>132</v>
      </c>
      <c r="B81" s="52">
        <v>2670.6</v>
      </c>
      <c r="C81" s="52">
        <v>0.5</v>
      </c>
      <c r="D81" s="52">
        <v>7819.5</v>
      </c>
      <c r="E81" s="52">
        <v>0.9</v>
      </c>
    </row>
    <row r="82" spans="1:5" ht="14.45" customHeight="1" x14ac:dyDescent="0.2">
      <c r="A82" s="51" t="s">
        <v>133</v>
      </c>
      <c r="B82" s="53">
        <v>4837</v>
      </c>
      <c r="C82" s="56">
        <v>0.8</v>
      </c>
      <c r="D82" s="53">
        <v>1931.9</v>
      </c>
      <c r="E82" s="56">
        <v>0.2</v>
      </c>
    </row>
    <row r="83" spans="1:5" ht="14.45" customHeight="1" x14ac:dyDescent="0.2">
      <c r="A83" s="48" t="s">
        <v>59</v>
      </c>
      <c r="B83" s="52">
        <v>35340.400000000001</v>
      </c>
      <c r="C83" s="52">
        <v>6</v>
      </c>
      <c r="D83" s="52">
        <v>64623</v>
      </c>
      <c r="E83" s="52">
        <v>7</v>
      </c>
    </row>
    <row r="84" spans="1:5" ht="14.45" customHeight="1" x14ac:dyDescent="0.2">
      <c r="A84" s="50" t="s">
        <v>59</v>
      </c>
      <c r="B84" s="52">
        <v>35340.400000000001</v>
      </c>
      <c r="C84" s="52">
        <v>6</v>
      </c>
      <c r="D84" s="52">
        <v>64623</v>
      </c>
      <c r="E84" s="52">
        <v>7</v>
      </c>
    </row>
    <row r="85" spans="1:5" ht="14.45" customHeight="1" x14ac:dyDescent="0.2">
      <c r="A85" s="50" t="s">
        <v>134</v>
      </c>
      <c r="B85" s="52">
        <v>14886</v>
      </c>
      <c r="C85" s="52">
        <v>2.5</v>
      </c>
      <c r="D85" s="52">
        <v>27411.200000000001</v>
      </c>
      <c r="E85" s="52">
        <v>3</v>
      </c>
    </row>
    <row r="86" spans="1:5" ht="14.45" customHeight="1" x14ac:dyDescent="0.2">
      <c r="A86" s="50" t="s">
        <v>135</v>
      </c>
      <c r="B86" s="52">
        <v>2089.4</v>
      </c>
      <c r="C86" s="52">
        <v>0.4</v>
      </c>
      <c r="D86" s="52">
        <v>4442.1000000000004</v>
      </c>
      <c r="E86" s="52">
        <v>0.5</v>
      </c>
    </row>
    <row r="87" spans="1:5" ht="14.45" customHeight="1" x14ac:dyDescent="0.2">
      <c r="A87" s="50" t="s">
        <v>136</v>
      </c>
      <c r="B87" s="52">
        <v>756</v>
      </c>
      <c r="C87" s="52">
        <v>0.1</v>
      </c>
      <c r="D87" s="52">
        <v>1580.1</v>
      </c>
      <c r="E87" s="52">
        <v>0.2</v>
      </c>
    </row>
    <row r="88" spans="1:5" ht="14.45" customHeight="1" x14ac:dyDescent="0.2">
      <c r="A88" s="50" t="s">
        <v>137</v>
      </c>
      <c r="B88" s="52">
        <v>1149.4000000000001</v>
      </c>
      <c r="C88" s="52">
        <v>0.2</v>
      </c>
      <c r="D88" s="52">
        <v>2620.6999999999998</v>
      </c>
      <c r="E88" s="52">
        <v>0.3</v>
      </c>
    </row>
    <row r="89" spans="1:5" ht="14.45" customHeight="1" x14ac:dyDescent="0.2">
      <c r="A89" s="50" t="s">
        <v>138</v>
      </c>
      <c r="B89" s="52">
        <v>411.6</v>
      </c>
      <c r="C89" s="52">
        <v>0.1</v>
      </c>
      <c r="D89" s="52">
        <v>251.9</v>
      </c>
      <c r="E89" s="52">
        <v>0</v>
      </c>
    </row>
    <row r="90" spans="1:5" ht="14.45" customHeight="1" x14ac:dyDescent="0.2">
      <c r="A90" s="50" t="s">
        <v>139</v>
      </c>
      <c r="B90" s="52">
        <v>16048</v>
      </c>
      <c r="C90" s="52">
        <v>2.7</v>
      </c>
      <c r="D90" s="52">
        <v>28317</v>
      </c>
      <c r="E90" s="52">
        <v>3.1</v>
      </c>
    </row>
    <row r="91" spans="1:5" ht="14.45" customHeight="1" x14ac:dyDescent="0.2">
      <c r="A91" s="49" t="s">
        <v>60</v>
      </c>
      <c r="B91" s="52">
        <v>12904.9</v>
      </c>
      <c r="C91" s="52">
        <v>2.2000000000000002</v>
      </c>
      <c r="D91" s="52">
        <v>29468.5</v>
      </c>
      <c r="E91" s="52">
        <v>3.2</v>
      </c>
    </row>
    <row r="92" spans="1:5" ht="14.45" customHeight="1" x14ac:dyDescent="0.2">
      <c r="A92" s="50" t="s">
        <v>140</v>
      </c>
      <c r="B92" s="52">
        <v>842.1</v>
      </c>
      <c r="C92" s="52">
        <v>0.1</v>
      </c>
      <c r="D92" s="52">
        <v>2541.1</v>
      </c>
      <c r="E92" s="52">
        <v>0.3</v>
      </c>
    </row>
    <row r="93" spans="1:5" ht="14.45" customHeight="1" x14ac:dyDescent="0.2">
      <c r="A93" s="50" t="s">
        <v>141</v>
      </c>
      <c r="B93" s="52">
        <v>12062.9</v>
      </c>
      <c r="C93" s="52">
        <v>2</v>
      </c>
      <c r="D93" s="52">
        <v>26927.4</v>
      </c>
      <c r="E93" s="52">
        <v>2.9</v>
      </c>
    </row>
    <row r="94" spans="1:5" ht="14.45" customHeight="1" x14ac:dyDescent="0.2">
      <c r="A94" s="49" t="s">
        <v>61</v>
      </c>
      <c r="B94" s="52">
        <v>11023.2</v>
      </c>
      <c r="C94" s="52">
        <v>1.9</v>
      </c>
      <c r="D94" s="52">
        <v>20175.3</v>
      </c>
      <c r="E94" s="52">
        <v>2.2000000000000002</v>
      </c>
    </row>
    <row r="95" spans="1:5" ht="14.45" customHeight="1" x14ac:dyDescent="0.2">
      <c r="A95" s="50" t="s">
        <v>142</v>
      </c>
      <c r="B95" s="52">
        <v>1413.4</v>
      </c>
      <c r="C95" s="52">
        <v>0.2</v>
      </c>
      <c r="D95" s="52">
        <v>4922.3999999999996</v>
      </c>
      <c r="E95" s="52">
        <v>0.5</v>
      </c>
    </row>
    <row r="96" spans="1:5" ht="14.45" customHeight="1" x14ac:dyDescent="0.2">
      <c r="A96" s="50" t="s">
        <v>143</v>
      </c>
      <c r="B96" s="52">
        <v>7580.5</v>
      </c>
      <c r="C96" s="52">
        <v>1.3</v>
      </c>
      <c r="D96" s="52">
        <v>11938.5</v>
      </c>
      <c r="E96" s="52">
        <v>1.3</v>
      </c>
    </row>
    <row r="97" spans="1:5" ht="14.45" customHeight="1" x14ac:dyDescent="0.2">
      <c r="A97" s="50" t="s">
        <v>144</v>
      </c>
      <c r="B97" s="52">
        <v>2029.3</v>
      </c>
      <c r="C97" s="52">
        <v>0.3</v>
      </c>
      <c r="D97" s="52">
        <v>3314.4</v>
      </c>
      <c r="E97" s="52">
        <v>0.4</v>
      </c>
    </row>
    <row r="98" spans="1:5" ht="14.45" customHeight="1" x14ac:dyDescent="0.2">
      <c r="A98" s="49" t="s">
        <v>62</v>
      </c>
      <c r="B98" s="52">
        <v>3665.1</v>
      </c>
      <c r="C98" s="52">
        <v>0.6</v>
      </c>
      <c r="D98" s="52">
        <v>5096.1000000000004</v>
      </c>
      <c r="E98" s="52">
        <v>0.6</v>
      </c>
    </row>
    <row r="99" spans="1:5" ht="14.45" customHeight="1" x14ac:dyDescent="0.2">
      <c r="A99" s="50" t="s">
        <v>145</v>
      </c>
      <c r="B99" s="52">
        <v>509.4</v>
      </c>
      <c r="C99" s="52">
        <v>0.1</v>
      </c>
      <c r="D99" s="52">
        <v>715.3</v>
      </c>
      <c r="E99" s="52">
        <v>0.1</v>
      </c>
    </row>
    <row r="100" spans="1:5" ht="14.45" customHeight="1" x14ac:dyDescent="0.2">
      <c r="A100" s="50" t="s">
        <v>146</v>
      </c>
      <c r="B100" s="52">
        <v>368.9</v>
      </c>
      <c r="C100" s="52">
        <v>0.1</v>
      </c>
      <c r="D100" s="52">
        <v>505.8</v>
      </c>
      <c r="E100" s="52">
        <v>0.1</v>
      </c>
    </row>
    <row r="101" spans="1:5" ht="14.45" customHeight="1" x14ac:dyDescent="0.2">
      <c r="A101" s="50" t="s">
        <v>147</v>
      </c>
      <c r="B101" s="52">
        <v>2178</v>
      </c>
      <c r="C101" s="52">
        <v>0.4</v>
      </c>
      <c r="D101" s="52">
        <v>2899.8</v>
      </c>
      <c r="E101" s="52">
        <v>0.3</v>
      </c>
    </row>
    <row r="102" spans="1:5" ht="14.45" customHeight="1" x14ac:dyDescent="0.2">
      <c r="A102" s="50" t="s">
        <v>148</v>
      </c>
      <c r="B102" s="52">
        <v>608.79999999999995</v>
      </c>
      <c r="C102" s="52">
        <v>0.1</v>
      </c>
      <c r="D102" s="52">
        <v>975.1</v>
      </c>
      <c r="E102" s="52">
        <v>0.1</v>
      </c>
    </row>
    <row r="103" spans="1:5" ht="14.45" customHeight="1" x14ac:dyDescent="0.2">
      <c r="A103" s="49" t="s">
        <v>63</v>
      </c>
      <c r="B103" s="52">
        <v>8707.7000000000007</v>
      </c>
      <c r="C103" s="52">
        <v>1.5</v>
      </c>
      <c r="D103" s="52">
        <v>14793.3</v>
      </c>
      <c r="E103" s="52">
        <v>1.6</v>
      </c>
    </row>
    <row r="104" spans="1:5" ht="14.45" customHeight="1" x14ac:dyDescent="0.2">
      <c r="A104" s="50" t="s">
        <v>149</v>
      </c>
      <c r="B104" s="52">
        <v>5165</v>
      </c>
      <c r="C104" s="52">
        <v>0.9</v>
      </c>
      <c r="D104" s="52">
        <v>8986.2999999999993</v>
      </c>
      <c r="E104" s="52">
        <v>1</v>
      </c>
    </row>
    <row r="105" spans="1:5" ht="14.45" customHeight="1" x14ac:dyDescent="0.2">
      <c r="A105" s="50" t="s">
        <v>150</v>
      </c>
      <c r="B105" s="52">
        <v>2616.1</v>
      </c>
      <c r="C105" s="52">
        <v>0.4</v>
      </c>
      <c r="D105" s="52">
        <v>4597.5</v>
      </c>
      <c r="E105" s="52">
        <v>0.5</v>
      </c>
    </row>
    <row r="106" spans="1:5" ht="14.45" customHeight="1" x14ac:dyDescent="0.2">
      <c r="A106" s="50" t="s">
        <v>151</v>
      </c>
      <c r="B106" s="52">
        <v>926.6</v>
      </c>
      <c r="C106" s="52">
        <v>0.2</v>
      </c>
      <c r="D106" s="52">
        <v>1209.5</v>
      </c>
      <c r="E106" s="52">
        <v>0.1</v>
      </c>
    </row>
    <row r="107" spans="1:5" ht="14.45" customHeight="1" x14ac:dyDescent="0.2">
      <c r="A107" s="49" t="s">
        <v>41</v>
      </c>
      <c r="B107" s="52">
        <v>18951.400000000001</v>
      </c>
      <c r="C107" s="52">
        <v>3.2</v>
      </c>
      <c r="D107" s="52">
        <v>34001.4</v>
      </c>
      <c r="E107" s="52">
        <v>3.7</v>
      </c>
    </row>
    <row r="108" spans="1:5" ht="14.45" customHeight="1" x14ac:dyDescent="0.2">
      <c r="A108" s="50" t="s">
        <v>41</v>
      </c>
      <c r="B108" s="52">
        <v>18951.400000000001</v>
      </c>
      <c r="C108" s="52">
        <v>3.2</v>
      </c>
      <c r="D108" s="52">
        <v>34001.4</v>
      </c>
      <c r="E108" s="52">
        <v>3.7</v>
      </c>
    </row>
    <row r="109" spans="1:5" ht="14.45" customHeight="1" x14ac:dyDescent="0.2">
      <c r="A109" s="49" t="s">
        <v>42</v>
      </c>
      <c r="B109" s="52">
        <v>11034.4</v>
      </c>
      <c r="C109" s="52">
        <v>1.9</v>
      </c>
      <c r="D109" s="52">
        <v>20652.599999999999</v>
      </c>
      <c r="E109" s="52">
        <v>2.2000000000000002</v>
      </c>
    </row>
    <row r="110" spans="1:5" ht="14.45" customHeight="1" x14ac:dyDescent="0.2">
      <c r="A110" s="50" t="s">
        <v>152</v>
      </c>
      <c r="B110" s="52">
        <v>10655.8</v>
      </c>
      <c r="C110" s="52">
        <v>1.8</v>
      </c>
      <c r="D110" s="52">
        <v>19848.599999999999</v>
      </c>
      <c r="E110" s="52">
        <v>2.2000000000000002</v>
      </c>
    </row>
    <row r="111" spans="1:5" ht="14.45" customHeight="1" x14ac:dyDescent="0.2">
      <c r="A111" s="50" t="s">
        <v>153</v>
      </c>
      <c r="B111" s="52">
        <v>378.7</v>
      </c>
      <c r="C111" s="52">
        <v>0.1</v>
      </c>
      <c r="D111" s="52">
        <v>804</v>
      </c>
      <c r="E111" s="52">
        <v>0.1</v>
      </c>
    </row>
    <row r="112" spans="1:5" ht="14.45" customHeight="1" x14ac:dyDescent="0.2">
      <c r="A112" s="49" t="s">
        <v>64</v>
      </c>
      <c r="B112" s="52">
        <v>4137.8999999999996</v>
      </c>
      <c r="C112" s="52">
        <v>0.7</v>
      </c>
      <c r="D112" s="52">
        <v>7301.3</v>
      </c>
      <c r="E112" s="52">
        <v>0.8</v>
      </c>
    </row>
    <row r="113" spans="1:5" ht="14.45" customHeight="1" x14ac:dyDescent="0.2">
      <c r="A113" s="50" t="s">
        <v>154</v>
      </c>
      <c r="B113" s="52">
        <v>698.3</v>
      </c>
      <c r="C113" s="52">
        <v>0.1</v>
      </c>
      <c r="D113" s="52">
        <v>752.9</v>
      </c>
      <c r="E113" s="52">
        <v>0.1</v>
      </c>
    </row>
    <row r="114" spans="1:5" ht="14.45" customHeight="1" x14ac:dyDescent="0.2">
      <c r="A114" s="50" t="s">
        <v>155</v>
      </c>
      <c r="B114" s="52">
        <v>1014.6</v>
      </c>
      <c r="C114" s="52">
        <v>0.2</v>
      </c>
      <c r="D114" s="52">
        <v>1269.5</v>
      </c>
      <c r="E114" s="52">
        <v>0.1</v>
      </c>
    </row>
    <row r="115" spans="1:5" ht="14.45" customHeight="1" x14ac:dyDescent="0.2">
      <c r="A115" s="50" t="s">
        <v>156</v>
      </c>
      <c r="B115" s="52">
        <v>740</v>
      </c>
      <c r="C115" s="52">
        <v>0.1</v>
      </c>
      <c r="D115" s="52">
        <v>1452.3</v>
      </c>
      <c r="E115" s="52">
        <v>0.2</v>
      </c>
    </row>
    <row r="116" spans="1:5" ht="14.45" customHeight="1" x14ac:dyDescent="0.2">
      <c r="A116" s="50" t="s">
        <v>157</v>
      </c>
      <c r="B116" s="52">
        <v>257.39999999999998</v>
      </c>
      <c r="C116" s="52">
        <v>0</v>
      </c>
      <c r="D116" s="52">
        <v>891.5</v>
      </c>
      <c r="E116" s="52">
        <v>0.1</v>
      </c>
    </row>
    <row r="117" spans="1:5" ht="14.45" customHeight="1" x14ac:dyDescent="0.2">
      <c r="A117" s="50" t="s">
        <v>158</v>
      </c>
      <c r="B117" s="52">
        <v>1427.6</v>
      </c>
      <c r="C117" s="52">
        <v>0.2</v>
      </c>
      <c r="D117" s="52">
        <v>2935.2</v>
      </c>
      <c r="E117" s="52">
        <v>0.3</v>
      </c>
    </row>
    <row r="118" spans="1:5" ht="14.45" customHeight="1" x14ac:dyDescent="0.2">
      <c r="A118" s="55" t="s">
        <v>44</v>
      </c>
      <c r="B118" s="53">
        <v>21693</v>
      </c>
      <c r="C118" s="56">
        <v>3.7</v>
      </c>
      <c r="D118" s="53">
        <v>43923.1</v>
      </c>
      <c r="E118" s="56">
        <v>4.8</v>
      </c>
    </row>
  </sheetData>
  <mergeCells count="3">
    <mergeCell ref="A1:A2"/>
    <mergeCell ref="D1:E1"/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增加值 (2001-2060, 2012USD)</vt:lpstr>
      <vt:lpstr>增加值 (2001-2060, 2020RMB)</vt:lpstr>
      <vt:lpstr>增加值 (2001-2022, 当年价) </vt:lpstr>
      <vt:lpstr>情景假设</vt:lpstr>
      <vt:lpstr>平滑数据导入</vt:lpstr>
      <vt:lpstr>统计资料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cjwdllj@163.com</cp:lastModifiedBy>
  <dcterms:created xsi:type="dcterms:W3CDTF">2023-02-16T02:08:39Z</dcterms:created>
  <dcterms:modified xsi:type="dcterms:W3CDTF">2024-07-18T09:31:54Z</dcterms:modified>
</cp:coreProperties>
</file>