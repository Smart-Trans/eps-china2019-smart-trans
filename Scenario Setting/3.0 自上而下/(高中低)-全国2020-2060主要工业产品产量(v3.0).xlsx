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3.0 自上而下\"/>
    </mc:Choice>
  </mc:AlternateContent>
  <xr:revisionPtr revIDLastSave="0" documentId="13_ncr:1_{1D38FB22-4741-40A2-8D3E-A96C4ED0D34A}" xr6:coauthVersionLast="47" xr6:coauthVersionMax="47" xr10:uidLastSave="{00000000-0000-0000-0000-000000000000}"/>
  <bookViews>
    <workbookView xWindow="-120" yWindow="-120" windowWidth="29040" windowHeight="15720" tabRatio="584" activeTab="1" xr2:uid="{00000000-000D-0000-FFFF-FFFF00000000}"/>
  </bookViews>
  <sheets>
    <sheet name="高情景" sheetId="3" r:id="rId1"/>
    <sheet name="中情景" sheetId="4" r:id="rId2"/>
    <sheet name="低情景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4" l="1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" i="4"/>
  <c r="T21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" i="4"/>
  <c r="O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H2" i="4"/>
  <c r="I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T2" i="3" l="1"/>
  <c r="I17" i="1"/>
  <c r="I18" i="1"/>
  <c r="H18" i="1"/>
  <c r="L17" i="1"/>
  <c r="M17" i="1"/>
  <c r="N17" i="1" s="1"/>
  <c r="K18" i="1"/>
  <c r="L18" i="1" s="1"/>
  <c r="M18" i="1" s="1"/>
  <c r="N18" i="1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P18" i="1"/>
  <c r="AS18" i="1"/>
  <c r="AS16" i="1"/>
  <c r="AS18" i="3"/>
  <c r="AS16" i="3"/>
  <c r="H36" i="3"/>
  <c r="J6" i="1" l="1"/>
  <c r="J7" i="1" l="1"/>
  <c r="J10" i="3"/>
  <c r="J11" i="3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F27" i="1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F27" i="4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F27" i="3"/>
  <c r="AH35" i="4"/>
  <c r="AI35" i="4" s="1"/>
  <c r="AJ35" i="4" s="1"/>
  <c r="AK35" i="4" s="1"/>
  <c r="AL35" i="4" s="1"/>
  <c r="AM35" i="4" s="1"/>
  <c r="AN35" i="4" s="1"/>
  <c r="AO35" i="4" s="1"/>
  <c r="AP35" i="4" s="1"/>
  <c r="AQ35" i="4" s="1"/>
  <c r="AR35" i="4" s="1"/>
  <c r="AS35" i="4" s="1"/>
  <c r="AT35" i="4" s="1"/>
  <c r="AU35" i="4" s="1"/>
  <c r="V35" i="4"/>
  <c r="W35" i="4" s="1"/>
  <c r="X35" i="4" s="1"/>
  <c r="Y35" i="4" s="1"/>
  <c r="Z35" i="4" s="1"/>
  <c r="AA35" i="4" s="1"/>
  <c r="AB35" i="4" s="1"/>
  <c r="AC35" i="4" s="1"/>
  <c r="AD35" i="4" s="1"/>
  <c r="AE35" i="4" s="1"/>
  <c r="AF35" i="4" s="1"/>
  <c r="O35" i="4"/>
  <c r="P35" i="4" s="1"/>
  <c r="Q35" i="4" s="1"/>
  <c r="R35" i="4" s="1"/>
  <c r="S35" i="4" s="1"/>
  <c r="T35" i="4" s="1"/>
  <c r="N35" i="4"/>
  <c r="N34" i="4"/>
  <c r="AI33" i="4"/>
  <c r="AJ33" i="4" s="1"/>
  <c r="AK33" i="4" s="1"/>
  <c r="AL33" i="4" s="1"/>
  <c r="AM33" i="4" s="1"/>
  <c r="AN33" i="4" s="1"/>
  <c r="AO33" i="4" s="1"/>
  <c r="AP33" i="4" s="1"/>
  <c r="AQ33" i="4" s="1"/>
  <c r="AR33" i="4" s="1"/>
  <c r="AS33" i="4" s="1"/>
  <c r="AT33" i="4" s="1"/>
  <c r="AU33" i="4" s="1"/>
  <c r="AH33" i="4"/>
  <c r="X33" i="4"/>
  <c r="Y33" i="4" s="1"/>
  <c r="Z33" i="4" s="1"/>
  <c r="AA33" i="4" s="1"/>
  <c r="AB33" i="4" s="1"/>
  <c r="AC33" i="4" s="1"/>
  <c r="AD33" i="4" s="1"/>
  <c r="AE33" i="4" s="1"/>
  <c r="AF33" i="4" s="1"/>
  <c r="W33" i="4"/>
  <c r="O33" i="4"/>
  <c r="P33" i="4" s="1"/>
  <c r="Q33" i="4" s="1"/>
  <c r="R33" i="4" s="1"/>
  <c r="S33" i="4" s="1"/>
  <c r="T33" i="4" s="1"/>
  <c r="U33" i="4" s="1"/>
  <c r="N33" i="4"/>
  <c r="V32" i="4"/>
  <c r="W32" i="4" s="1"/>
  <c r="X32" i="4" s="1"/>
  <c r="Y32" i="4" s="1"/>
  <c r="Z32" i="4" s="1"/>
  <c r="AA32" i="4" s="1"/>
  <c r="AB32" i="4" s="1"/>
  <c r="AC32" i="4" s="1"/>
  <c r="AD32" i="4" s="1"/>
  <c r="AE32" i="4" s="1"/>
  <c r="AF32" i="4" s="1"/>
  <c r="O32" i="4"/>
  <c r="P32" i="4" s="1"/>
  <c r="Q32" i="4" s="1"/>
  <c r="R32" i="4" s="1"/>
  <c r="N32" i="4"/>
  <c r="N32" i="3"/>
  <c r="O32" i="3" s="1"/>
  <c r="P32" i="3" s="1"/>
  <c r="Q32" i="3" s="1"/>
  <c r="S32" i="3"/>
  <c r="T32" i="3" s="1"/>
  <c r="U32" i="3" s="1"/>
  <c r="AC35" i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R35" i="1"/>
  <c r="S35" i="1" s="1"/>
  <c r="T35" i="1" s="1"/>
  <c r="AB33" i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N33" i="1"/>
  <c r="O33" i="1" s="1"/>
  <c r="P33" i="1" s="1"/>
  <c r="Q33" i="1" s="1"/>
  <c r="AV38" i="1"/>
  <c r="AQ38" i="1"/>
  <c r="AL38" i="1"/>
  <c r="AG38" i="1"/>
  <c r="AB38" i="1"/>
  <c r="W38" i="1"/>
  <c r="R38" i="1"/>
  <c r="M38" i="1"/>
  <c r="J38" i="1"/>
  <c r="I38" i="1"/>
  <c r="H38" i="1"/>
  <c r="AV37" i="1"/>
  <c r="AQ37" i="1"/>
  <c r="AL37" i="1"/>
  <c r="AG37" i="1"/>
  <c r="AB37" i="1"/>
  <c r="W37" i="1"/>
  <c r="R37" i="1"/>
  <c r="M37" i="1"/>
  <c r="L37" i="1"/>
  <c r="K37" i="1"/>
  <c r="J37" i="1"/>
  <c r="I37" i="1"/>
  <c r="H37" i="1"/>
  <c r="AV36" i="1"/>
  <c r="AQ36" i="1"/>
  <c r="AL36" i="1"/>
  <c r="AG36" i="1"/>
  <c r="AB36" i="1"/>
  <c r="W36" i="1"/>
  <c r="R36" i="1"/>
  <c r="M36" i="1"/>
  <c r="J36" i="1"/>
  <c r="I36" i="1"/>
  <c r="H36" i="1"/>
  <c r="J35" i="1"/>
  <c r="K35" i="1" s="1"/>
  <c r="L35" i="1" s="1"/>
  <c r="X34" i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N34" i="1"/>
  <c r="O34" i="1" s="1"/>
  <c r="P34" i="1" s="1"/>
  <c r="Q34" i="1" s="1"/>
  <c r="R34" i="1" s="1"/>
  <c r="S34" i="1" s="1"/>
  <c r="T34" i="1" s="1"/>
  <c r="U34" i="1" s="1"/>
  <c r="V34" i="1" s="1"/>
  <c r="K34" i="1"/>
  <c r="L34" i="1" s="1"/>
  <c r="J33" i="1"/>
  <c r="K33" i="1" s="1"/>
  <c r="L33" i="1" s="1"/>
  <c r="AH32" i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X32" i="1"/>
  <c r="Y32" i="1" s="1"/>
  <c r="Z32" i="1" s="1"/>
  <c r="AA32" i="1" s="1"/>
  <c r="AB32" i="1" s="1"/>
  <c r="AC32" i="1" s="1"/>
  <c r="AD32" i="1" s="1"/>
  <c r="AE32" i="1" s="1"/>
  <c r="AF32" i="1" s="1"/>
  <c r="S32" i="1"/>
  <c r="T32" i="1" s="1"/>
  <c r="U32" i="1" s="1"/>
  <c r="V32" i="1" s="1"/>
  <c r="N32" i="1"/>
  <c r="O32" i="1" s="1"/>
  <c r="P32" i="1" s="1"/>
  <c r="Q32" i="1" s="1"/>
  <c r="K32" i="1"/>
  <c r="L32" i="1" s="1"/>
  <c r="J31" i="1"/>
  <c r="I31" i="1"/>
  <c r="H31" i="1"/>
  <c r="AV30" i="1"/>
  <c r="AQ30" i="1"/>
  <c r="AL30" i="1"/>
  <c r="AG30" i="1"/>
  <c r="AB30" i="1"/>
  <c r="W30" i="1"/>
  <c r="R30" i="1"/>
  <c r="M30" i="1"/>
  <c r="J30" i="1"/>
  <c r="I30" i="1"/>
  <c r="H30" i="1"/>
  <c r="AV29" i="1"/>
  <c r="AQ29" i="1"/>
  <c r="AL29" i="1"/>
  <c r="AG29" i="1"/>
  <c r="AB29" i="1"/>
  <c r="W29" i="1"/>
  <c r="R29" i="1"/>
  <c r="M29" i="1"/>
  <c r="J29" i="1"/>
  <c r="I29" i="1"/>
  <c r="H29" i="1"/>
  <c r="R28" i="1"/>
  <c r="M28" i="1"/>
  <c r="J28" i="1"/>
  <c r="I28" i="1"/>
  <c r="H28" i="1"/>
  <c r="J38" i="4"/>
  <c r="J37" i="4"/>
  <c r="J36" i="4"/>
  <c r="K35" i="4"/>
  <c r="L35" i="4" s="1"/>
  <c r="J35" i="4"/>
  <c r="X34" i="4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AK34" i="4" s="1"/>
  <c r="AL34" i="4" s="1"/>
  <c r="AM34" i="4" s="1"/>
  <c r="AN34" i="4" s="1"/>
  <c r="AO34" i="4" s="1"/>
  <c r="AP34" i="4" s="1"/>
  <c r="AQ34" i="4" s="1"/>
  <c r="AR34" i="4" s="1"/>
  <c r="AS34" i="4" s="1"/>
  <c r="AT34" i="4" s="1"/>
  <c r="AU34" i="4" s="1"/>
  <c r="O34" i="4"/>
  <c r="P34" i="4" s="1"/>
  <c r="Q34" i="4" s="1"/>
  <c r="R34" i="4" s="1"/>
  <c r="S34" i="4" s="1"/>
  <c r="T34" i="4" s="1"/>
  <c r="U34" i="4" s="1"/>
  <c r="V34" i="4" s="1"/>
  <c r="K34" i="4"/>
  <c r="L34" i="4" s="1"/>
  <c r="J33" i="4"/>
  <c r="K33" i="4" s="1"/>
  <c r="L33" i="4" s="1"/>
  <c r="AH32" i="4"/>
  <c r="AI32" i="4" s="1"/>
  <c r="AJ32" i="4" s="1"/>
  <c r="AK32" i="4" s="1"/>
  <c r="AL32" i="4" s="1"/>
  <c r="AM32" i="4" s="1"/>
  <c r="AN32" i="4" s="1"/>
  <c r="AO32" i="4" s="1"/>
  <c r="AP32" i="4" s="1"/>
  <c r="AQ32" i="4" s="1"/>
  <c r="AR32" i="4" s="1"/>
  <c r="AS32" i="4" s="1"/>
  <c r="AT32" i="4" s="1"/>
  <c r="AU32" i="4" s="1"/>
  <c r="K32" i="4"/>
  <c r="L32" i="4" s="1"/>
  <c r="J31" i="4"/>
  <c r="J30" i="4"/>
  <c r="J29" i="4"/>
  <c r="J28" i="4"/>
  <c r="N33" i="3"/>
  <c r="O33" i="3" s="1"/>
  <c r="P33" i="3" s="1"/>
  <c r="Q33" i="3" s="1"/>
  <c r="R33" i="3" s="1"/>
  <c r="S33" i="3" s="1"/>
  <c r="T33" i="3" s="1"/>
  <c r="U33" i="3" s="1"/>
  <c r="V33" i="3" s="1"/>
  <c r="J33" i="3"/>
  <c r="K33" i="3" s="1"/>
  <c r="L33" i="3" s="1"/>
  <c r="X33" i="3"/>
  <c r="Y33" i="3" s="1"/>
  <c r="Z33" i="3" s="1"/>
  <c r="AA33" i="3" s="1"/>
  <c r="AB33" i="3" s="1"/>
  <c r="AC33" i="3" s="1"/>
  <c r="AD33" i="3" s="1"/>
  <c r="AE33" i="3" s="1"/>
  <c r="AF33" i="3" s="1"/>
  <c r="AH33" i="3"/>
  <c r="AI33" i="3" s="1"/>
  <c r="AJ33" i="3" s="1"/>
  <c r="AK33" i="3" s="1"/>
  <c r="AL33" i="3" s="1"/>
  <c r="AM33" i="3" s="1"/>
  <c r="AN33" i="3" s="1"/>
  <c r="AO33" i="3" s="1"/>
  <c r="AP33" i="3" s="1"/>
  <c r="AQ33" i="3" s="1"/>
  <c r="AR33" i="3" s="1"/>
  <c r="AS33" i="3" s="1"/>
  <c r="AT33" i="3" s="1"/>
  <c r="AU33" i="3" s="1"/>
  <c r="AH32" i="3"/>
  <c r="AI32" i="3" s="1"/>
  <c r="AJ32" i="3" s="1"/>
  <c r="AK32" i="3" s="1"/>
  <c r="AL32" i="3" s="1"/>
  <c r="AM32" i="3" s="1"/>
  <c r="AN32" i="3" s="1"/>
  <c r="AO32" i="3" s="1"/>
  <c r="AP32" i="3" s="1"/>
  <c r="AQ32" i="3" s="1"/>
  <c r="AR32" i="3" s="1"/>
  <c r="AS32" i="3" s="1"/>
  <c r="AT32" i="3" s="1"/>
  <c r="AU32" i="3" s="1"/>
  <c r="X35" i="3"/>
  <c r="Y35" i="3" s="1"/>
  <c r="Z35" i="3" s="1"/>
  <c r="AA35" i="3" s="1"/>
  <c r="AB35" i="3" s="1"/>
  <c r="AC35" i="3" s="1"/>
  <c r="AD35" i="3" s="1"/>
  <c r="AE35" i="3" s="1"/>
  <c r="AF35" i="3" s="1"/>
  <c r="AG35" i="3" s="1"/>
  <c r="AH35" i="3" s="1"/>
  <c r="AI35" i="3" s="1"/>
  <c r="AJ35" i="3" s="1"/>
  <c r="AK35" i="3" s="1"/>
  <c r="AL35" i="3" s="1"/>
  <c r="AM35" i="3" s="1"/>
  <c r="AN35" i="3" s="1"/>
  <c r="AO35" i="3" s="1"/>
  <c r="AP35" i="3" s="1"/>
  <c r="AQ35" i="3" s="1"/>
  <c r="AR35" i="3" s="1"/>
  <c r="AS35" i="3" s="1"/>
  <c r="AT35" i="3" s="1"/>
  <c r="AU35" i="3" s="1"/>
  <c r="N35" i="3"/>
  <c r="O35" i="3" s="1"/>
  <c r="P35" i="3" s="1"/>
  <c r="Q35" i="3" s="1"/>
  <c r="R35" i="3" s="1"/>
  <c r="S35" i="3" s="1"/>
  <c r="T35" i="3" s="1"/>
  <c r="U35" i="3" s="1"/>
  <c r="V35" i="3" s="1"/>
  <c r="J35" i="3"/>
  <c r="K35" i="3" s="1"/>
  <c r="L35" i="3" s="1"/>
  <c r="X34" i="3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N34" i="3"/>
  <c r="O34" i="3" s="1"/>
  <c r="P34" i="3" s="1"/>
  <c r="Q34" i="3" s="1"/>
  <c r="R34" i="3" s="1"/>
  <c r="S34" i="3" s="1"/>
  <c r="T34" i="3" s="1"/>
  <c r="U34" i="3" s="1"/>
  <c r="V34" i="3" s="1"/>
  <c r="K34" i="3"/>
  <c r="L34" i="3" s="1"/>
  <c r="X32" i="3"/>
  <c r="Y32" i="3" s="1"/>
  <c r="Z32" i="3" s="1"/>
  <c r="AA32" i="3" s="1"/>
  <c r="AB32" i="3" s="1"/>
  <c r="AC32" i="3" s="1"/>
  <c r="AD32" i="3" s="1"/>
  <c r="AE32" i="3" s="1"/>
  <c r="AF32" i="3" s="1"/>
  <c r="K32" i="3"/>
  <c r="L32" i="3" s="1"/>
  <c r="I38" i="3"/>
  <c r="J38" i="3"/>
  <c r="M38" i="3"/>
  <c r="R38" i="3"/>
  <c r="W38" i="3"/>
  <c r="AB38" i="3"/>
  <c r="AG38" i="3"/>
  <c r="AL38" i="3"/>
  <c r="AQ38" i="3"/>
  <c r="AV38" i="3"/>
  <c r="H38" i="3"/>
  <c r="I37" i="3"/>
  <c r="J37" i="3"/>
  <c r="M37" i="3"/>
  <c r="R37" i="3"/>
  <c r="W37" i="3"/>
  <c r="AB37" i="3"/>
  <c r="AG37" i="3"/>
  <c r="AL37" i="3"/>
  <c r="AQ37" i="3"/>
  <c r="AV37" i="3"/>
  <c r="H37" i="3"/>
  <c r="I36" i="3"/>
  <c r="J36" i="3"/>
  <c r="M36" i="3"/>
  <c r="R36" i="3"/>
  <c r="W36" i="3"/>
  <c r="AB36" i="3"/>
  <c r="AG36" i="3"/>
  <c r="AL36" i="3"/>
  <c r="AQ36" i="3"/>
  <c r="AV36" i="3"/>
  <c r="N35" i="1" l="1"/>
  <c r="O35" i="1" s="1"/>
  <c r="P35" i="1" s="1"/>
  <c r="Q35" i="1" s="1"/>
  <c r="S33" i="1"/>
  <c r="T33" i="1" s="1"/>
  <c r="U33" i="1" s="1"/>
  <c r="V33" i="1" s="1"/>
  <c r="W33" i="1" s="1"/>
  <c r="U35" i="1"/>
  <c r="V35" i="1" s="1"/>
  <c r="W35" i="1" s="1"/>
  <c r="X35" i="1" s="1"/>
  <c r="Y35" i="1" s="1"/>
  <c r="Z35" i="1" s="1"/>
  <c r="AA35" i="1" s="1"/>
  <c r="S32" i="4"/>
  <c r="T32" i="4" s="1"/>
  <c r="V32" i="3"/>
  <c r="X33" i="1"/>
  <c r="Y33" i="1" s="1"/>
  <c r="Z33" i="1" s="1"/>
  <c r="AA33" i="1" s="1"/>
  <c r="I31" i="3"/>
  <c r="J31" i="3"/>
  <c r="M31" i="3"/>
  <c r="H31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H30" i="3"/>
  <c r="I29" i="3"/>
  <c r="J29" i="3"/>
  <c r="M29" i="3"/>
  <c r="R29" i="3"/>
  <c r="W29" i="3"/>
  <c r="AB29" i="3"/>
  <c r="AG29" i="3"/>
  <c r="AL29" i="3"/>
  <c r="AQ29" i="3"/>
  <c r="AV29" i="3"/>
  <c r="H29" i="3"/>
  <c r="I28" i="3"/>
  <c r="J28" i="3"/>
  <c r="M28" i="3"/>
  <c r="R28" i="3"/>
  <c r="H28" i="3"/>
  <c r="M29" i="4"/>
  <c r="M30" i="4"/>
  <c r="M28" i="4"/>
  <c r="R29" i="4"/>
  <c r="R30" i="4"/>
  <c r="R28" i="4"/>
  <c r="E3" i="4"/>
  <c r="H29" i="4" s="1"/>
  <c r="F3" i="4"/>
  <c r="I29" i="4" s="1"/>
  <c r="E4" i="4"/>
  <c r="H30" i="4" s="1"/>
  <c r="F4" i="4"/>
  <c r="I30" i="4" s="1"/>
  <c r="E5" i="4"/>
  <c r="F5" i="4"/>
  <c r="E6" i="4"/>
  <c r="F6" i="4"/>
  <c r="E7" i="4"/>
  <c r="F7" i="4"/>
  <c r="E8" i="4"/>
  <c r="F8" i="4"/>
  <c r="E9" i="4"/>
  <c r="F9" i="4"/>
  <c r="E10" i="4"/>
  <c r="H31" i="4" s="1"/>
  <c r="F10" i="4"/>
  <c r="I31" i="4" s="1"/>
  <c r="E11" i="4"/>
  <c r="F11" i="4"/>
  <c r="E12" i="4"/>
  <c r="F12" i="4"/>
  <c r="E13" i="4"/>
  <c r="F13" i="4"/>
  <c r="E14" i="4"/>
  <c r="F14" i="4"/>
  <c r="E15" i="4"/>
  <c r="F15" i="4"/>
  <c r="E16" i="4"/>
  <c r="H36" i="4" s="1"/>
  <c r="F16" i="4"/>
  <c r="I36" i="4" s="1"/>
  <c r="E17" i="4"/>
  <c r="F17" i="4"/>
  <c r="E18" i="4"/>
  <c r="H37" i="4" s="1"/>
  <c r="F18" i="4"/>
  <c r="I37" i="4" s="1"/>
  <c r="E19" i="4"/>
  <c r="H38" i="4" s="1"/>
  <c r="F19" i="4"/>
  <c r="I38" i="4" s="1"/>
  <c r="E20" i="4"/>
  <c r="F20" i="4"/>
  <c r="E21" i="4"/>
  <c r="F21" i="4"/>
  <c r="F2" i="4"/>
  <c r="I28" i="4" s="1"/>
  <c r="E2" i="4"/>
  <c r="H28" i="4" s="1"/>
  <c r="R38" i="4" l="1"/>
  <c r="M38" i="4"/>
  <c r="R37" i="4"/>
  <c r="M37" i="4"/>
  <c r="R36" i="4"/>
  <c r="M36" i="4"/>
  <c r="J10" i="1"/>
  <c r="J5" i="1"/>
  <c r="J8" i="1"/>
  <c r="J21" i="1"/>
  <c r="J11" i="1"/>
  <c r="H16" i="1"/>
  <c r="H5" i="1"/>
  <c r="I5" i="1" s="1"/>
  <c r="M31" i="1" l="1"/>
  <c r="M31" i="4"/>
  <c r="O6" i="1"/>
  <c r="I16" i="1"/>
  <c r="L36" i="1" s="1"/>
  <c r="K36" i="1"/>
  <c r="AV29" i="4"/>
  <c r="AV30" i="4"/>
  <c r="AT17" i="4"/>
  <c r="AV38" i="4"/>
  <c r="O6" i="3"/>
  <c r="J6" i="3"/>
  <c r="J5" i="3"/>
  <c r="H12" i="3"/>
  <c r="O10" i="3"/>
  <c r="J7" i="3"/>
  <c r="O7" i="3" s="1"/>
  <c r="H3" i="1"/>
  <c r="H4" i="1"/>
  <c r="I4" i="1" s="1"/>
  <c r="H6" i="1"/>
  <c r="I6" i="1" s="1"/>
  <c r="H9" i="1"/>
  <c r="I9" i="1" s="1"/>
  <c r="H10" i="1"/>
  <c r="H12" i="1"/>
  <c r="I12" i="1" s="1"/>
  <c r="H13" i="1"/>
  <c r="I13" i="1" s="1"/>
  <c r="H14" i="1"/>
  <c r="I14" i="1" s="1"/>
  <c r="H15" i="1"/>
  <c r="I15" i="1" s="1"/>
  <c r="H17" i="1"/>
  <c r="H19" i="1"/>
  <c r="H20" i="1"/>
  <c r="H21" i="1"/>
  <c r="I21" i="1" s="1"/>
  <c r="H2" i="1"/>
  <c r="W28" i="3"/>
  <c r="I4" i="3"/>
  <c r="I17" i="3"/>
  <c r="I21" i="3"/>
  <c r="H3" i="3"/>
  <c r="H4" i="3"/>
  <c r="H6" i="3"/>
  <c r="I6" i="3" s="1"/>
  <c r="H9" i="3"/>
  <c r="H13" i="3"/>
  <c r="H14" i="3"/>
  <c r="H15" i="3"/>
  <c r="H16" i="3"/>
  <c r="H17" i="3"/>
  <c r="H18" i="3"/>
  <c r="H20" i="3"/>
  <c r="I20" i="3" s="1"/>
  <c r="H21" i="3"/>
  <c r="H2" i="3"/>
  <c r="J21" i="3"/>
  <c r="O21" i="3" s="1"/>
  <c r="AO20" i="3"/>
  <c r="AP20" i="3" s="1"/>
  <c r="AQ20" i="3" s="1"/>
  <c r="AR20" i="3" s="1"/>
  <c r="AJ20" i="3"/>
  <c r="AK20" i="3" s="1"/>
  <c r="AL20" i="3" s="1"/>
  <c r="AM20" i="3" s="1"/>
  <c r="AE20" i="3"/>
  <c r="AF20" i="3" s="1"/>
  <c r="AG20" i="3" s="1"/>
  <c r="AH20" i="3" s="1"/>
  <c r="Z20" i="3"/>
  <c r="AA20" i="3" s="1"/>
  <c r="AB20" i="3" s="1"/>
  <c r="AC20" i="3" s="1"/>
  <c r="U20" i="3"/>
  <c r="V20" i="3" s="1"/>
  <c r="W20" i="3" s="1"/>
  <c r="X20" i="3" s="1"/>
  <c r="P20" i="3"/>
  <c r="Q20" i="3" s="1"/>
  <c r="R20" i="3" s="1"/>
  <c r="S20" i="3" s="1"/>
  <c r="K20" i="3"/>
  <c r="AO19" i="3"/>
  <c r="AJ19" i="3"/>
  <c r="AM38" i="3" s="1"/>
  <c r="AE19" i="3"/>
  <c r="AH38" i="3" s="1"/>
  <c r="Z19" i="3"/>
  <c r="U19" i="3"/>
  <c r="P19" i="3"/>
  <c r="AO18" i="3"/>
  <c r="AR37" i="3" s="1"/>
  <c r="AJ18" i="3"/>
  <c r="AE18" i="3"/>
  <c r="Z18" i="3"/>
  <c r="U18" i="3"/>
  <c r="P18" i="3"/>
  <c r="K18" i="3"/>
  <c r="AO17" i="3"/>
  <c r="AP17" i="3" s="1"/>
  <c r="AQ17" i="3" s="1"/>
  <c r="AR17" i="3" s="1"/>
  <c r="AJ17" i="3"/>
  <c r="AK17" i="3" s="1"/>
  <c r="AL17" i="3" s="1"/>
  <c r="AM17" i="3" s="1"/>
  <c r="AE17" i="3"/>
  <c r="AF17" i="3" s="1"/>
  <c r="AG17" i="3" s="1"/>
  <c r="AH17" i="3" s="1"/>
  <c r="Z17" i="3"/>
  <c r="AA17" i="3" s="1"/>
  <c r="AB17" i="3" s="1"/>
  <c r="AC17" i="3" s="1"/>
  <c r="U17" i="3"/>
  <c r="V17" i="3" s="1"/>
  <c r="W17" i="3" s="1"/>
  <c r="X17" i="3" s="1"/>
  <c r="P17" i="3"/>
  <c r="Q17" i="3" s="1"/>
  <c r="R17" i="3" s="1"/>
  <c r="S17" i="3" s="1"/>
  <c r="K17" i="3"/>
  <c r="AO16" i="3"/>
  <c r="AR36" i="3" s="1"/>
  <c r="AJ16" i="3"/>
  <c r="AE16" i="3"/>
  <c r="Z16" i="3"/>
  <c r="U16" i="3"/>
  <c r="P16" i="3"/>
  <c r="K16" i="3"/>
  <c r="AO15" i="3"/>
  <c r="AP15" i="3" s="1"/>
  <c r="AQ15" i="3" s="1"/>
  <c r="AR15" i="3" s="1"/>
  <c r="AJ15" i="3"/>
  <c r="AK15" i="3" s="1"/>
  <c r="AL15" i="3" s="1"/>
  <c r="AM15" i="3" s="1"/>
  <c r="AE15" i="3"/>
  <c r="AF15" i="3" s="1"/>
  <c r="AG15" i="3" s="1"/>
  <c r="AH15" i="3" s="1"/>
  <c r="Z15" i="3"/>
  <c r="AA15" i="3" s="1"/>
  <c r="AB15" i="3" s="1"/>
  <c r="AC15" i="3" s="1"/>
  <c r="U15" i="3"/>
  <c r="V15" i="3" s="1"/>
  <c r="W15" i="3" s="1"/>
  <c r="X15" i="3" s="1"/>
  <c r="P15" i="3"/>
  <c r="Q15" i="3" s="1"/>
  <c r="R15" i="3" s="1"/>
  <c r="S15" i="3" s="1"/>
  <c r="K15" i="3"/>
  <c r="AO14" i="3"/>
  <c r="AP14" i="3" s="1"/>
  <c r="AQ14" i="3" s="1"/>
  <c r="AR14" i="3" s="1"/>
  <c r="AJ14" i="3"/>
  <c r="AK14" i="3" s="1"/>
  <c r="AL14" i="3" s="1"/>
  <c r="AM14" i="3" s="1"/>
  <c r="AE14" i="3"/>
  <c r="AF14" i="3" s="1"/>
  <c r="AG14" i="3" s="1"/>
  <c r="AH14" i="3" s="1"/>
  <c r="Z14" i="3"/>
  <c r="AA14" i="3" s="1"/>
  <c r="AB14" i="3" s="1"/>
  <c r="AC14" i="3" s="1"/>
  <c r="U14" i="3"/>
  <c r="V14" i="3" s="1"/>
  <c r="W14" i="3" s="1"/>
  <c r="X14" i="3" s="1"/>
  <c r="P14" i="3"/>
  <c r="Q14" i="3" s="1"/>
  <c r="R14" i="3" s="1"/>
  <c r="S14" i="3" s="1"/>
  <c r="K14" i="3"/>
  <c r="AO13" i="3"/>
  <c r="AP13" i="3" s="1"/>
  <c r="AQ13" i="3" s="1"/>
  <c r="AR13" i="3" s="1"/>
  <c r="AJ13" i="3"/>
  <c r="AK13" i="3" s="1"/>
  <c r="AL13" i="3" s="1"/>
  <c r="AM13" i="3" s="1"/>
  <c r="AE13" i="3"/>
  <c r="AF13" i="3" s="1"/>
  <c r="AG13" i="3" s="1"/>
  <c r="AH13" i="3" s="1"/>
  <c r="Z13" i="3"/>
  <c r="AA13" i="3" s="1"/>
  <c r="AB13" i="3" s="1"/>
  <c r="AC13" i="3" s="1"/>
  <c r="U13" i="3"/>
  <c r="V13" i="3" s="1"/>
  <c r="W13" i="3" s="1"/>
  <c r="X13" i="3" s="1"/>
  <c r="P13" i="3"/>
  <c r="Q13" i="3" s="1"/>
  <c r="R13" i="3" s="1"/>
  <c r="S13" i="3" s="1"/>
  <c r="K13" i="3"/>
  <c r="AO12" i="3"/>
  <c r="AJ12" i="3"/>
  <c r="AK12" i="3" s="1"/>
  <c r="AL12" i="3" s="1"/>
  <c r="AM12" i="3" s="1"/>
  <c r="AE12" i="3"/>
  <c r="AF12" i="3" s="1"/>
  <c r="AG12" i="3" s="1"/>
  <c r="AH12" i="3" s="1"/>
  <c r="Z12" i="3"/>
  <c r="AA12" i="3" s="1"/>
  <c r="AB12" i="3" s="1"/>
  <c r="AC12" i="3" s="1"/>
  <c r="U12" i="3"/>
  <c r="V12" i="3" s="1"/>
  <c r="W12" i="3" s="1"/>
  <c r="X12" i="3" s="1"/>
  <c r="P12" i="3"/>
  <c r="Q12" i="3" s="1"/>
  <c r="R12" i="3" s="1"/>
  <c r="S12" i="3" s="1"/>
  <c r="K12" i="3"/>
  <c r="H11" i="3"/>
  <c r="AO9" i="3"/>
  <c r="AP9" i="3" s="1"/>
  <c r="AQ9" i="3" s="1"/>
  <c r="AR9" i="3" s="1"/>
  <c r="AJ9" i="3"/>
  <c r="AK9" i="3" s="1"/>
  <c r="AL9" i="3" s="1"/>
  <c r="AM9" i="3" s="1"/>
  <c r="AE9" i="3"/>
  <c r="AF9" i="3" s="1"/>
  <c r="AG9" i="3" s="1"/>
  <c r="AH9" i="3" s="1"/>
  <c r="Z9" i="3"/>
  <c r="AA9" i="3" s="1"/>
  <c r="AB9" i="3" s="1"/>
  <c r="AC9" i="3" s="1"/>
  <c r="U9" i="3"/>
  <c r="V9" i="3" s="1"/>
  <c r="W9" i="3" s="1"/>
  <c r="X9" i="3" s="1"/>
  <c r="P9" i="3"/>
  <c r="Q9" i="3" s="1"/>
  <c r="R9" i="3" s="1"/>
  <c r="S9" i="3" s="1"/>
  <c r="K9" i="3"/>
  <c r="J8" i="3"/>
  <c r="K6" i="3"/>
  <c r="AP4" i="3"/>
  <c r="AQ4" i="3" s="1"/>
  <c r="AR4" i="3" s="1"/>
  <c r="AO4" i="3"/>
  <c r="AJ4" i="3"/>
  <c r="AK4" i="3" s="1"/>
  <c r="AL4" i="3" s="1"/>
  <c r="AM4" i="3" s="1"/>
  <c r="AE4" i="3"/>
  <c r="AF4" i="3" s="1"/>
  <c r="AG4" i="3" s="1"/>
  <c r="AH4" i="3" s="1"/>
  <c r="Z4" i="3"/>
  <c r="AA4" i="3" s="1"/>
  <c r="AB4" i="3" s="1"/>
  <c r="AC4" i="3" s="1"/>
  <c r="U4" i="3"/>
  <c r="V4" i="3" s="1"/>
  <c r="W4" i="3" s="1"/>
  <c r="X4" i="3" s="1"/>
  <c r="Q4" i="3"/>
  <c r="R4" i="3" s="1"/>
  <c r="S4" i="3" s="1"/>
  <c r="P4" i="3"/>
  <c r="L4" i="3"/>
  <c r="M4" i="3" s="1"/>
  <c r="N4" i="3" s="1"/>
  <c r="K4" i="3"/>
  <c r="AO3" i="3"/>
  <c r="AJ3" i="3"/>
  <c r="AM29" i="3" s="1"/>
  <c r="AE3" i="3"/>
  <c r="Z3" i="3"/>
  <c r="U3" i="3"/>
  <c r="X29" i="3" s="1"/>
  <c r="P3" i="3"/>
  <c r="K3" i="3"/>
  <c r="O21" i="1"/>
  <c r="AO20" i="1"/>
  <c r="AP20" i="1" s="1"/>
  <c r="AJ20" i="1"/>
  <c r="AK20" i="1" s="1"/>
  <c r="AL20" i="1" s="1"/>
  <c r="AM20" i="1" s="1"/>
  <c r="AE20" i="1"/>
  <c r="Z20" i="1"/>
  <c r="AA20" i="1" s="1"/>
  <c r="AB20" i="1" s="1"/>
  <c r="AC20" i="1" s="1"/>
  <c r="U20" i="1"/>
  <c r="P20" i="1"/>
  <c r="Q20" i="1" s="1"/>
  <c r="R20" i="1" s="1"/>
  <c r="S20" i="1" s="1"/>
  <c r="K20" i="1"/>
  <c r="AO19" i="1"/>
  <c r="AR38" i="1" s="1"/>
  <c r="AJ19" i="1"/>
  <c r="AE19" i="1"/>
  <c r="AH38" i="1" s="1"/>
  <c r="Z19" i="1"/>
  <c r="U19" i="1"/>
  <c r="P19" i="1"/>
  <c r="K19" i="1"/>
  <c r="AO18" i="1"/>
  <c r="AR37" i="1" s="1"/>
  <c r="AJ18" i="1"/>
  <c r="AE18" i="1"/>
  <c r="AH37" i="1" s="1"/>
  <c r="Z18" i="1"/>
  <c r="U18" i="1"/>
  <c r="V18" i="1" s="1"/>
  <c r="Y37" i="1" s="1"/>
  <c r="AO17" i="1"/>
  <c r="AP17" i="1" s="1"/>
  <c r="AQ17" i="1" s="1"/>
  <c r="AR17" i="1" s="1"/>
  <c r="AJ17" i="1"/>
  <c r="AK17" i="1" s="1"/>
  <c r="AL17" i="1" s="1"/>
  <c r="AM17" i="1" s="1"/>
  <c r="AE17" i="1"/>
  <c r="AF17" i="1" s="1"/>
  <c r="AG17" i="1" s="1"/>
  <c r="AH17" i="1" s="1"/>
  <c r="Z17" i="1"/>
  <c r="AA17" i="1" s="1"/>
  <c r="AB17" i="1" s="1"/>
  <c r="AC17" i="1" s="1"/>
  <c r="U17" i="1"/>
  <c r="P17" i="1"/>
  <c r="Q17" i="1" s="1"/>
  <c r="R17" i="1" s="1"/>
  <c r="S17" i="1" s="1"/>
  <c r="K17" i="1"/>
  <c r="AO16" i="1"/>
  <c r="AR36" i="1" s="1"/>
  <c r="AJ16" i="1"/>
  <c r="AE16" i="1"/>
  <c r="AH36" i="1" s="1"/>
  <c r="Z16" i="1"/>
  <c r="U16" i="1"/>
  <c r="X36" i="1" s="1"/>
  <c r="P16" i="1"/>
  <c r="K16" i="1"/>
  <c r="N36" i="1" s="1"/>
  <c r="AO15" i="1"/>
  <c r="AJ15" i="1"/>
  <c r="AK15" i="1" s="1"/>
  <c r="AL15" i="1" s="1"/>
  <c r="AM15" i="1" s="1"/>
  <c r="AE15" i="1"/>
  <c r="Z15" i="1"/>
  <c r="AA15" i="1" s="1"/>
  <c r="AB15" i="1" s="1"/>
  <c r="AC15" i="1" s="1"/>
  <c r="U15" i="1"/>
  <c r="P15" i="1"/>
  <c r="Q15" i="1" s="1"/>
  <c r="R15" i="1" s="1"/>
  <c r="S15" i="1" s="1"/>
  <c r="K15" i="1"/>
  <c r="L15" i="1" s="1"/>
  <c r="AO14" i="1"/>
  <c r="AP14" i="1" s="1"/>
  <c r="AQ14" i="1" s="1"/>
  <c r="AR14" i="1" s="1"/>
  <c r="AJ14" i="1"/>
  <c r="AK14" i="1" s="1"/>
  <c r="AL14" i="1" s="1"/>
  <c r="AM14" i="1" s="1"/>
  <c r="AE14" i="1"/>
  <c r="AF14" i="1" s="1"/>
  <c r="AG14" i="1" s="1"/>
  <c r="AH14" i="1" s="1"/>
  <c r="Z14" i="1"/>
  <c r="AA14" i="1" s="1"/>
  <c r="AB14" i="1" s="1"/>
  <c r="AC14" i="1" s="1"/>
  <c r="U14" i="1"/>
  <c r="V14" i="1" s="1"/>
  <c r="W14" i="1" s="1"/>
  <c r="X14" i="1" s="1"/>
  <c r="P14" i="1"/>
  <c r="Q14" i="1" s="1"/>
  <c r="R14" i="1" s="1"/>
  <c r="S14" i="1" s="1"/>
  <c r="K14" i="1"/>
  <c r="L14" i="1" s="1"/>
  <c r="M14" i="1" s="1"/>
  <c r="N14" i="1" s="1"/>
  <c r="AO13" i="1"/>
  <c r="AP13" i="1" s="1"/>
  <c r="AQ13" i="1" s="1"/>
  <c r="AR13" i="1" s="1"/>
  <c r="AJ13" i="1"/>
  <c r="AK13" i="1" s="1"/>
  <c r="AL13" i="1" s="1"/>
  <c r="AM13" i="1" s="1"/>
  <c r="AE13" i="1"/>
  <c r="AF13" i="1" s="1"/>
  <c r="AG13" i="1" s="1"/>
  <c r="AH13" i="1" s="1"/>
  <c r="Z13" i="1"/>
  <c r="AA13" i="1" s="1"/>
  <c r="AB13" i="1" s="1"/>
  <c r="AC13" i="1" s="1"/>
  <c r="U13" i="1"/>
  <c r="V13" i="1" s="1"/>
  <c r="W13" i="1" s="1"/>
  <c r="X13" i="1" s="1"/>
  <c r="P13" i="1"/>
  <c r="Q13" i="1" s="1"/>
  <c r="R13" i="1" s="1"/>
  <c r="S13" i="1" s="1"/>
  <c r="K13" i="1"/>
  <c r="L13" i="1" s="1"/>
  <c r="M13" i="1" s="1"/>
  <c r="N13" i="1" s="1"/>
  <c r="AO12" i="1"/>
  <c r="AP12" i="1" s="1"/>
  <c r="AQ12" i="1" s="1"/>
  <c r="AR12" i="1" s="1"/>
  <c r="AJ12" i="1"/>
  <c r="AK12" i="1" s="1"/>
  <c r="AL12" i="1" s="1"/>
  <c r="AM12" i="1" s="1"/>
  <c r="AE12" i="1"/>
  <c r="AF12" i="1" s="1"/>
  <c r="AG12" i="1" s="1"/>
  <c r="AH12" i="1" s="1"/>
  <c r="Z12" i="1"/>
  <c r="AA12" i="1" s="1"/>
  <c r="AB12" i="1" s="1"/>
  <c r="AC12" i="1" s="1"/>
  <c r="U12" i="1"/>
  <c r="P12" i="1"/>
  <c r="Q12" i="1" s="1"/>
  <c r="R12" i="1" s="1"/>
  <c r="S12" i="1" s="1"/>
  <c r="K12" i="1"/>
  <c r="L12" i="1" s="1"/>
  <c r="M12" i="1" s="1"/>
  <c r="N12" i="1" s="1"/>
  <c r="H11" i="1"/>
  <c r="AO9" i="1"/>
  <c r="AP9" i="1" s="1"/>
  <c r="AQ9" i="1" s="1"/>
  <c r="AR9" i="1" s="1"/>
  <c r="AJ9" i="1"/>
  <c r="AK9" i="1" s="1"/>
  <c r="AL9" i="1" s="1"/>
  <c r="AM9" i="1" s="1"/>
  <c r="AE9" i="1"/>
  <c r="AF9" i="1" s="1"/>
  <c r="AG9" i="1" s="1"/>
  <c r="AH9" i="1" s="1"/>
  <c r="Z9" i="1"/>
  <c r="AA9" i="1" s="1"/>
  <c r="AB9" i="1" s="1"/>
  <c r="AC9" i="1" s="1"/>
  <c r="U9" i="1"/>
  <c r="V9" i="1" s="1"/>
  <c r="W9" i="1" s="1"/>
  <c r="X9" i="1" s="1"/>
  <c r="P9" i="1"/>
  <c r="Q9" i="1" s="1"/>
  <c r="R9" i="1" s="1"/>
  <c r="S9" i="1" s="1"/>
  <c r="K9" i="1"/>
  <c r="O7" i="1"/>
  <c r="O5" i="1"/>
  <c r="AO4" i="1"/>
  <c r="AJ4" i="1"/>
  <c r="AE4" i="1"/>
  <c r="AH30" i="1" s="1"/>
  <c r="Z4" i="1"/>
  <c r="U4" i="1"/>
  <c r="X30" i="1" s="1"/>
  <c r="P4" i="1"/>
  <c r="K4" i="1"/>
  <c r="L4" i="1" s="1"/>
  <c r="AO3" i="1"/>
  <c r="AJ3" i="1"/>
  <c r="AE3" i="1"/>
  <c r="AH29" i="1" s="1"/>
  <c r="Z3" i="1"/>
  <c r="U3" i="1"/>
  <c r="X29" i="1" s="1"/>
  <c r="P3" i="1"/>
  <c r="K3" i="1"/>
  <c r="N29" i="1" s="1"/>
  <c r="W30" i="4" l="1"/>
  <c r="I2" i="1"/>
  <c r="L28" i="1" s="1"/>
  <c r="K28" i="1"/>
  <c r="AQ29" i="4"/>
  <c r="AV37" i="4"/>
  <c r="AT18" i="4"/>
  <c r="AL29" i="4"/>
  <c r="AL36" i="4"/>
  <c r="AQ30" i="4"/>
  <c r="AG29" i="4"/>
  <c r="K21" i="1"/>
  <c r="L21" i="1" s="1"/>
  <c r="M21" i="1" s="1"/>
  <c r="N21" i="1" s="1"/>
  <c r="AL30" i="4"/>
  <c r="AB29" i="4"/>
  <c r="AQ36" i="4"/>
  <c r="T5" i="1"/>
  <c r="Y5" i="1" s="1"/>
  <c r="AG30" i="4"/>
  <c r="W29" i="4"/>
  <c r="T6" i="1"/>
  <c r="Y6" i="1" s="1"/>
  <c r="AD6" i="1" s="1"/>
  <c r="AI6" i="1" s="1"/>
  <c r="AN6" i="1" s="1"/>
  <c r="AS6" i="1" s="1"/>
  <c r="T7" i="1"/>
  <c r="Y7" i="1" s="1"/>
  <c r="AD7" i="1" s="1"/>
  <c r="AV36" i="4"/>
  <c r="AT16" i="4"/>
  <c r="AB30" i="4"/>
  <c r="AQ38" i="4"/>
  <c r="AL38" i="4"/>
  <c r="AG38" i="4"/>
  <c r="AB38" i="4"/>
  <c r="W38" i="4"/>
  <c r="AQ37" i="4"/>
  <c r="AL37" i="4"/>
  <c r="AG37" i="4"/>
  <c r="AG36" i="4"/>
  <c r="AB37" i="4"/>
  <c r="W37" i="4"/>
  <c r="AB36" i="4"/>
  <c r="W36" i="4"/>
  <c r="AP3" i="1"/>
  <c r="AR29" i="1"/>
  <c r="AK3" i="1"/>
  <c r="AM29" i="1"/>
  <c r="AF3" i="1"/>
  <c r="AA3" i="1"/>
  <c r="AC29" i="1"/>
  <c r="V3" i="1"/>
  <c r="W3" i="1" s="1"/>
  <c r="Q3" i="1"/>
  <c r="S29" i="1"/>
  <c r="L3" i="1"/>
  <c r="I3" i="1"/>
  <c r="L29" i="1" s="1"/>
  <c r="K29" i="1"/>
  <c r="I10" i="1"/>
  <c r="L31" i="1" s="1"/>
  <c r="K31" i="1"/>
  <c r="AB28" i="1"/>
  <c r="W28" i="1"/>
  <c r="K6" i="1"/>
  <c r="L6" i="1" s="1"/>
  <c r="I20" i="1"/>
  <c r="AP4" i="1"/>
  <c r="AR30" i="1"/>
  <c r="AK4" i="1"/>
  <c r="AM30" i="1"/>
  <c r="AF4" i="1"/>
  <c r="AA4" i="1"/>
  <c r="AC30" i="1"/>
  <c r="V4" i="1"/>
  <c r="X30" i="4"/>
  <c r="Q4" i="1"/>
  <c r="S30" i="1"/>
  <c r="O30" i="1"/>
  <c r="O30" i="4"/>
  <c r="M4" i="1"/>
  <c r="L30" i="1"/>
  <c r="L30" i="4"/>
  <c r="K30" i="1"/>
  <c r="K30" i="4"/>
  <c r="N30" i="1"/>
  <c r="N30" i="4"/>
  <c r="AP19" i="1"/>
  <c r="AK19" i="1"/>
  <c r="AM38" i="1"/>
  <c r="AA19" i="1"/>
  <c r="AC38" i="1"/>
  <c r="V19" i="1"/>
  <c r="X38" i="1"/>
  <c r="Q19" i="1"/>
  <c r="S38" i="1"/>
  <c r="L19" i="1"/>
  <c r="N38" i="1"/>
  <c r="I19" i="1"/>
  <c r="L38" i="1" s="1"/>
  <c r="K38" i="1"/>
  <c r="AP18" i="1"/>
  <c r="AS37" i="1" s="1"/>
  <c r="AK18" i="1"/>
  <c r="AM37" i="1"/>
  <c r="AF18" i="1"/>
  <c r="AI37" i="1" s="1"/>
  <c r="AH37" i="4"/>
  <c r="AA18" i="1"/>
  <c r="AC37" i="1"/>
  <c r="X37" i="1"/>
  <c r="Q18" i="1"/>
  <c r="S37" i="1"/>
  <c r="O37" i="1"/>
  <c r="N37" i="1"/>
  <c r="AP16" i="1"/>
  <c r="AK16" i="1"/>
  <c r="AM36" i="1"/>
  <c r="AF16" i="1"/>
  <c r="AA16" i="1"/>
  <c r="AC36" i="1"/>
  <c r="Q16" i="1"/>
  <c r="S36" i="1"/>
  <c r="AK3" i="3"/>
  <c r="AL3" i="3" s="1"/>
  <c r="AP3" i="3"/>
  <c r="AR29" i="3"/>
  <c r="AF3" i="3"/>
  <c r="AH29" i="3"/>
  <c r="V3" i="3"/>
  <c r="AA3" i="3"/>
  <c r="AC29" i="3"/>
  <c r="W3" i="3"/>
  <c r="Y29" i="3"/>
  <c r="Q3" i="3"/>
  <c r="S29" i="3"/>
  <c r="K29" i="3"/>
  <c r="K29" i="4"/>
  <c r="L3" i="3"/>
  <c r="N29" i="4"/>
  <c r="N29" i="3"/>
  <c r="R31" i="3"/>
  <c r="I3" i="3"/>
  <c r="I2" i="3"/>
  <c r="K28" i="3"/>
  <c r="K28" i="4"/>
  <c r="L6" i="3"/>
  <c r="T6" i="3"/>
  <c r="L20" i="3"/>
  <c r="L13" i="3"/>
  <c r="I13" i="3"/>
  <c r="AP12" i="3"/>
  <c r="I12" i="3"/>
  <c r="L12" i="3"/>
  <c r="AP19" i="3"/>
  <c r="AR38" i="3"/>
  <c r="AK19" i="3"/>
  <c r="AL19" i="3" s="1"/>
  <c r="AF19" i="3"/>
  <c r="AA19" i="3"/>
  <c r="AC38" i="3"/>
  <c r="V19" i="3"/>
  <c r="X38" i="3"/>
  <c r="Q19" i="3"/>
  <c r="S38" i="3"/>
  <c r="H7" i="3"/>
  <c r="L14" i="3"/>
  <c r="I14" i="3"/>
  <c r="L15" i="3"/>
  <c r="I15" i="3"/>
  <c r="L9" i="3"/>
  <c r="I9" i="3"/>
  <c r="AP18" i="3"/>
  <c r="AK18" i="3"/>
  <c r="AM37" i="3"/>
  <c r="AF18" i="3"/>
  <c r="AH37" i="3"/>
  <c r="AA18" i="3"/>
  <c r="AC37" i="3"/>
  <c r="V18" i="3"/>
  <c r="X37" i="3"/>
  <c r="H5" i="3"/>
  <c r="I5" i="3" s="1"/>
  <c r="Q18" i="3"/>
  <c r="S37" i="3"/>
  <c r="L18" i="3"/>
  <c r="N37" i="3"/>
  <c r="N37" i="4"/>
  <c r="O11" i="3"/>
  <c r="I11" i="3"/>
  <c r="I18" i="3"/>
  <c r="K37" i="3"/>
  <c r="K37" i="4"/>
  <c r="L17" i="3"/>
  <c r="AP16" i="3"/>
  <c r="AK16" i="3"/>
  <c r="AM36" i="3"/>
  <c r="AF16" i="3"/>
  <c r="AH36" i="3"/>
  <c r="AH36" i="4"/>
  <c r="AA16" i="3"/>
  <c r="AC36" i="3"/>
  <c r="V16" i="3"/>
  <c r="X36" i="3"/>
  <c r="Q16" i="3"/>
  <c r="S36" i="3"/>
  <c r="N36" i="3"/>
  <c r="N36" i="4"/>
  <c r="L16" i="3"/>
  <c r="H8" i="3"/>
  <c r="K36" i="3"/>
  <c r="K36" i="4"/>
  <c r="I16" i="3"/>
  <c r="M6" i="1"/>
  <c r="AF20" i="1"/>
  <c r="AG20" i="1" s="1"/>
  <c r="AQ20" i="1"/>
  <c r="V20" i="1"/>
  <c r="L20" i="1"/>
  <c r="M20" i="1" s="1"/>
  <c r="N20" i="1" s="1"/>
  <c r="AF15" i="1"/>
  <c r="AP15" i="1"/>
  <c r="V15" i="1"/>
  <c r="W15" i="1" s="1"/>
  <c r="X15" i="1" s="1"/>
  <c r="M15" i="1"/>
  <c r="L9" i="1"/>
  <c r="M9" i="1" s="1"/>
  <c r="N9" i="1" s="1"/>
  <c r="V17" i="1"/>
  <c r="V16" i="1"/>
  <c r="Y36" i="1" s="1"/>
  <c r="H8" i="1"/>
  <c r="L16" i="1"/>
  <c r="O36" i="1" s="1"/>
  <c r="V12" i="1"/>
  <c r="AF19" i="1"/>
  <c r="AI38" i="1" s="1"/>
  <c r="W18" i="1"/>
  <c r="Z37" i="1" s="1"/>
  <c r="I11" i="1"/>
  <c r="H10" i="3"/>
  <c r="H7" i="1"/>
  <c r="T7" i="3"/>
  <c r="Y7" i="3" s="1"/>
  <c r="AD7" i="3" s="1"/>
  <c r="AI7" i="3" s="1"/>
  <c r="K19" i="3"/>
  <c r="H19" i="3"/>
  <c r="P2" i="1"/>
  <c r="K2" i="1"/>
  <c r="K5" i="1"/>
  <c r="K7" i="1"/>
  <c r="P7" i="1"/>
  <c r="T10" i="3"/>
  <c r="P10" i="3" s="1"/>
  <c r="K10" i="3"/>
  <c r="O5" i="3"/>
  <c r="O8" i="3"/>
  <c r="T21" i="3"/>
  <c r="P21" i="3" s="1"/>
  <c r="Q21" i="3" s="1"/>
  <c r="R21" i="3" s="1"/>
  <c r="S21" i="3" s="1"/>
  <c r="P2" i="3"/>
  <c r="K2" i="3"/>
  <c r="K21" i="3"/>
  <c r="L21" i="3" s="1"/>
  <c r="M21" i="3" s="1"/>
  <c r="N21" i="3" s="1"/>
  <c r="O11" i="1"/>
  <c r="U7" i="1"/>
  <c r="AI7" i="1"/>
  <c r="T21" i="1"/>
  <c r="O8" i="1"/>
  <c r="Z7" i="1"/>
  <c r="O10" i="1"/>
  <c r="AM38" i="4" l="1"/>
  <c r="AM36" i="4"/>
  <c r="AR37" i="4"/>
  <c r="AM29" i="4"/>
  <c r="S29" i="4"/>
  <c r="Y29" i="4"/>
  <c r="Z6" i="1"/>
  <c r="AA6" i="1" s="1"/>
  <c r="AB6" i="1" s="1"/>
  <c r="AC6" i="1" s="1"/>
  <c r="AE6" i="1"/>
  <c r="AF6" i="1" s="1"/>
  <c r="AG6" i="1" s="1"/>
  <c r="AH6" i="1" s="1"/>
  <c r="U6" i="1"/>
  <c r="V6" i="1" s="1"/>
  <c r="AO6" i="1"/>
  <c r="AP6" i="1" s="1"/>
  <c r="AQ6" i="1" s="1"/>
  <c r="AR6" i="1" s="1"/>
  <c r="AJ6" i="1"/>
  <c r="AK6" i="1" s="1"/>
  <c r="AL6" i="1" s="1"/>
  <c r="AM6" i="1" s="1"/>
  <c r="P6" i="1"/>
  <c r="Q6" i="1" s="1"/>
  <c r="R6" i="1" s="1"/>
  <c r="S6" i="1" s="1"/>
  <c r="AC30" i="4"/>
  <c r="P5" i="1"/>
  <c r="AM30" i="4"/>
  <c r="AR36" i="4"/>
  <c r="AH29" i="4"/>
  <c r="AR38" i="4"/>
  <c r="Y29" i="1"/>
  <c r="X38" i="4"/>
  <c r="AR29" i="4"/>
  <c r="AC38" i="4"/>
  <c r="W28" i="4"/>
  <c r="X29" i="4"/>
  <c r="AC29" i="4"/>
  <c r="AR30" i="4"/>
  <c r="R31" i="1"/>
  <c r="AH30" i="4"/>
  <c r="S30" i="4"/>
  <c r="S36" i="4"/>
  <c r="AD38" i="4"/>
  <c r="AH38" i="4"/>
  <c r="S38" i="4"/>
  <c r="AM37" i="4"/>
  <c r="Y37" i="4"/>
  <c r="X37" i="4"/>
  <c r="AC36" i="4"/>
  <c r="X36" i="4"/>
  <c r="AC37" i="4"/>
  <c r="S37" i="4"/>
  <c r="P37" i="1"/>
  <c r="AG18" i="1"/>
  <c r="AJ37" i="1" s="1"/>
  <c r="AI37" i="4"/>
  <c r="AQ18" i="1"/>
  <c r="AT37" i="1" s="1"/>
  <c r="AQ3" i="1"/>
  <c r="AS29" i="1"/>
  <c r="AN29" i="1"/>
  <c r="AL3" i="1"/>
  <c r="AG3" i="1"/>
  <c r="AI29" i="1"/>
  <c r="AB3" i="1"/>
  <c r="AD29" i="1"/>
  <c r="X3" i="1"/>
  <c r="AA29" i="1" s="1"/>
  <c r="Z29" i="1"/>
  <c r="T29" i="1"/>
  <c r="R3" i="1"/>
  <c r="O29" i="1"/>
  <c r="M3" i="1"/>
  <c r="R31" i="4"/>
  <c r="L2" i="1"/>
  <c r="N28" i="1"/>
  <c r="AG28" i="1"/>
  <c r="U2" i="1"/>
  <c r="Q2" i="1"/>
  <c r="S28" i="1"/>
  <c r="AQ4" i="1"/>
  <c r="AS30" i="1"/>
  <c r="AS30" i="4"/>
  <c r="AN30" i="1"/>
  <c r="AN30" i="4"/>
  <c r="AL4" i="1"/>
  <c r="AG4" i="1"/>
  <c r="AI30" i="1"/>
  <c r="AI30" i="4"/>
  <c r="AB4" i="1"/>
  <c r="AD30" i="1"/>
  <c r="AD30" i="4"/>
  <c r="W4" i="1"/>
  <c r="Y30" i="1"/>
  <c r="Y30" i="4"/>
  <c r="T30" i="1"/>
  <c r="T30" i="4"/>
  <c r="R4" i="1"/>
  <c r="N4" i="1"/>
  <c r="P30" i="1"/>
  <c r="P30" i="4"/>
  <c r="AS38" i="1"/>
  <c r="AQ19" i="1"/>
  <c r="AL19" i="1"/>
  <c r="AN38" i="1"/>
  <c r="AG19" i="1"/>
  <c r="AJ38" i="1" s="1"/>
  <c r="AB19" i="1"/>
  <c r="AD38" i="1"/>
  <c r="W19" i="1"/>
  <c r="Y38" i="1"/>
  <c r="R19" i="1"/>
  <c r="T38" i="1"/>
  <c r="M19" i="1"/>
  <c r="O38" i="1"/>
  <c r="AR18" i="1"/>
  <c r="AU37" i="1" s="1"/>
  <c r="AL18" i="1"/>
  <c r="AN37" i="1"/>
  <c r="AB18" i="1"/>
  <c r="AD37" i="1"/>
  <c r="T37" i="4"/>
  <c r="R18" i="1"/>
  <c r="T37" i="1"/>
  <c r="T36" i="4"/>
  <c r="AS36" i="1"/>
  <c r="AQ16" i="1"/>
  <c r="AL16" i="1"/>
  <c r="AN36" i="1"/>
  <c r="AI36" i="1"/>
  <c r="AG16" i="1"/>
  <c r="AD36" i="4"/>
  <c r="AB16" i="1"/>
  <c r="AD36" i="1"/>
  <c r="R16" i="1"/>
  <c r="T36" i="1"/>
  <c r="AN29" i="4"/>
  <c r="AN29" i="3"/>
  <c r="AQ3" i="3"/>
  <c r="AS29" i="3"/>
  <c r="AS29" i="4"/>
  <c r="AM3" i="3"/>
  <c r="AO29" i="3"/>
  <c r="AO29" i="4"/>
  <c r="AG3" i="3"/>
  <c r="AI29" i="3"/>
  <c r="AI29" i="4"/>
  <c r="AB3" i="3"/>
  <c r="AD29" i="3"/>
  <c r="AD29" i="4"/>
  <c r="X3" i="3"/>
  <c r="Z29" i="3"/>
  <c r="Z29" i="4"/>
  <c r="R3" i="3"/>
  <c r="T29" i="3"/>
  <c r="T29" i="4"/>
  <c r="L29" i="3"/>
  <c r="L29" i="4"/>
  <c r="L10" i="3"/>
  <c r="N31" i="3"/>
  <c r="I10" i="3"/>
  <c r="K31" i="4"/>
  <c r="K31" i="3"/>
  <c r="Q10" i="3"/>
  <c r="S31" i="3"/>
  <c r="Y10" i="3"/>
  <c r="AB31" i="3" s="1"/>
  <c r="W31" i="3"/>
  <c r="M3" i="3"/>
  <c r="O29" i="3"/>
  <c r="O29" i="4"/>
  <c r="L28" i="3"/>
  <c r="L28" i="4"/>
  <c r="Q2" i="3"/>
  <c r="S28" i="3"/>
  <c r="L2" i="3"/>
  <c r="N28" i="4"/>
  <c r="N28" i="3"/>
  <c r="M20" i="3"/>
  <c r="Y6" i="3"/>
  <c r="U6" i="3" s="1"/>
  <c r="P6" i="3"/>
  <c r="M6" i="3"/>
  <c r="M13" i="3"/>
  <c r="AQ12" i="3"/>
  <c r="M12" i="3"/>
  <c r="AN38" i="3"/>
  <c r="AN38" i="4"/>
  <c r="AQ19" i="3"/>
  <c r="AS38" i="3"/>
  <c r="AS38" i="4"/>
  <c r="AM19" i="3"/>
  <c r="AO38" i="3"/>
  <c r="AO38" i="4"/>
  <c r="AI38" i="4"/>
  <c r="AG19" i="3"/>
  <c r="AJ38" i="4" s="1"/>
  <c r="AI38" i="3"/>
  <c r="AB19" i="3"/>
  <c r="AD38" i="3"/>
  <c r="W19" i="3"/>
  <c r="Y38" i="3"/>
  <c r="Y38" i="4"/>
  <c r="R19" i="3"/>
  <c r="T38" i="3"/>
  <c r="T38" i="4"/>
  <c r="I19" i="3"/>
  <c r="K38" i="3"/>
  <c r="K38" i="4"/>
  <c r="L19" i="3"/>
  <c r="N38" i="3"/>
  <c r="N38" i="4"/>
  <c r="I7" i="3"/>
  <c r="M14" i="3"/>
  <c r="M15" i="3"/>
  <c r="M9" i="3"/>
  <c r="AQ18" i="3"/>
  <c r="AS37" i="3"/>
  <c r="AS37" i="4"/>
  <c r="AL18" i="3"/>
  <c r="AN37" i="3"/>
  <c r="AN37" i="4"/>
  <c r="AG18" i="3"/>
  <c r="AI37" i="3"/>
  <c r="AB18" i="3"/>
  <c r="AD37" i="3"/>
  <c r="AD37" i="4"/>
  <c r="W18" i="3"/>
  <c r="Z37" i="4" s="1"/>
  <c r="Y37" i="3"/>
  <c r="R18" i="3"/>
  <c r="T37" i="3"/>
  <c r="L37" i="3"/>
  <c r="L37" i="4"/>
  <c r="K5" i="3"/>
  <c r="T11" i="3"/>
  <c r="Y11" i="3" s="1"/>
  <c r="AD11" i="3" s="1"/>
  <c r="Z11" i="3" s="1"/>
  <c r="AA11" i="3" s="1"/>
  <c r="AB11" i="3" s="1"/>
  <c r="AC11" i="3" s="1"/>
  <c r="M18" i="3"/>
  <c r="O37" i="3"/>
  <c r="O37" i="4"/>
  <c r="M17" i="3"/>
  <c r="AQ16" i="3"/>
  <c r="AS36" i="3"/>
  <c r="AS36" i="4"/>
  <c r="AL16" i="3"/>
  <c r="AN36" i="3"/>
  <c r="AN36" i="4"/>
  <c r="AG16" i="3"/>
  <c r="AI36" i="3"/>
  <c r="AI36" i="4"/>
  <c r="AB16" i="3"/>
  <c r="AD36" i="3"/>
  <c r="W16" i="3"/>
  <c r="Y36" i="3"/>
  <c r="R16" i="3"/>
  <c r="T36" i="3"/>
  <c r="I8" i="3"/>
  <c r="L36" i="3"/>
  <c r="L36" i="4"/>
  <c r="M16" i="3"/>
  <c r="O36" i="3"/>
  <c r="O36" i="4"/>
  <c r="W6" i="1"/>
  <c r="N6" i="1"/>
  <c r="AR20" i="1"/>
  <c r="AH20" i="1"/>
  <c r="W20" i="1"/>
  <c r="Y21" i="1"/>
  <c r="U21" i="1" s="1"/>
  <c r="I7" i="1"/>
  <c r="AG15" i="1"/>
  <c r="AQ15" i="1"/>
  <c r="N15" i="1"/>
  <c r="W17" i="1"/>
  <c r="W16" i="1"/>
  <c r="Z36" i="1" s="1"/>
  <c r="Y36" i="4"/>
  <c r="M16" i="1"/>
  <c r="P36" i="1" s="1"/>
  <c r="I8" i="1"/>
  <c r="W12" i="1"/>
  <c r="Q7" i="1"/>
  <c r="AA7" i="1"/>
  <c r="L7" i="1"/>
  <c r="V7" i="1"/>
  <c r="AJ37" i="4"/>
  <c r="AH18" i="1"/>
  <c r="AK37" i="1" s="1"/>
  <c r="X18" i="1"/>
  <c r="AA37" i="1" s="1"/>
  <c r="Q5" i="1"/>
  <c r="U5" i="1"/>
  <c r="L5" i="1"/>
  <c r="Q37" i="1"/>
  <c r="P7" i="3"/>
  <c r="Q7" i="3" s="1"/>
  <c r="R7" i="3" s="1"/>
  <c r="S7" i="3" s="1"/>
  <c r="K7" i="3"/>
  <c r="Z7" i="3"/>
  <c r="AA7" i="3" s="1"/>
  <c r="AB7" i="3" s="1"/>
  <c r="AC7" i="3" s="1"/>
  <c r="U7" i="3"/>
  <c r="V7" i="3" s="1"/>
  <c r="W7" i="3" s="1"/>
  <c r="X7" i="3" s="1"/>
  <c r="K11" i="3"/>
  <c r="T8" i="3"/>
  <c r="P8" i="3" s="1"/>
  <c r="Q8" i="3" s="1"/>
  <c r="R8" i="3" s="1"/>
  <c r="S8" i="3" s="1"/>
  <c r="T5" i="3"/>
  <c r="Y21" i="3"/>
  <c r="U21" i="3" s="1"/>
  <c r="V21" i="3" s="1"/>
  <c r="W21" i="3" s="1"/>
  <c r="X21" i="3" s="1"/>
  <c r="K8" i="3"/>
  <c r="AN7" i="3"/>
  <c r="AE7" i="3"/>
  <c r="AF7" i="3" s="1"/>
  <c r="AG7" i="3" s="1"/>
  <c r="AH7" i="3" s="1"/>
  <c r="AL28" i="1"/>
  <c r="T11" i="1"/>
  <c r="K11" i="1"/>
  <c r="AN7" i="1"/>
  <c r="Z2" i="1"/>
  <c r="T10" i="1"/>
  <c r="K10" i="1"/>
  <c r="N31" i="1" s="1"/>
  <c r="P21" i="1"/>
  <c r="T8" i="1"/>
  <c r="K8" i="1"/>
  <c r="AE7" i="1"/>
  <c r="AD5" i="1"/>
  <c r="S28" i="4" l="1"/>
  <c r="AH19" i="1"/>
  <c r="AK38" i="1" s="1"/>
  <c r="AR3" i="1"/>
  <c r="AU29" i="1" s="1"/>
  <c r="AT29" i="1"/>
  <c r="AM3" i="1"/>
  <c r="AP29" i="1" s="1"/>
  <c r="AO29" i="1"/>
  <c r="AH3" i="1"/>
  <c r="AK29" i="1" s="1"/>
  <c r="AJ29" i="1"/>
  <c r="AC3" i="1"/>
  <c r="AF29" i="1" s="1"/>
  <c r="AE29" i="1"/>
  <c r="S3" i="1"/>
  <c r="V29" i="1" s="1"/>
  <c r="U29" i="1"/>
  <c r="W31" i="1"/>
  <c r="N3" i="1"/>
  <c r="Q29" i="1" s="1"/>
  <c r="P29" i="1"/>
  <c r="M2" i="1"/>
  <c r="O28" i="1"/>
  <c r="AA2" i="1"/>
  <c r="AC28" i="1"/>
  <c r="V2" i="1"/>
  <c r="X28" i="1"/>
  <c r="R2" i="1"/>
  <c r="T28" i="1"/>
  <c r="AR4" i="1"/>
  <c r="AT30" i="1"/>
  <c r="AT30" i="4"/>
  <c r="AM4" i="1"/>
  <c r="AO30" i="1"/>
  <c r="AO30" i="4"/>
  <c r="AH4" i="1"/>
  <c r="AJ30" i="1"/>
  <c r="AJ30" i="4"/>
  <c r="AC4" i="1"/>
  <c r="AE30" i="1"/>
  <c r="AE30" i="4"/>
  <c r="X4" i="1"/>
  <c r="Z30" i="1"/>
  <c r="Z30" i="4"/>
  <c r="S4" i="1"/>
  <c r="U30" i="1"/>
  <c r="U30" i="4"/>
  <c r="Q30" i="1"/>
  <c r="Q30" i="4"/>
  <c r="AH15" i="1"/>
  <c r="AR19" i="1"/>
  <c r="AU38" i="1" s="1"/>
  <c r="AT38" i="1"/>
  <c r="AM19" i="1"/>
  <c r="AP38" i="1" s="1"/>
  <c r="AO38" i="1"/>
  <c r="AC19" i="1"/>
  <c r="AF38" i="1" s="1"/>
  <c r="AE38" i="1"/>
  <c r="X19" i="1"/>
  <c r="AA38" i="1" s="1"/>
  <c r="Z38" i="1"/>
  <c r="S19" i="1"/>
  <c r="V38" i="1" s="1"/>
  <c r="U38" i="1"/>
  <c r="N19" i="1"/>
  <c r="Q38" i="1" s="1"/>
  <c r="P38" i="1"/>
  <c r="AM18" i="1"/>
  <c r="AP37" i="1" s="1"/>
  <c r="AO37" i="1"/>
  <c r="AC18" i="1"/>
  <c r="AF37" i="1" s="1"/>
  <c r="AE37" i="1"/>
  <c r="S18" i="1"/>
  <c r="V37" i="1" s="1"/>
  <c r="U37" i="1"/>
  <c r="AR16" i="1"/>
  <c r="AU36" i="1" s="1"/>
  <c r="AT36" i="1"/>
  <c r="AM16" i="1"/>
  <c r="AP36" i="1" s="1"/>
  <c r="AO36" i="1"/>
  <c r="AJ36" i="1"/>
  <c r="AH16" i="1"/>
  <c r="AK36" i="1" s="1"/>
  <c r="AC16" i="1"/>
  <c r="AF36" i="1" s="1"/>
  <c r="AE36" i="1"/>
  <c r="S16" i="1"/>
  <c r="V36" i="1" s="1"/>
  <c r="U36" i="1"/>
  <c r="AR3" i="3"/>
  <c r="AT29" i="3"/>
  <c r="AT29" i="4"/>
  <c r="AP29" i="3"/>
  <c r="AP29" i="4"/>
  <c r="AH3" i="3"/>
  <c r="AJ29" i="3"/>
  <c r="AJ29" i="4"/>
  <c r="AC3" i="3"/>
  <c r="AE29" i="3"/>
  <c r="AE29" i="4"/>
  <c r="AA29" i="3"/>
  <c r="AA29" i="4"/>
  <c r="S3" i="3"/>
  <c r="U29" i="3"/>
  <c r="U29" i="4"/>
  <c r="U10" i="3"/>
  <c r="V10" i="3" s="1"/>
  <c r="R10" i="3"/>
  <c r="T31" i="3"/>
  <c r="L31" i="3"/>
  <c r="L31" i="4"/>
  <c r="N3" i="3"/>
  <c r="P29" i="3"/>
  <c r="P29" i="4"/>
  <c r="M10" i="3"/>
  <c r="O31" i="3"/>
  <c r="M2" i="3"/>
  <c r="O28" i="4"/>
  <c r="O28" i="3"/>
  <c r="U2" i="3"/>
  <c r="AB28" i="3"/>
  <c r="R2" i="3"/>
  <c r="T28" i="3"/>
  <c r="T28" i="4"/>
  <c r="V6" i="3"/>
  <c r="Q6" i="3"/>
  <c r="AD6" i="3"/>
  <c r="Z6" i="3" s="1"/>
  <c r="N20" i="3"/>
  <c r="N6" i="3"/>
  <c r="N13" i="3"/>
  <c r="AR12" i="3"/>
  <c r="N12" i="3"/>
  <c r="AR19" i="3"/>
  <c r="AT38" i="3"/>
  <c r="AT38" i="4"/>
  <c r="AP38" i="3"/>
  <c r="AP38" i="4"/>
  <c r="AH19" i="3"/>
  <c r="AK38" i="3" s="1"/>
  <c r="AJ38" i="3"/>
  <c r="AC19" i="3"/>
  <c r="AE38" i="3"/>
  <c r="AE38" i="4"/>
  <c r="X19" i="3"/>
  <c r="Z38" i="3"/>
  <c r="Z38" i="4"/>
  <c r="S19" i="3"/>
  <c r="U38" i="3"/>
  <c r="U38" i="4"/>
  <c r="M19" i="3"/>
  <c r="O38" i="3"/>
  <c r="O38" i="4"/>
  <c r="L7" i="3"/>
  <c r="L38" i="3"/>
  <c r="L38" i="4"/>
  <c r="N14" i="3"/>
  <c r="N15" i="3"/>
  <c r="N9" i="3"/>
  <c r="AR18" i="3"/>
  <c r="AT37" i="3"/>
  <c r="AT37" i="4"/>
  <c r="AM18" i="3"/>
  <c r="AO37" i="3"/>
  <c r="AO37" i="4"/>
  <c r="AH18" i="3"/>
  <c r="AK37" i="3" s="1"/>
  <c r="AJ37" i="3"/>
  <c r="AC18" i="3"/>
  <c r="AE37" i="3"/>
  <c r="AE37" i="4"/>
  <c r="X18" i="3"/>
  <c r="AA37" i="3" s="1"/>
  <c r="Z37" i="3"/>
  <c r="P11" i="3"/>
  <c r="Q11" i="3" s="1"/>
  <c r="R11" i="3" s="1"/>
  <c r="S11" i="3" s="1"/>
  <c r="U11" i="3"/>
  <c r="V11" i="3" s="1"/>
  <c r="W11" i="3" s="1"/>
  <c r="X11" i="3" s="1"/>
  <c r="S18" i="3"/>
  <c r="U37" i="3"/>
  <c r="U37" i="4"/>
  <c r="N18" i="3"/>
  <c r="P37" i="3"/>
  <c r="P37" i="4"/>
  <c r="P5" i="3"/>
  <c r="L5" i="3"/>
  <c r="L11" i="3"/>
  <c r="N17" i="3"/>
  <c r="AR16" i="3"/>
  <c r="AT36" i="3"/>
  <c r="AT36" i="4"/>
  <c r="AM16" i="3"/>
  <c r="AO36" i="3"/>
  <c r="AO36" i="4"/>
  <c r="AH16" i="3"/>
  <c r="AJ36" i="3"/>
  <c r="AJ36" i="4"/>
  <c r="AC16" i="3"/>
  <c r="AE36" i="3"/>
  <c r="AE36" i="4"/>
  <c r="X16" i="3"/>
  <c r="AA36" i="3" s="1"/>
  <c r="Z36" i="3"/>
  <c r="S16" i="3"/>
  <c r="U36" i="3"/>
  <c r="U36" i="4"/>
  <c r="L8" i="3"/>
  <c r="N16" i="3"/>
  <c r="P36" i="3"/>
  <c r="P36" i="4"/>
  <c r="X6" i="1"/>
  <c r="X20" i="1"/>
  <c r="Q21" i="1"/>
  <c r="V21" i="1"/>
  <c r="AD21" i="1"/>
  <c r="Z21" i="1" s="1"/>
  <c r="L10" i="1"/>
  <c r="O31" i="1" s="1"/>
  <c r="P10" i="1"/>
  <c r="S31" i="1" s="1"/>
  <c r="AR15" i="1"/>
  <c r="X17" i="1"/>
  <c r="X16" i="1"/>
  <c r="AA36" i="1" s="1"/>
  <c r="Z36" i="4"/>
  <c r="P8" i="1"/>
  <c r="L8" i="1"/>
  <c r="N16" i="1"/>
  <c r="Q36" i="1" s="1"/>
  <c r="X12" i="1"/>
  <c r="AB7" i="1"/>
  <c r="AF7" i="1"/>
  <c r="W7" i="1"/>
  <c r="M7" i="1"/>
  <c r="AJ7" i="1"/>
  <c r="R7" i="1"/>
  <c r="M5" i="1"/>
  <c r="L11" i="1"/>
  <c r="Z5" i="1"/>
  <c r="P11" i="1"/>
  <c r="V5" i="1"/>
  <c r="R5" i="1"/>
  <c r="AI11" i="3"/>
  <c r="AE11" i="3" s="1"/>
  <c r="AF11" i="3" s="1"/>
  <c r="AG11" i="3" s="1"/>
  <c r="AH11" i="3" s="1"/>
  <c r="AD10" i="3"/>
  <c r="AS7" i="3"/>
  <c r="AO7" i="3" s="1"/>
  <c r="AP7" i="3" s="1"/>
  <c r="AQ7" i="3" s="1"/>
  <c r="AR7" i="3" s="1"/>
  <c r="AJ7" i="3"/>
  <c r="AK7" i="3" s="1"/>
  <c r="AL7" i="3" s="1"/>
  <c r="AM7" i="3" s="1"/>
  <c r="Y5" i="3"/>
  <c r="AD21" i="3"/>
  <c r="Y8" i="3"/>
  <c r="U8" i="3" s="1"/>
  <c r="V8" i="3" s="1"/>
  <c r="W8" i="3" s="1"/>
  <c r="X8" i="3" s="1"/>
  <c r="Y11" i="1"/>
  <c r="AI5" i="1"/>
  <c r="Y10" i="1"/>
  <c r="AB31" i="1" s="1"/>
  <c r="Y8" i="1"/>
  <c r="AQ28" i="1"/>
  <c r="AS7" i="1"/>
  <c r="AE2" i="1"/>
  <c r="AB28" i="4" l="1"/>
  <c r="W31" i="4"/>
  <c r="N31" i="4"/>
  <c r="AA37" i="4"/>
  <c r="N2" i="1"/>
  <c r="Q28" i="1" s="1"/>
  <c r="P28" i="1"/>
  <c r="S2" i="1"/>
  <c r="V28" i="1" s="1"/>
  <c r="U28" i="1"/>
  <c r="W2" i="1"/>
  <c r="Y28" i="1"/>
  <c r="AF2" i="1"/>
  <c r="AH28" i="1"/>
  <c r="AB2" i="1"/>
  <c r="AD28" i="1"/>
  <c r="AU30" i="1"/>
  <c r="AU30" i="4"/>
  <c r="AP30" i="1"/>
  <c r="AP30" i="4"/>
  <c r="AK30" i="1"/>
  <c r="AK30" i="4"/>
  <c r="AF30" i="1"/>
  <c r="AF30" i="4"/>
  <c r="AA30" i="1"/>
  <c r="AA30" i="4"/>
  <c r="V30" i="1"/>
  <c r="V30" i="4"/>
  <c r="AU29" i="3"/>
  <c r="AU29" i="4"/>
  <c r="AK29" i="3"/>
  <c r="AK29" i="4"/>
  <c r="AF29" i="3"/>
  <c r="AF29" i="4"/>
  <c r="V29" i="3"/>
  <c r="V29" i="4"/>
  <c r="X31" i="3"/>
  <c r="N10" i="3"/>
  <c r="P31" i="3"/>
  <c r="S10" i="3"/>
  <c r="V31" i="3" s="1"/>
  <c r="U31" i="3"/>
  <c r="Q29" i="4"/>
  <c r="Q29" i="3"/>
  <c r="V2" i="3"/>
  <c r="X28" i="3"/>
  <c r="Z2" i="3"/>
  <c r="AG28" i="3"/>
  <c r="S2" i="3"/>
  <c r="U28" i="3"/>
  <c r="U28" i="4"/>
  <c r="N2" i="3"/>
  <c r="P28" i="4"/>
  <c r="P28" i="3"/>
  <c r="AA6" i="3"/>
  <c r="W6" i="3"/>
  <c r="AI6" i="3"/>
  <c r="R6" i="3"/>
  <c r="AU38" i="3"/>
  <c r="AU38" i="4"/>
  <c r="AK38" i="4"/>
  <c r="AF38" i="3"/>
  <c r="AF38" i="4"/>
  <c r="AA38" i="3"/>
  <c r="AA38" i="4"/>
  <c r="V38" i="3"/>
  <c r="V38" i="4"/>
  <c r="M7" i="3"/>
  <c r="N19" i="3"/>
  <c r="P38" i="3"/>
  <c r="P38" i="4"/>
  <c r="AI10" i="3"/>
  <c r="AL31" i="3" s="1"/>
  <c r="AG31" i="3"/>
  <c r="W10" i="3"/>
  <c r="Y31" i="3"/>
  <c r="AU37" i="3"/>
  <c r="AU37" i="4"/>
  <c r="AP37" i="3"/>
  <c r="AP37" i="4"/>
  <c r="AK37" i="4"/>
  <c r="AF37" i="3"/>
  <c r="AF37" i="4"/>
  <c r="V37" i="3"/>
  <c r="V37" i="4"/>
  <c r="Q37" i="3"/>
  <c r="Q37" i="4"/>
  <c r="M11" i="3"/>
  <c r="U5" i="3"/>
  <c r="M5" i="3"/>
  <c r="Q5" i="3"/>
  <c r="AA36" i="4"/>
  <c r="AU36" i="3"/>
  <c r="AU36" i="4"/>
  <c r="AP36" i="3"/>
  <c r="AP36" i="4"/>
  <c r="AK36" i="3"/>
  <c r="AK36" i="4"/>
  <c r="AF36" i="3"/>
  <c r="AF36" i="4"/>
  <c r="V36" i="3"/>
  <c r="V36" i="4"/>
  <c r="M8" i="3"/>
  <c r="Q36" i="3"/>
  <c r="Q36" i="4"/>
  <c r="AA21" i="1"/>
  <c r="AI21" i="1"/>
  <c r="W21" i="1"/>
  <c r="R21" i="1"/>
  <c r="U10" i="1"/>
  <c r="X31" i="1" s="1"/>
  <c r="Q10" i="1"/>
  <c r="T31" i="1" s="1"/>
  <c r="M10" i="1"/>
  <c r="P31" i="1" s="1"/>
  <c r="M8" i="1"/>
  <c r="U8" i="1"/>
  <c r="Q8" i="1"/>
  <c r="N7" i="1"/>
  <c r="X7" i="1"/>
  <c r="AG7" i="1"/>
  <c r="S7" i="1"/>
  <c r="AO7" i="1"/>
  <c r="AK7" i="1"/>
  <c r="AC7" i="1"/>
  <c r="Q11" i="1"/>
  <c r="M11" i="1"/>
  <c r="U11" i="1"/>
  <c r="S5" i="1"/>
  <c r="AA5" i="1"/>
  <c r="W5" i="1"/>
  <c r="N5" i="1"/>
  <c r="Z10" i="3"/>
  <c r="AN11" i="3"/>
  <c r="AS11" i="3" s="1"/>
  <c r="AO11" i="3" s="1"/>
  <c r="AP11" i="3" s="1"/>
  <c r="AQ11" i="3" s="1"/>
  <c r="AR11" i="3" s="1"/>
  <c r="AD8" i="3"/>
  <c r="AI21" i="3"/>
  <c r="AE21" i="3" s="1"/>
  <c r="AF21" i="3" s="1"/>
  <c r="AG21" i="3" s="1"/>
  <c r="AH21" i="3" s="1"/>
  <c r="Z21" i="3"/>
  <c r="AA21" i="3" s="1"/>
  <c r="AB21" i="3" s="1"/>
  <c r="AC21" i="3" s="1"/>
  <c r="AD5" i="3"/>
  <c r="AE2" i="3"/>
  <c r="AD10" i="1"/>
  <c r="AN5" i="1"/>
  <c r="AJ2" i="1"/>
  <c r="AE5" i="1"/>
  <c r="AD8" i="1"/>
  <c r="AD11" i="1"/>
  <c r="X28" i="4" l="1"/>
  <c r="S31" i="4"/>
  <c r="O31" i="4"/>
  <c r="AE21" i="1"/>
  <c r="AB31" i="4"/>
  <c r="AG28" i="4"/>
  <c r="AG31" i="1"/>
  <c r="AK2" i="1"/>
  <c r="AM28" i="1"/>
  <c r="AG2" i="1"/>
  <c r="AI28" i="1"/>
  <c r="AC2" i="1"/>
  <c r="AF28" i="1" s="1"/>
  <c r="AE28" i="1"/>
  <c r="AO2" i="1"/>
  <c r="AV28" i="1"/>
  <c r="X2" i="1"/>
  <c r="AA28" i="1" s="1"/>
  <c r="Z28" i="1"/>
  <c r="Q31" i="3"/>
  <c r="AL28" i="3"/>
  <c r="V28" i="3"/>
  <c r="V28" i="4"/>
  <c r="AF2" i="3"/>
  <c r="AH28" i="3"/>
  <c r="AA2" i="3"/>
  <c r="AC28" i="3"/>
  <c r="AC28" i="4"/>
  <c r="Q28" i="4"/>
  <c r="Q28" i="3"/>
  <c r="W2" i="3"/>
  <c r="Y28" i="3"/>
  <c r="Y28" i="4"/>
  <c r="S6" i="3"/>
  <c r="AN6" i="3"/>
  <c r="AJ6" i="3" s="1"/>
  <c r="AE6" i="3"/>
  <c r="X6" i="3"/>
  <c r="AB6" i="3"/>
  <c r="Q38" i="3"/>
  <c r="Q38" i="4"/>
  <c r="N7" i="3"/>
  <c r="AE10" i="3"/>
  <c r="AF10" i="3" s="1"/>
  <c r="AN10" i="3"/>
  <c r="AQ31" i="3" s="1"/>
  <c r="AA10" i="3"/>
  <c r="AC31" i="3"/>
  <c r="X10" i="3"/>
  <c r="AA31" i="3" s="1"/>
  <c r="Z31" i="3"/>
  <c r="N5" i="3"/>
  <c r="R5" i="3"/>
  <c r="Z5" i="3"/>
  <c r="V5" i="3"/>
  <c r="N11" i="3"/>
  <c r="N8" i="3"/>
  <c r="AF21" i="1"/>
  <c r="S21" i="1"/>
  <c r="X21" i="1"/>
  <c r="AB21" i="1"/>
  <c r="Z11" i="1"/>
  <c r="AA11" i="1" s="1"/>
  <c r="N10" i="1"/>
  <c r="Q31" i="1" s="1"/>
  <c r="Z10" i="1"/>
  <c r="AC31" i="1" s="1"/>
  <c r="R10" i="1"/>
  <c r="U31" i="1" s="1"/>
  <c r="T31" i="4"/>
  <c r="V10" i="1"/>
  <c r="Y31" i="1" s="1"/>
  <c r="X31" i="4"/>
  <c r="R8" i="1"/>
  <c r="V8" i="1"/>
  <c r="N8" i="1"/>
  <c r="AH7" i="1"/>
  <c r="AL7" i="1"/>
  <c r="AP7" i="1"/>
  <c r="AF5" i="1"/>
  <c r="AJ5" i="1"/>
  <c r="N11" i="1"/>
  <c r="X5" i="1"/>
  <c r="V11" i="1"/>
  <c r="AB5" i="1"/>
  <c r="R11" i="1"/>
  <c r="AJ11" i="3"/>
  <c r="AK11" i="3" s="1"/>
  <c r="AL11" i="3" s="1"/>
  <c r="AM11" i="3" s="1"/>
  <c r="AI5" i="3"/>
  <c r="AN21" i="3"/>
  <c r="AJ21" i="3" s="1"/>
  <c r="AK21" i="3" s="1"/>
  <c r="AL21" i="3" s="1"/>
  <c r="AM21" i="3" s="1"/>
  <c r="AI8" i="3"/>
  <c r="AE8" i="3" s="1"/>
  <c r="AF8" i="3" s="1"/>
  <c r="AG8" i="3" s="1"/>
  <c r="AH8" i="3" s="1"/>
  <c r="Z8" i="3"/>
  <c r="AA8" i="3" s="1"/>
  <c r="AB8" i="3" s="1"/>
  <c r="AC8" i="3" s="1"/>
  <c r="AI8" i="1"/>
  <c r="AI11" i="1"/>
  <c r="AS5" i="1"/>
  <c r="Z8" i="1"/>
  <c r="AN21" i="1"/>
  <c r="AI10" i="1"/>
  <c r="P31" i="4" l="1"/>
  <c r="AL28" i="4"/>
  <c r="AG31" i="4"/>
  <c r="Q31" i="4"/>
  <c r="AL31" i="1"/>
  <c r="AH2" i="1"/>
  <c r="AK28" i="1" s="1"/>
  <c r="AJ28" i="1"/>
  <c r="AP2" i="1"/>
  <c r="AR28" i="1"/>
  <c r="AL2" i="1"/>
  <c r="AN28" i="1"/>
  <c r="AH31" i="3"/>
  <c r="AJ10" i="3"/>
  <c r="AK10" i="3" s="1"/>
  <c r="AS10" i="3"/>
  <c r="AV31" i="3" s="1"/>
  <c r="AB2" i="3"/>
  <c r="AD28" i="3"/>
  <c r="AD28" i="4"/>
  <c r="AQ28" i="3"/>
  <c r="AG2" i="3"/>
  <c r="AI28" i="3"/>
  <c r="X2" i="3"/>
  <c r="Z28" i="3"/>
  <c r="Z28" i="4"/>
  <c r="AF6" i="3"/>
  <c r="AS6" i="3"/>
  <c r="AK6" i="3"/>
  <c r="AC6" i="3"/>
  <c r="AG10" i="3"/>
  <c r="AI31" i="3"/>
  <c r="AB10" i="3"/>
  <c r="AD31" i="3"/>
  <c r="W5" i="3"/>
  <c r="AE5" i="3"/>
  <c r="AA5" i="3"/>
  <c r="S5" i="3"/>
  <c r="AC21" i="1"/>
  <c r="AG21" i="1"/>
  <c r="W10" i="1"/>
  <c r="Z31" i="1" s="1"/>
  <c r="Y31" i="4"/>
  <c r="S10" i="1"/>
  <c r="U31" i="4"/>
  <c r="AA10" i="1"/>
  <c r="AD31" i="1" s="1"/>
  <c r="AC31" i="4"/>
  <c r="AA8" i="1"/>
  <c r="W8" i="1"/>
  <c r="S8" i="1"/>
  <c r="AM7" i="1"/>
  <c r="AQ7" i="1"/>
  <c r="AK5" i="1"/>
  <c r="AC5" i="1"/>
  <c r="AO5" i="1"/>
  <c r="S11" i="1"/>
  <c r="AB11" i="1"/>
  <c r="W11" i="1"/>
  <c r="AG5" i="1"/>
  <c r="AJ2" i="3"/>
  <c r="AN8" i="3"/>
  <c r="AS21" i="3"/>
  <c r="AO21" i="3" s="1"/>
  <c r="AP21" i="3" s="1"/>
  <c r="AQ21" i="3" s="1"/>
  <c r="AR21" i="3" s="1"/>
  <c r="AN5" i="3"/>
  <c r="AS21" i="1"/>
  <c r="AN11" i="1"/>
  <c r="AN10" i="1"/>
  <c r="AQ31" i="1" s="1"/>
  <c r="AE11" i="1"/>
  <c r="AE10" i="1"/>
  <c r="AH31" i="1" s="1"/>
  <c r="AN8" i="1"/>
  <c r="AJ21" i="1"/>
  <c r="AE8" i="1"/>
  <c r="AL31" i="4" l="1"/>
  <c r="AH28" i="4"/>
  <c r="AQ28" i="4"/>
  <c r="V31" i="4"/>
  <c r="V31" i="1"/>
  <c r="AQ2" i="1"/>
  <c r="AS28" i="1"/>
  <c r="AM2" i="1"/>
  <c r="AP28" i="1" s="1"/>
  <c r="AO28" i="1"/>
  <c r="AO10" i="3"/>
  <c r="AP10" i="3" s="1"/>
  <c r="AM31" i="3"/>
  <c r="AH2" i="3"/>
  <c r="AJ28" i="3"/>
  <c r="AK2" i="3"/>
  <c r="AM28" i="3"/>
  <c r="AM28" i="4"/>
  <c r="AO2" i="3"/>
  <c r="AV28" i="3"/>
  <c r="AV28" i="4"/>
  <c r="AA28" i="3"/>
  <c r="AA28" i="4"/>
  <c r="AC2" i="3"/>
  <c r="AE28" i="3"/>
  <c r="AE28" i="4"/>
  <c r="AL6" i="3"/>
  <c r="AO6" i="3"/>
  <c r="AG6" i="3"/>
  <c r="AC10" i="3"/>
  <c r="AF31" i="3" s="1"/>
  <c r="AE31" i="3"/>
  <c r="AL10" i="3"/>
  <c r="AN31" i="3"/>
  <c r="AH10" i="3"/>
  <c r="AK31" i="3" s="1"/>
  <c r="AJ31" i="3"/>
  <c r="AB5" i="3"/>
  <c r="X5" i="3"/>
  <c r="AF5" i="3"/>
  <c r="AO21" i="1"/>
  <c r="AH21" i="1"/>
  <c r="AK21" i="1"/>
  <c r="AF10" i="1"/>
  <c r="AI31" i="1" s="1"/>
  <c r="AH31" i="4"/>
  <c r="AB10" i="1"/>
  <c r="AE31" i="1" s="1"/>
  <c r="AD31" i="4"/>
  <c r="AJ10" i="1"/>
  <c r="AM31" i="1" s="1"/>
  <c r="X10" i="1"/>
  <c r="Z31" i="4"/>
  <c r="AF8" i="1"/>
  <c r="X8" i="1"/>
  <c r="AB8" i="1"/>
  <c r="AR7" i="1"/>
  <c r="AH5" i="1"/>
  <c r="AJ11" i="1"/>
  <c r="X11" i="1"/>
  <c r="AF11" i="1"/>
  <c r="AP5" i="1"/>
  <c r="AC11" i="1"/>
  <c r="AL5" i="1"/>
  <c r="AS5" i="3"/>
  <c r="AJ5" i="3"/>
  <c r="AS8" i="3"/>
  <c r="AO8" i="3" s="1"/>
  <c r="AP8" i="3" s="1"/>
  <c r="AQ8" i="3" s="1"/>
  <c r="AR8" i="3" s="1"/>
  <c r="AJ8" i="3"/>
  <c r="AK8" i="3" s="1"/>
  <c r="AL8" i="3" s="1"/>
  <c r="AM8" i="3" s="1"/>
  <c r="AS10" i="1"/>
  <c r="AV31" i="1" s="1"/>
  <c r="AS11" i="1"/>
  <c r="AS8" i="1"/>
  <c r="AJ8" i="1"/>
  <c r="AI28" i="4" l="1"/>
  <c r="AQ31" i="4"/>
  <c r="AA31" i="4"/>
  <c r="AA31" i="1"/>
  <c r="AR2" i="1"/>
  <c r="AU28" i="1" s="1"/>
  <c r="AT28" i="1"/>
  <c r="AR31" i="3"/>
  <c r="AF28" i="3"/>
  <c r="AF28" i="4"/>
  <c r="AP2" i="3"/>
  <c r="AR28" i="3"/>
  <c r="AR28" i="4"/>
  <c r="AL2" i="3"/>
  <c r="AN28" i="3"/>
  <c r="AN28" i="4"/>
  <c r="AK28" i="3"/>
  <c r="AP6" i="3"/>
  <c r="AH6" i="3"/>
  <c r="AM6" i="3"/>
  <c r="AM10" i="3"/>
  <c r="AP31" i="3" s="1"/>
  <c r="AO31" i="3"/>
  <c r="AQ10" i="3"/>
  <c r="AS31" i="3"/>
  <c r="AC5" i="3"/>
  <c r="AG5" i="3"/>
  <c r="AO5" i="3"/>
  <c r="AK5" i="3"/>
  <c r="AL21" i="1"/>
  <c r="AP21" i="1"/>
  <c r="AK10" i="1"/>
  <c r="AN31" i="1" s="1"/>
  <c r="AO10" i="1"/>
  <c r="AR31" i="1" s="1"/>
  <c r="AV31" i="4"/>
  <c r="AC10" i="1"/>
  <c r="AE31" i="4"/>
  <c r="AG10" i="1"/>
  <c r="AJ31" i="1" s="1"/>
  <c r="AI31" i="4"/>
  <c r="AO8" i="1"/>
  <c r="AK8" i="1"/>
  <c r="AC8" i="1"/>
  <c r="AG8" i="1"/>
  <c r="AK11" i="1"/>
  <c r="AG11" i="1"/>
  <c r="AM5" i="1"/>
  <c r="AO11" i="1"/>
  <c r="AQ5" i="1"/>
  <c r="AM31" i="4" l="1"/>
  <c r="AK28" i="4"/>
  <c r="AJ28" i="4"/>
  <c r="AF31" i="4"/>
  <c r="AF31" i="1"/>
  <c r="AM2" i="3"/>
  <c r="AO28" i="3"/>
  <c r="AO28" i="4"/>
  <c r="AQ2" i="3"/>
  <c r="AS28" i="3"/>
  <c r="AS28" i="4"/>
  <c r="AQ6" i="3"/>
  <c r="AR10" i="3"/>
  <c r="AU31" i="3" s="1"/>
  <c r="AT31" i="3"/>
  <c r="AP5" i="3"/>
  <c r="AL5" i="3"/>
  <c r="AH5" i="3"/>
  <c r="AQ21" i="1"/>
  <c r="AM21" i="1"/>
  <c r="AH10" i="1"/>
  <c r="AJ31" i="4"/>
  <c r="AP10" i="1"/>
  <c r="AS31" i="1" s="1"/>
  <c r="AR31" i="4"/>
  <c r="AL10" i="1"/>
  <c r="AO31" i="1" s="1"/>
  <c r="AN31" i="4"/>
  <c r="AL8" i="1"/>
  <c r="AH8" i="1"/>
  <c r="AP8" i="1"/>
  <c r="AH11" i="1"/>
  <c r="AP11" i="1"/>
  <c r="AR5" i="1"/>
  <c r="AL11" i="1"/>
  <c r="AK31" i="4" l="1"/>
  <c r="AK31" i="1"/>
  <c r="AR2" i="3"/>
  <c r="AT28" i="3"/>
  <c r="AT28" i="4"/>
  <c r="AP28" i="3"/>
  <c r="AP28" i="4"/>
  <c r="AR6" i="3"/>
  <c r="AQ5" i="3"/>
  <c r="AM5" i="3"/>
  <c r="AR21" i="1"/>
  <c r="AM10" i="1"/>
  <c r="AO31" i="4"/>
  <c r="AQ10" i="1"/>
  <c r="AT31" i="1" s="1"/>
  <c r="AS31" i="4"/>
  <c r="AQ8" i="1"/>
  <c r="AM8" i="1"/>
  <c r="AM11" i="1"/>
  <c r="AQ11" i="1"/>
  <c r="AP31" i="4" l="1"/>
  <c r="AP31" i="1"/>
  <c r="AU28" i="3"/>
  <c r="AU28" i="4"/>
  <c r="AR5" i="3"/>
  <c r="AR10" i="1"/>
  <c r="AT31" i="4"/>
  <c r="AR8" i="1"/>
  <c r="AR11" i="1"/>
  <c r="AU31" i="4" l="1"/>
  <c r="AU31" i="1"/>
</calcChain>
</file>

<file path=xl/sharedStrings.xml><?xml version="1.0" encoding="utf-8"?>
<sst xmlns="http://schemas.openxmlformats.org/spreadsheetml/2006/main" count="480" uniqueCount="101">
  <si>
    <t>行业</t>
    <phoneticPr fontId="4" type="noConversion"/>
  </si>
  <si>
    <t>计量指标</t>
    <phoneticPr fontId="4" type="noConversion"/>
  </si>
  <si>
    <t>计量单位</t>
    <phoneticPr fontId="4" type="noConversion"/>
  </si>
  <si>
    <t>数据来源</t>
    <phoneticPr fontId="4" type="noConversion"/>
  </si>
  <si>
    <t>煤炭开采和洗选业</t>
  </si>
  <si>
    <t>原煤</t>
    <phoneticPr fontId="4" type="noConversion"/>
  </si>
  <si>
    <t>亿吨</t>
    <phoneticPr fontId="4" type="noConversion"/>
  </si>
  <si>
    <t>中石化《中国能源展望2060》</t>
    <phoneticPr fontId="4" type="noConversion"/>
  </si>
  <si>
    <t>石油和天然气开采业</t>
  </si>
  <si>
    <t>原油</t>
    <phoneticPr fontId="4" type="noConversion"/>
  </si>
  <si>
    <t>中石油《世界与中国能源展望2021》</t>
    <phoneticPr fontId="4" type="noConversion"/>
  </si>
  <si>
    <t>天然气</t>
    <phoneticPr fontId="4" type="noConversion"/>
  </si>
  <si>
    <t>亿立方米</t>
    <phoneticPr fontId="4" type="noConversion"/>
  </si>
  <si>
    <t>黑色金属矿采选业</t>
  </si>
  <si>
    <t>铁矿石原矿</t>
    <phoneticPr fontId="4" type="noConversion"/>
  </si>
  <si>
    <t>产品产量与粗钢产量挂钩</t>
    <phoneticPr fontId="4" type="noConversion"/>
  </si>
  <si>
    <t>有色金属矿采选业</t>
  </si>
  <si>
    <t>铜矿</t>
    <phoneticPr fontId="4" type="noConversion"/>
  </si>
  <si>
    <t>万吨</t>
    <phoneticPr fontId="4" type="noConversion"/>
  </si>
  <si>
    <t>拍数；https://www.wkqh.cn/ueditor/jsp/upload/file/20240603/1717376096015027949.pdf</t>
    <phoneticPr fontId="4" type="noConversion"/>
  </si>
  <si>
    <t>铝土矿</t>
    <phoneticPr fontId="4" type="noConversion"/>
  </si>
  <si>
    <t>非金属矿采选业</t>
  </si>
  <si>
    <t>石灰石</t>
    <phoneticPr fontId="4" type="noConversion"/>
  </si>
  <si>
    <t>产品产量与水泥产量挂钩;https://www.sohu.com/a/716515038_121388092</t>
    <phoneticPr fontId="4" type="noConversion"/>
  </si>
  <si>
    <t>造纸和纸制品业</t>
  </si>
  <si>
    <t>纸和纸板</t>
    <phoneticPr fontId="4" type="noConversion"/>
  </si>
  <si>
    <t>中国能源研究会-内部报告</t>
    <phoneticPr fontId="4" type="noConversion"/>
  </si>
  <si>
    <t>石油、煤炭及其他燃料加工业</t>
  </si>
  <si>
    <t>原油加工量</t>
    <phoneticPr fontId="4" type="noConversion"/>
  </si>
  <si>
    <t>加工量与原油产量挂钩</t>
    <phoneticPr fontId="4" type="noConversion"/>
  </si>
  <si>
    <t>焦炭</t>
    <phoneticPr fontId="4" type="noConversion"/>
  </si>
  <si>
    <t>焦炭产量与钢铁产量挂钩</t>
    <phoneticPr fontId="4" type="noConversion"/>
  </si>
  <si>
    <t>化学原料和化学制品制造业</t>
  </si>
  <si>
    <t>烧碱</t>
    <phoneticPr fontId="4" type="noConversion"/>
  </si>
  <si>
    <t>纯碱</t>
    <phoneticPr fontId="4" type="noConversion"/>
  </si>
  <si>
    <t>乙烯</t>
    <phoneticPr fontId="4" type="noConversion"/>
  </si>
  <si>
    <t>合成氨</t>
    <phoneticPr fontId="4" type="noConversion"/>
  </si>
  <si>
    <t>非金属矿物制品业</t>
  </si>
  <si>
    <t>水泥</t>
    <phoneticPr fontId="4" type="noConversion"/>
  </si>
  <si>
    <t>平板玻璃</t>
    <phoneticPr fontId="4" type="noConversion"/>
  </si>
  <si>
    <t>万重量厢</t>
    <phoneticPr fontId="4" type="noConversion"/>
  </si>
  <si>
    <t>黑色金属冶炼和压延加工业</t>
  </si>
  <si>
    <t>钢铁</t>
    <phoneticPr fontId="4" type="noConversion"/>
  </si>
  <si>
    <t>有色金属冶炼和压延加工业</t>
  </si>
  <si>
    <t>电解铝</t>
    <phoneticPr fontId="4" type="noConversion"/>
  </si>
  <si>
    <t>精炼铜</t>
    <phoneticPr fontId="4" type="noConversion"/>
  </si>
  <si>
    <t>拍数</t>
    <phoneticPr fontId="4" type="noConversion"/>
  </si>
  <si>
    <t>汽车制造业</t>
  </si>
  <si>
    <t>汽车</t>
    <phoneticPr fontId="4" type="noConversion"/>
  </si>
  <si>
    <t>万辆</t>
    <phoneticPr fontId="4" type="noConversion"/>
  </si>
  <si>
    <t>2023节能与新能源汽车发展报告-结果微调</t>
    <phoneticPr fontId="4" type="noConversion"/>
  </si>
  <si>
    <t>产量与电解铝产量挂钩</t>
    <phoneticPr fontId="4" type="noConversion"/>
  </si>
  <si>
    <t>产量与精炼铜产量挂钩；https://www.wkqh.cn/ueditor/jsp/upload/file/20240603/1717376096015027949.pdf</t>
    <phoneticPr fontId="4" type="noConversion"/>
  </si>
  <si>
    <r>
      <rPr>
        <b/>
        <sz val="10"/>
        <color theme="1"/>
        <rFont val="宋体"/>
        <family val="3"/>
        <charset val="134"/>
      </rPr>
      <t>行业</t>
    </r>
    <phoneticPr fontId="3" type="noConversion"/>
  </si>
  <si>
    <r>
      <rPr>
        <b/>
        <sz val="10"/>
        <color theme="1"/>
        <rFont val="宋体"/>
        <family val="3"/>
        <charset val="134"/>
      </rPr>
      <t>温室气体</t>
    </r>
    <phoneticPr fontId="3" type="noConversion"/>
  </si>
  <si>
    <r>
      <rPr>
        <b/>
        <sz val="10"/>
        <color theme="1"/>
        <rFont val="宋体"/>
        <family val="3"/>
        <charset val="134"/>
      </rPr>
      <t>产品产量</t>
    </r>
    <phoneticPr fontId="3" type="noConversion"/>
  </si>
  <si>
    <r>
      <rPr>
        <b/>
        <sz val="10"/>
        <color theme="1"/>
        <rFont val="宋体"/>
        <family val="3"/>
        <charset val="134"/>
      </rPr>
      <t>单位</t>
    </r>
    <phoneticPr fontId="3" type="noConversion"/>
  </si>
  <si>
    <r>
      <rPr>
        <b/>
        <sz val="10"/>
        <color theme="1"/>
        <rFont val="宋体"/>
        <family val="1"/>
        <charset val="134"/>
      </rPr>
      <t>数据来源</t>
    </r>
    <phoneticPr fontId="3" type="noConversion"/>
  </si>
  <si>
    <r>
      <rPr>
        <sz val="10"/>
        <color theme="1"/>
        <rFont val="宋体"/>
        <family val="3"/>
        <charset val="134"/>
      </rPr>
      <t>农、林、牧、渔业</t>
    </r>
    <phoneticPr fontId="3" type="noConversion"/>
  </si>
  <si>
    <t>CH4+N2O</t>
    <phoneticPr fontId="3" type="noConversion"/>
  </si>
  <si>
    <r>
      <rPr>
        <sz val="10"/>
        <color theme="1"/>
        <rFont val="宋体"/>
        <family val="1"/>
        <charset val="134"/>
      </rPr>
      <t>人口</t>
    </r>
    <phoneticPr fontId="3" type="noConversion"/>
  </si>
  <si>
    <t>亿人</t>
    <phoneticPr fontId="3" type="noConversion"/>
  </si>
  <si>
    <t>WR</t>
    <phoneticPr fontId="3" type="noConversion"/>
  </si>
  <si>
    <r>
      <rPr>
        <sz val="10"/>
        <rFont val="宋体"/>
        <family val="3"/>
        <charset val="134"/>
      </rPr>
      <t>煤炭开采和洗选业</t>
    </r>
  </si>
  <si>
    <t>CH4</t>
    <phoneticPr fontId="3" type="noConversion"/>
  </si>
  <si>
    <r>
      <rPr>
        <sz val="10"/>
        <rFont val="宋体"/>
        <family val="3"/>
        <charset val="134"/>
      </rPr>
      <t>原煤</t>
    </r>
    <phoneticPr fontId="3" type="noConversion"/>
  </si>
  <si>
    <t>亿吨</t>
    <phoneticPr fontId="3" type="noConversion"/>
  </si>
  <si>
    <t>中石化《中国能源展望2060》</t>
  </si>
  <si>
    <r>
      <rPr>
        <sz val="10"/>
        <rFont val="宋体"/>
        <family val="3"/>
        <charset val="134"/>
      </rPr>
      <t>石油和天然气开采业</t>
    </r>
  </si>
  <si>
    <r>
      <rPr>
        <sz val="10"/>
        <rFont val="宋体"/>
        <family val="3"/>
        <charset val="134"/>
      </rPr>
      <t>原油</t>
    </r>
    <phoneticPr fontId="3" type="noConversion"/>
  </si>
  <si>
    <t>中石油《世界与中国能源展望2021》</t>
  </si>
  <si>
    <r>
      <rPr>
        <sz val="10"/>
        <rFont val="宋体"/>
        <family val="3"/>
        <charset val="134"/>
      </rPr>
      <t>天然气</t>
    </r>
    <phoneticPr fontId="3" type="noConversion"/>
  </si>
  <si>
    <t>亿立方米</t>
    <phoneticPr fontId="3" type="noConversion"/>
  </si>
  <si>
    <r>
      <rPr>
        <sz val="10"/>
        <rFont val="宋体"/>
        <family val="3"/>
        <charset val="134"/>
      </rPr>
      <t>石油、煤炭及其他燃料加工业</t>
    </r>
  </si>
  <si>
    <t>CO2</t>
    <phoneticPr fontId="3" type="noConversion"/>
  </si>
  <si>
    <r>
      <rPr>
        <sz val="10"/>
        <rFont val="宋体"/>
        <family val="3"/>
        <charset val="134"/>
      </rPr>
      <t>原油加工</t>
    </r>
    <phoneticPr fontId="3" type="noConversion"/>
  </si>
  <si>
    <t>加工量与原油产量挂钩</t>
  </si>
  <si>
    <r>
      <rPr>
        <sz val="10"/>
        <rFont val="宋体"/>
        <family val="3"/>
        <charset val="134"/>
      </rPr>
      <t>化学原料和化学制品制造业</t>
    </r>
  </si>
  <si>
    <r>
      <rPr>
        <sz val="10"/>
        <rFont val="宋体"/>
        <family val="3"/>
        <charset val="134"/>
      </rPr>
      <t>电石</t>
    </r>
    <phoneticPr fontId="3" type="noConversion"/>
  </si>
  <si>
    <t>万吨</t>
    <phoneticPr fontId="3" type="noConversion"/>
  </si>
  <si>
    <t>拍数</t>
    <phoneticPr fontId="3" type="noConversion"/>
  </si>
  <si>
    <t>N2O</t>
    <phoneticPr fontId="3" type="noConversion"/>
  </si>
  <si>
    <r>
      <rPr>
        <sz val="10"/>
        <rFont val="宋体"/>
        <family val="3"/>
        <charset val="134"/>
      </rPr>
      <t>己二酸</t>
    </r>
    <phoneticPr fontId="3" type="noConversion"/>
  </si>
  <si>
    <r>
      <rPr>
        <sz val="10"/>
        <rFont val="宋体"/>
        <family val="3"/>
        <charset val="134"/>
      </rPr>
      <t>浓硝酸</t>
    </r>
    <phoneticPr fontId="3" type="noConversion"/>
  </si>
  <si>
    <t>F-gases</t>
    <phoneticPr fontId="3" type="noConversion"/>
  </si>
  <si>
    <t>HCFCs</t>
    <phoneticPr fontId="3" type="noConversion"/>
  </si>
  <si>
    <r>
      <rPr>
        <sz val="10"/>
        <rFont val="宋体"/>
        <family val="3"/>
        <charset val="134"/>
      </rPr>
      <t>非金属矿物制品业</t>
    </r>
  </si>
  <si>
    <r>
      <rPr>
        <sz val="10"/>
        <rFont val="宋体"/>
        <family val="3"/>
        <charset val="134"/>
      </rPr>
      <t>水泥</t>
    </r>
    <phoneticPr fontId="3" type="noConversion"/>
  </si>
  <si>
    <t>中国能源研究会-内部报告</t>
  </si>
  <si>
    <r>
      <rPr>
        <sz val="10"/>
        <rFont val="宋体"/>
        <family val="3"/>
        <charset val="134"/>
      </rPr>
      <t>黑色金属冶炼和压延加工业</t>
    </r>
  </si>
  <si>
    <t>CO2+CH4</t>
    <phoneticPr fontId="3" type="noConversion"/>
  </si>
  <si>
    <r>
      <rPr>
        <sz val="10"/>
        <rFont val="宋体"/>
        <family val="3"/>
        <charset val="134"/>
      </rPr>
      <t>粗钢</t>
    </r>
    <phoneticPr fontId="3" type="noConversion"/>
  </si>
  <si>
    <r>
      <rPr>
        <sz val="10"/>
        <rFont val="宋体"/>
        <family val="3"/>
        <charset val="134"/>
      </rPr>
      <t>有色金属冶炼和压延加工业</t>
    </r>
    <phoneticPr fontId="3" type="noConversion"/>
  </si>
  <si>
    <r>
      <rPr>
        <sz val="10"/>
        <rFont val="宋体"/>
        <family val="3"/>
        <charset val="134"/>
      </rPr>
      <t>电解铝</t>
    </r>
    <phoneticPr fontId="3" type="noConversion"/>
  </si>
  <si>
    <r>
      <rPr>
        <sz val="10"/>
        <rFont val="宋体"/>
        <family val="3"/>
        <charset val="134"/>
      </rPr>
      <t>电气机械和器材制造业</t>
    </r>
  </si>
  <si>
    <t>用电量</t>
    <phoneticPr fontId="3" type="noConversion"/>
  </si>
  <si>
    <t>亿千瓦时</t>
    <phoneticPr fontId="3" type="noConversion"/>
  </si>
  <si>
    <t>废弃资源综合利用业</t>
    <phoneticPr fontId="3" type="noConversion"/>
  </si>
  <si>
    <t>CO2+CH4+N2O</t>
    <phoneticPr fontId="3" type="noConversion"/>
  </si>
  <si>
    <r>
      <rPr>
        <sz val="11"/>
        <color theme="1"/>
        <rFont val="宋体"/>
        <family val="1"/>
        <charset val="134"/>
      </rPr>
      <t>用于</t>
    </r>
    <r>
      <rPr>
        <sz val="11"/>
        <color theme="1"/>
        <rFont val="Times New Roman"/>
        <family val="1"/>
      </rPr>
      <t>BPE</t>
    </r>
    <phoneticPr fontId="3" type="noConversion"/>
  </si>
  <si>
    <t>非金属矿物制品业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</si>
</sst>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20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u/>
      <sz val="10"/>
      <color theme="10"/>
      <name val="等线"/>
      <family val="2"/>
      <scheme val="minor"/>
    </font>
    <font>
      <u/>
      <sz val="10"/>
      <color theme="10"/>
      <name val="宋体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宋体"/>
      <family val="1"/>
      <charset val="134"/>
    </font>
    <font>
      <sz val="10"/>
      <color theme="1"/>
      <name val="Times New Roman"/>
      <family val="1"/>
    </font>
    <font>
      <sz val="10"/>
      <color theme="1"/>
      <name val="宋体"/>
      <family val="1"/>
      <charset val="134"/>
    </font>
    <font>
      <sz val="10"/>
      <name val="Times New Roman"/>
      <family val="1"/>
    </font>
    <font>
      <sz val="11"/>
      <color theme="1"/>
      <name val="等线"/>
      <family val="2"/>
      <charset val="134"/>
      <scheme val="minor"/>
    </font>
    <font>
      <sz val="10"/>
      <name val="宋体"/>
      <family val="1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5" fillId="0" borderId="0">
      <alignment vertical="center"/>
    </xf>
  </cellStyleXfs>
  <cellXfs count="1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3" borderId="8" xfId="0" applyFont="1" applyFill="1" applyBorder="1" applyAlignment="1">
      <alignment vertical="center"/>
    </xf>
    <xf numFmtId="1" fontId="7" fillId="0" borderId="7" xfId="0" applyNumberFormat="1" applyFont="1" applyBorder="1" applyAlignment="1">
      <alignment vertical="center"/>
    </xf>
    <xf numFmtId="1" fontId="7" fillId="0" borderId="0" xfId="0" applyNumberFormat="1" applyFont="1" applyAlignment="1">
      <alignment vertical="center"/>
    </xf>
    <xf numFmtId="176" fontId="7" fillId="3" borderId="8" xfId="0" applyNumberFormat="1" applyFont="1" applyFill="1" applyBorder="1" applyAlignment="1">
      <alignment vertical="center"/>
    </xf>
    <xf numFmtId="2" fontId="7" fillId="3" borderId="8" xfId="0" applyNumberFormat="1" applyFont="1" applyFill="1" applyBorder="1" applyAlignment="1">
      <alignment horizontal="right" vertical="center"/>
    </xf>
    <xf numFmtId="177" fontId="7" fillId="3" borderId="8" xfId="0" applyNumberFormat="1" applyFont="1" applyFill="1" applyBorder="1" applyAlignment="1">
      <alignment vertical="center"/>
    </xf>
    <xf numFmtId="2" fontId="7" fillId="3" borderId="8" xfId="0" applyNumberFormat="1" applyFont="1" applyFill="1" applyBorder="1" applyAlignment="1">
      <alignment vertical="center"/>
    </xf>
    <xf numFmtId="49" fontId="5" fillId="4" borderId="6" xfId="0" applyNumberFormat="1" applyFont="1" applyFill="1" applyBorder="1" applyAlignment="1">
      <alignment horizontal="left" vertical="center"/>
    </xf>
    <xf numFmtId="49" fontId="5" fillId="2" borderId="6" xfId="0" applyNumberFormat="1" applyFont="1" applyFill="1" applyBorder="1" applyAlignment="1">
      <alignment horizontal="left" vertical="center"/>
    </xf>
    <xf numFmtId="1" fontId="7" fillId="3" borderId="8" xfId="0" applyNumberFormat="1" applyFont="1" applyFill="1" applyBorder="1" applyAlignment="1">
      <alignment vertical="center"/>
    </xf>
    <xf numFmtId="49" fontId="5" fillId="2" borderId="9" xfId="0" applyNumberFormat="1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176" fontId="7" fillId="3" borderId="11" xfId="0" applyNumberFormat="1" applyFont="1" applyFill="1" applyBorder="1" applyAlignment="1">
      <alignment vertical="center"/>
    </xf>
    <xf numFmtId="1" fontId="7" fillId="0" borderId="10" xfId="0" applyNumberFormat="1" applyFont="1" applyBorder="1" applyAlignment="1">
      <alignment vertical="center"/>
    </xf>
    <xf numFmtId="1" fontId="7" fillId="0" borderId="12" xfId="0" applyNumberFormat="1" applyFont="1" applyBorder="1" applyAlignment="1">
      <alignment vertical="center"/>
    </xf>
    <xf numFmtId="0" fontId="8" fillId="0" borderId="6" xfId="1" applyFont="1" applyBorder="1" applyAlignment="1">
      <alignment horizontal="left" vertical="center"/>
    </xf>
    <xf numFmtId="176" fontId="7" fillId="3" borderId="0" xfId="0" applyNumberFormat="1" applyFont="1" applyFill="1" applyAlignment="1">
      <alignment vertical="center"/>
    </xf>
    <xf numFmtId="2" fontId="7" fillId="3" borderId="0" xfId="0" applyNumberFormat="1" applyFont="1" applyFill="1" applyAlignment="1">
      <alignment vertical="center"/>
    </xf>
    <xf numFmtId="1" fontId="7" fillId="3" borderId="0" xfId="0" applyNumberFormat="1" applyFont="1" applyFill="1" applyAlignment="1">
      <alignment vertical="center"/>
    </xf>
    <xf numFmtId="1" fontId="7" fillId="3" borderId="12" xfId="0" applyNumberFormat="1" applyFont="1" applyFill="1" applyBorder="1" applyAlignment="1">
      <alignment vertical="center"/>
    </xf>
    <xf numFmtId="176" fontId="7" fillId="0" borderId="7" xfId="0" applyNumberFormat="1" applyFont="1" applyBorder="1" applyAlignment="1">
      <alignment vertical="center"/>
    </xf>
    <xf numFmtId="2" fontId="7" fillId="0" borderId="7" xfId="0" applyNumberFormat="1" applyFont="1" applyBorder="1" applyAlignment="1">
      <alignment vertical="center"/>
    </xf>
    <xf numFmtId="0" fontId="7" fillId="0" borderId="8" xfId="0" applyFont="1" applyBorder="1" applyAlignment="1">
      <alignment vertical="center"/>
    </xf>
    <xf numFmtId="2" fontId="7" fillId="0" borderId="8" xfId="0" applyNumberFormat="1" applyFont="1" applyBorder="1" applyAlignment="1">
      <alignment vertical="center"/>
    </xf>
    <xf numFmtId="1" fontId="7" fillId="0" borderId="8" xfId="0" applyNumberFormat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3" borderId="6" xfId="0" applyFont="1" applyFill="1" applyBorder="1" applyAlignment="1">
      <alignment horizontal="left" vertical="center"/>
    </xf>
    <xf numFmtId="0" fontId="7" fillId="0" borderId="0" xfId="0" applyFont="1"/>
    <xf numFmtId="0" fontId="6" fillId="0" borderId="2" xfId="0" applyFont="1" applyBorder="1"/>
    <xf numFmtId="0" fontId="6" fillId="0" borderId="4" xfId="0" applyFont="1" applyBorder="1"/>
    <xf numFmtId="0" fontId="6" fillId="0" borderId="3" xfId="0" applyFont="1" applyBorder="1"/>
    <xf numFmtId="0" fontId="9" fillId="0" borderId="6" xfId="1" applyFont="1" applyBorder="1" applyAlignment="1">
      <alignment horizontal="left" vertical="center"/>
    </xf>
    <xf numFmtId="1" fontId="7" fillId="0" borderId="13" xfId="0" applyNumberFormat="1" applyFont="1" applyBorder="1"/>
    <xf numFmtId="1" fontId="7" fillId="0" borderId="14" xfId="0" applyNumberFormat="1" applyFont="1" applyBorder="1"/>
    <xf numFmtId="1" fontId="7" fillId="0" borderId="7" xfId="0" applyNumberFormat="1" applyFont="1" applyBorder="1"/>
    <xf numFmtId="1" fontId="7" fillId="0" borderId="0" xfId="0" applyNumberFormat="1" applyFont="1"/>
    <xf numFmtId="1" fontId="7" fillId="0" borderId="10" xfId="0" applyNumberFormat="1" applyFont="1" applyBorder="1"/>
    <xf numFmtId="1" fontId="7" fillId="0" borderId="12" xfId="0" applyNumberFormat="1" applyFont="1" applyBorder="1"/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3" fillId="0" borderId="1" xfId="0" applyFont="1" applyBorder="1"/>
    <xf numFmtId="0" fontId="12" fillId="0" borderId="1" xfId="0" applyFont="1" applyBorder="1"/>
    <xf numFmtId="49" fontId="14" fillId="0" borderId="13" xfId="0" applyNumberFormat="1" applyFont="1" applyBorder="1" applyAlignment="1">
      <alignment vertical="center"/>
    </xf>
    <xf numFmtId="49" fontId="14" fillId="0" borderId="14" xfId="0" applyNumberFormat="1" applyFont="1" applyBorder="1" applyAlignment="1">
      <alignment vertical="center"/>
    </xf>
    <xf numFmtId="49" fontId="14" fillId="0" borderId="15" xfId="0" applyNumberFormat="1" applyFont="1" applyBorder="1" applyAlignment="1">
      <alignment vertical="center"/>
    </xf>
    <xf numFmtId="0" fontId="13" fillId="0" borderId="6" xfId="0" applyFont="1" applyBorder="1"/>
    <xf numFmtId="0" fontId="6" fillId="0" borderId="6" xfId="2" applyFont="1" applyBorder="1" applyAlignment="1">
      <alignment horizontal="left" vertical="center"/>
    </xf>
    <xf numFmtId="49" fontId="14" fillId="0" borderId="7" xfId="0" applyNumberFormat="1" applyFont="1" applyBorder="1" applyAlignment="1">
      <alignment vertical="center"/>
    </xf>
    <xf numFmtId="49" fontId="14" fillId="0" borderId="0" xfId="0" applyNumberFormat="1" applyFont="1" applyAlignment="1">
      <alignment vertical="center"/>
    </xf>
    <xf numFmtId="49" fontId="14" fillId="0" borderId="8" xfId="0" applyNumberFormat="1" applyFont="1" applyBorder="1" applyAlignment="1">
      <alignment vertical="center"/>
    </xf>
    <xf numFmtId="0" fontId="13" fillId="4" borderId="6" xfId="0" applyFont="1" applyFill="1" applyBorder="1"/>
    <xf numFmtId="49" fontId="16" fillId="0" borderId="8" xfId="0" applyNumberFormat="1" applyFont="1" applyBorder="1" applyAlignment="1">
      <alignment vertical="center"/>
    </xf>
    <xf numFmtId="0" fontId="12" fillId="0" borderId="6" xfId="0" applyFont="1" applyBorder="1"/>
    <xf numFmtId="49" fontId="5" fillId="0" borderId="10" xfId="0" applyNumberFormat="1" applyFont="1" applyBorder="1" applyAlignment="1">
      <alignment vertical="center"/>
    </xf>
    <xf numFmtId="49" fontId="14" fillId="0" borderId="12" xfId="0" applyNumberFormat="1" applyFont="1" applyBorder="1" applyAlignment="1">
      <alignment vertical="center"/>
    </xf>
    <xf numFmtId="0" fontId="12" fillId="0" borderId="11" xfId="0" applyFont="1" applyBorder="1"/>
    <xf numFmtId="0" fontId="13" fillId="0" borderId="9" xfId="0" applyFont="1" applyBorder="1"/>
    <xf numFmtId="0" fontId="12" fillId="0" borderId="9" xfId="0" applyFont="1" applyBorder="1"/>
    <xf numFmtId="0" fontId="19" fillId="0" borderId="0" xfId="0" applyFont="1"/>
    <xf numFmtId="0" fontId="6" fillId="0" borderId="7" xfId="0" applyFont="1" applyBorder="1"/>
    <xf numFmtId="0" fontId="6" fillId="0" borderId="0" xfId="0" applyFont="1"/>
    <xf numFmtId="176" fontId="6" fillId="0" borderId="0" xfId="0" applyNumberFormat="1" applyFont="1"/>
    <xf numFmtId="176" fontId="6" fillId="0" borderId="8" xfId="0" applyNumberFormat="1" applyFont="1" applyBorder="1"/>
    <xf numFmtId="2" fontId="6" fillId="0" borderId="0" xfId="0" applyNumberFormat="1" applyFont="1"/>
    <xf numFmtId="2" fontId="6" fillId="0" borderId="8" xfId="0" applyNumberFormat="1" applyFont="1" applyBorder="1"/>
    <xf numFmtId="1" fontId="6" fillId="0" borderId="0" xfId="0" applyNumberFormat="1" applyFont="1"/>
    <xf numFmtId="1" fontId="6" fillId="0" borderId="8" xfId="0" applyNumberFormat="1" applyFont="1" applyBorder="1"/>
    <xf numFmtId="0" fontId="6" fillId="0" borderId="8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11" xfId="0" applyFont="1" applyBorder="1"/>
    <xf numFmtId="2" fontId="6" fillId="0" borderId="13" xfId="0" applyNumberFormat="1" applyFont="1" applyBorder="1"/>
    <xf numFmtId="2" fontId="6" fillId="0" borderId="14" xfId="0" applyNumberFormat="1" applyFont="1" applyBorder="1"/>
    <xf numFmtId="2" fontId="6" fillId="0" borderId="15" xfId="0" applyNumberFormat="1" applyFont="1" applyBorder="1"/>
    <xf numFmtId="176" fontId="6" fillId="0" borderId="13" xfId="0" applyNumberFormat="1" applyFont="1" applyBorder="1"/>
    <xf numFmtId="176" fontId="6" fillId="0" borderId="14" xfId="0" applyNumberFormat="1" applyFont="1" applyBorder="1"/>
    <xf numFmtId="176" fontId="6" fillId="0" borderId="15" xfId="0" applyNumberFormat="1" applyFont="1" applyBorder="1"/>
    <xf numFmtId="176" fontId="6" fillId="0" borderId="10" xfId="0" applyNumberFormat="1" applyFont="1" applyBorder="1"/>
    <xf numFmtId="176" fontId="6" fillId="0" borderId="12" xfId="0" applyNumberFormat="1" applyFont="1" applyBorder="1"/>
    <xf numFmtId="176" fontId="6" fillId="0" borderId="11" xfId="0" applyNumberFormat="1" applyFont="1" applyBorder="1"/>
    <xf numFmtId="1" fontId="6" fillId="0" borderId="7" xfId="0" applyNumberFormat="1" applyFont="1" applyBorder="1"/>
    <xf numFmtId="1" fontId="6" fillId="0" borderId="10" xfId="0" applyNumberFormat="1" applyFont="1" applyBorder="1"/>
    <xf numFmtId="1" fontId="6" fillId="0" borderId="12" xfId="0" applyNumberFormat="1" applyFont="1" applyBorder="1"/>
    <xf numFmtId="1" fontId="6" fillId="0" borderId="11" xfId="0" applyNumberFormat="1" applyFont="1" applyBorder="1"/>
    <xf numFmtId="1" fontId="7" fillId="3" borderId="14" xfId="0" applyNumberFormat="1" applyFont="1" applyFill="1" applyBorder="1"/>
    <xf numFmtId="1" fontId="7" fillId="3" borderId="0" xfId="0" applyNumberFormat="1" applyFont="1" applyFill="1"/>
    <xf numFmtId="1" fontId="7" fillId="3" borderId="12" xfId="0" applyNumberFormat="1" applyFont="1" applyFill="1" applyBorder="1"/>
    <xf numFmtId="1" fontId="7" fillId="3" borderId="15" xfId="0" applyNumberFormat="1" applyFont="1" applyFill="1" applyBorder="1"/>
    <xf numFmtId="1" fontId="7" fillId="3" borderId="8" xfId="0" applyNumberFormat="1" applyFont="1" applyFill="1" applyBorder="1"/>
    <xf numFmtId="1" fontId="7" fillId="3" borderId="11" xfId="0" applyNumberFormat="1" applyFont="1" applyFill="1" applyBorder="1"/>
    <xf numFmtId="177" fontId="7" fillId="0" borderId="0" xfId="0" applyNumberFormat="1" applyFont="1"/>
    <xf numFmtId="1" fontId="7" fillId="2" borderId="14" xfId="0" applyNumberFormat="1" applyFont="1" applyFill="1" applyBorder="1"/>
    <xf numFmtId="1" fontId="7" fillId="2" borderId="0" xfId="0" applyNumberFormat="1" applyFont="1" applyFill="1"/>
    <xf numFmtId="1" fontId="7" fillId="2" borderId="12" xfId="0" applyNumberFormat="1" applyFont="1" applyFill="1" applyBorder="1"/>
  </cellXfs>
  <cellStyles count="3">
    <cellStyle name="常规" xfId="0" builtinId="0"/>
    <cellStyle name="常规 2" xfId="2" xr:uid="{60B03D1B-BF48-4D33-BA08-D998A6FEB3A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6529851217271867E-2"/>
          <c:y val="7.3953624246632987E-2"/>
          <c:w val="0.88066357351279345"/>
          <c:h val="0.64617547806524189"/>
        </c:manualLayout>
      </c:layout>
      <c:lineChart>
        <c:grouping val="standard"/>
        <c:varyColors val="0"/>
        <c:ser>
          <c:idx val="0"/>
          <c:order val="0"/>
          <c:tx>
            <c:strRef>
              <c:f>高情景!$B$2</c:f>
              <c:strCache>
                <c:ptCount val="1"/>
                <c:pt idx="0">
                  <c:v>原煤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高情景!$E$2:$AS$2</c:f>
              <c:numCache>
                <c:formatCode>0.0</c:formatCode>
                <c:ptCount val="41"/>
                <c:pt idx="0" formatCode="General">
                  <c:v>39.020000000000003</c:v>
                </c:pt>
                <c:pt idx="1">
                  <c:v>41.26</c:v>
                </c:pt>
                <c:pt idx="2">
                  <c:v>45.59</c:v>
                </c:pt>
                <c:pt idx="3">
                  <c:v>46.726666666666667</c:v>
                </c:pt>
                <c:pt idx="4" formatCode="0">
                  <c:v>47.86333333333333</c:v>
                </c:pt>
                <c:pt idx="5" formatCode="General">
                  <c:v>49</c:v>
                </c:pt>
                <c:pt idx="6" formatCode="0">
                  <c:v>49.8</c:v>
                </c:pt>
                <c:pt idx="7" formatCode="0">
                  <c:v>50.599999999999994</c:v>
                </c:pt>
                <c:pt idx="8" formatCode="0">
                  <c:v>51.399999999999991</c:v>
                </c:pt>
                <c:pt idx="9" formatCode="0">
                  <c:v>52.199999999999989</c:v>
                </c:pt>
                <c:pt idx="10">
                  <c:v>53</c:v>
                </c:pt>
                <c:pt idx="11" formatCode="0">
                  <c:v>53.3</c:v>
                </c:pt>
                <c:pt idx="12" formatCode="0">
                  <c:v>53.599999999999994</c:v>
                </c:pt>
                <c:pt idx="13" formatCode="0">
                  <c:v>53.899999999999991</c:v>
                </c:pt>
                <c:pt idx="14" formatCode="0">
                  <c:v>54.199999999999989</c:v>
                </c:pt>
                <c:pt idx="15" formatCode="0.00">
                  <c:v>54.5</c:v>
                </c:pt>
                <c:pt idx="16" formatCode="0">
                  <c:v>54</c:v>
                </c:pt>
                <c:pt idx="17" formatCode="0">
                  <c:v>53.5</c:v>
                </c:pt>
                <c:pt idx="18" formatCode="0">
                  <c:v>53</c:v>
                </c:pt>
                <c:pt idx="19" formatCode="0">
                  <c:v>52.5</c:v>
                </c:pt>
                <c:pt idx="20" formatCode="0.000">
                  <c:v>52</c:v>
                </c:pt>
                <c:pt idx="21" formatCode="0">
                  <c:v>51.2</c:v>
                </c:pt>
                <c:pt idx="22" formatCode="0">
                  <c:v>50.400000000000006</c:v>
                </c:pt>
                <c:pt idx="23" formatCode="0">
                  <c:v>49.600000000000009</c:v>
                </c:pt>
                <c:pt idx="24" formatCode="0">
                  <c:v>48.800000000000011</c:v>
                </c:pt>
                <c:pt idx="25" formatCode="0.00">
                  <c:v>48</c:v>
                </c:pt>
                <c:pt idx="26" formatCode="0">
                  <c:v>47.2</c:v>
                </c:pt>
                <c:pt idx="27" formatCode="0">
                  <c:v>46.400000000000006</c:v>
                </c:pt>
                <c:pt idx="28" formatCode="0">
                  <c:v>45.600000000000009</c:v>
                </c:pt>
                <c:pt idx="29" formatCode="0">
                  <c:v>44.800000000000011</c:v>
                </c:pt>
                <c:pt idx="30" formatCode="0.00">
                  <c:v>44</c:v>
                </c:pt>
                <c:pt idx="31" formatCode="0">
                  <c:v>43</c:v>
                </c:pt>
                <c:pt idx="32" formatCode="0">
                  <c:v>42</c:v>
                </c:pt>
                <c:pt idx="33" formatCode="0">
                  <c:v>41</c:v>
                </c:pt>
                <c:pt idx="34" formatCode="0">
                  <c:v>40</c:v>
                </c:pt>
                <c:pt idx="35" formatCode="0.00">
                  <c:v>39</c:v>
                </c:pt>
                <c:pt idx="36" formatCode="0">
                  <c:v>38.200000000000003</c:v>
                </c:pt>
                <c:pt idx="37" formatCode="0">
                  <c:v>37.400000000000006</c:v>
                </c:pt>
                <c:pt idx="38" formatCode="0">
                  <c:v>36.600000000000009</c:v>
                </c:pt>
                <c:pt idx="39" formatCode="0">
                  <c:v>35.800000000000011</c:v>
                </c:pt>
                <c:pt idx="40" formatCode="0.0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2-4502-9F67-4E8DADD8E1E6}"/>
            </c:ext>
          </c:extLst>
        </c:ser>
        <c:ser>
          <c:idx val="1"/>
          <c:order val="1"/>
          <c:tx>
            <c:strRef>
              <c:f>高情景!$B$3</c:f>
              <c:strCache>
                <c:ptCount val="1"/>
                <c:pt idx="0">
                  <c:v>原油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高情景!$E$3:$AS$3</c:f>
              <c:numCache>
                <c:formatCode>0.00</c:formatCode>
                <c:ptCount val="41"/>
                <c:pt idx="0">
                  <c:v>1.9477</c:v>
                </c:pt>
                <c:pt idx="1">
                  <c:v>1.9887999999999999</c:v>
                </c:pt>
                <c:pt idx="2">
                  <c:v>2.0472000000000001</c:v>
                </c:pt>
                <c:pt idx="3">
                  <c:v>2.0881333333333334</c:v>
                </c:pt>
                <c:pt idx="4">
                  <c:v>2.1290666666666667</c:v>
                </c:pt>
                <c:pt idx="5" formatCode="General">
                  <c:v>2.17</c:v>
                </c:pt>
                <c:pt idx="6" formatCode="0">
                  <c:v>2.1760000000000002</c:v>
                </c:pt>
                <c:pt idx="7" formatCode="0">
                  <c:v>2.1820000000000004</c:v>
                </c:pt>
                <c:pt idx="8" formatCode="0">
                  <c:v>2.1880000000000006</c:v>
                </c:pt>
                <c:pt idx="9" formatCode="0">
                  <c:v>2.1940000000000008</c:v>
                </c:pt>
                <c:pt idx="10" formatCode="General">
                  <c:v>2.2000000000000002</c:v>
                </c:pt>
                <c:pt idx="11" formatCode="0">
                  <c:v>2.2160000000000002</c:v>
                </c:pt>
                <c:pt idx="12" formatCode="0">
                  <c:v>2.2320000000000002</c:v>
                </c:pt>
                <c:pt idx="13" formatCode="0">
                  <c:v>2.2480000000000002</c:v>
                </c:pt>
                <c:pt idx="14" formatCode="0">
                  <c:v>2.2640000000000002</c:v>
                </c:pt>
                <c:pt idx="15" formatCode="General">
                  <c:v>2.2799999999999998</c:v>
                </c:pt>
                <c:pt idx="16" formatCode="0">
                  <c:v>2.2839999999999998</c:v>
                </c:pt>
                <c:pt idx="17" formatCode="0">
                  <c:v>2.2879999999999998</c:v>
                </c:pt>
                <c:pt idx="18" formatCode="0">
                  <c:v>2.2919999999999998</c:v>
                </c:pt>
                <c:pt idx="19" formatCode="0">
                  <c:v>2.2959999999999998</c:v>
                </c:pt>
                <c:pt idx="20" formatCode="General">
                  <c:v>2.2999999999999998</c:v>
                </c:pt>
                <c:pt idx="21" formatCode="0">
                  <c:v>2.2799999999999998</c:v>
                </c:pt>
                <c:pt idx="22" formatCode="0">
                  <c:v>2.2599999999999998</c:v>
                </c:pt>
                <c:pt idx="23" formatCode="0">
                  <c:v>2.2399999999999998</c:v>
                </c:pt>
                <c:pt idx="24" formatCode="0">
                  <c:v>2.2199999999999998</c:v>
                </c:pt>
                <c:pt idx="25" formatCode="General">
                  <c:v>2.2000000000000002</c:v>
                </c:pt>
                <c:pt idx="26" formatCode="0">
                  <c:v>2.1800000000000002</c:v>
                </c:pt>
                <c:pt idx="27" formatCode="0">
                  <c:v>2.16</c:v>
                </c:pt>
                <c:pt idx="28" formatCode="0">
                  <c:v>2.14</c:v>
                </c:pt>
                <c:pt idx="29" formatCode="0">
                  <c:v>2.12</c:v>
                </c:pt>
                <c:pt idx="30" formatCode="General">
                  <c:v>2.1</c:v>
                </c:pt>
                <c:pt idx="31" formatCode="0">
                  <c:v>2.0700000000000003</c:v>
                </c:pt>
                <c:pt idx="32" formatCode="0">
                  <c:v>2.04</c:v>
                </c:pt>
                <c:pt idx="33" formatCode="0">
                  <c:v>2.0099999999999998</c:v>
                </c:pt>
                <c:pt idx="34" formatCode="0">
                  <c:v>1.9799999999999998</c:v>
                </c:pt>
                <c:pt idx="35" formatCode="General">
                  <c:v>1.95</c:v>
                </c:pt>
                <c:pt idx="36" formatCode="0">
                  <c:v>1.9379999999999999</c:v>
                </c:pt>
                <c:pt idx="37" formatCode="0">
                  <c:v>1.9259999999999999</c:v>
                </c:pt>
                <c:pt idx="38" formatCode="0">
                  <c:v>1.9139999999999999</c:v>
                </c:pt>
                <c:pt idx="39" formatCode="0">
                  <c:v>1.9019999999999999</c:v>
                </c:pt>
                <c:pt idx="40" formatCode="General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02-4502-9F67-4E8DADD8E1E6}"/>
            </c:ext>
          </c:extLst>
        </c:ser>
        <c:ser>
          <c:idx val="3"/>
          <c:order val="3"/>
          <c:tx>
            <c:strRef>
              <c:f>高情景!$B$5</c:f>
              <c:strCache>
                <c:ptCount val="1"/>
                <c:pt idx="0">
                  <c:v>铁矿石原矿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高情景!$E$5:$AS$5</c:f>
              <c:numCache>
                <c:formatCode>0.00</c:formatCode>
                <c:ptCount val="41"/>
                <c:pt idx="0">
                  <c:v>8.6671999999999993</c:v>
                </c:pt>
                <c:pt idx="1">
                  <c:v>9.8053000000000008</c:v>
                </c:pt>
                <c:pt idx="2">
                  <c:v>9.6786999999999992</c:v>
                </c:pt>
                <c:pt idx="3" formatCode="0">
                  <c:v>10.445804315825423</c:v>
                </c:pt>
                <c:pt idx="4" formatCode="0">
                  <c:v>11.212908631650848</c:v>
                </c:pt>
                <c:pt idx="5">
                  <c:v>11.980012947476272</c:v>
                </c:pt>
                <c:pt idx="6" formatCode="0">
                  <c:v>12.246235457420189</c:v>
                </c:pt>
                <c:pt idx="7" formatCode="0">
                  <c:v>12.512457967364107</c:v>
                </c:pt>
                <c:pt idx="8" formatCode="0">
                  <c:v>12.778680477308024</c:v>
                </c:pt>
                <c:pt idx="9" formatCode="0">
                  <c:v>13.044902987251941</c:v>
                </c:pt>
                <c:pt idx="10">
                  <c:v>13.311125497195858</c:v>
                </c:pt>
                <c:pt idx="11" formatCode="0">
                  <c:v>13.330141390763281</c:v>
                </c:pt>
                <c:pt idx="12" formatCode="0">
                  <c:v>13.349157284330703</c:v>
                </c:pt>
                <c:pt idx="13" formatCode="0">
                  <c:v>13.368173177898125</c:v>
                </c:pt>
                <c:pt idx="14" formatCode="0">
                  <c:v>13.387189071465547</c:v>
                </c:pt>
                <c:pt idx="15">
                  <c:v>13.406204965032972</c:v>
                </c:pt>
                <c:pt idx="16" formatCode="0">
                  <c:v>13.25407781649359</c:v>
                </c:pt>
                <c:pt idx="17" formatCode="0">
                  <c:v>13.101950667954208</c:v>
                </c:pt>
                <c:pt idx="18" formatCode="0">
                  <c:v>12.949823519414826</c:v>
                </c:pt>
                <c:pt idx="19" formatCode="0">
                  <c:v>12.797696370875444</c:v>
                </c:pt>
                <c:pt idx="20">
                  <c:v>12.645569222336066</c:v>
                </c:pt>
                <c:pt idx="21" formatCode="0">
                  <c:v>12.360330818824727</c:v>
                </c:pt>
                <c:pt idx="22" formatCode="0">
                  <c:v>12.075092415313387</c:v>
                </c:pt>
                <c:pt idx="23" formatCode="0">
                  <c:v>11.789854011802047</c:v>
                </c:pt>
                <c:pt idx="24" formatCode="0">
                  <c:v>11.504615608290708</c:v>
                </c:pt>
                <c:pt idx="25">
                  <c:v>11.219377204779367</c:v>
                </c:pt>
                <c:pt idx="26" formatCode="0">
                  <c:v>10.934138801268027</c:v>
                </c:pt>
                <c:pt idx="27" formatCode="0">
                  <c:v>10.648900397756687</c:v>
                </c:pt>
                <c:pt idx="28" formatCode="0">
                  <c:v>10.363661994245348</c:v>
                </c:pt>
                <c:pt idx="29" formatCode="0">
                  <c:v>10.078423590734008</c:v>
                </c:pt>
                <c:pt idx="30">
                  <c:v>9.793185187222667</c:v>
                </c:pt>
                <c:pt idx="31" formatCode="0">
                  <c:v>9.545978570846172</c:v>
                </c:pt>
                <c:pt idx="32" formatCode="0">
                  <c:v>9.298771954469677</c:v>
                </c:pt>
                <c:pt idx="33" formatCode="0">
                  <c:v>9.051565338093182</c:v>
                </c:pt>
                <c:pt idx="34" formatCode="0">
                  <c:v>8.804358721716687</c:v>
                </c:pt>
                <c:pt idx="35">
                  <c:v>8.5571521053401938</c:v>
                </c:pt>
                <c:pt idx="36" formatCode="0">
                  <c:v>8.2975266842721549</c:v>
                </c:pt>
                <c:pt idx="37" formatCode="0">
                  <c:v>8.037901263204116</c:v>
                </c:pt>
                <c:pt idx="38" formatCode="0">
                  <c:v>7.7782758421360763</c:v>
                </c:pt>
                <c:pt idx="39" formatCode="0">
                  <c:v>7.5186504210680365</c:v>
                </c:pt>
                <c:pt idx="40">
                  <c:v>7.2590249999999967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02-4502-9F67-4E8DADD8E1E6}"/>
            </c:ext>
          </c:extLst>
        </c:ser>
        <c:ser>
          <c:idx val="4"/>
          <c:order val="4"/>
          <c:tx>
            <c:strRef>
              <c:f>高情景!$B$6</c:f>
              <c:strCache>
                <c:ptCount val="1"/>
                <c:pt idx="0">
                  <c:v>铜矿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高情景!$E$6:$AS$6</c:f>
              <c:numCache>
                <c:formatCode>0</c:formatCode>
                <c:ptCount val="41"/>
                <c:pt idx="0" formatCode="General">
                  <c:v>172</c:v>
                </c:pt>
                <c:pt idx="1">
                  <c:v>191</c:v>
                </c:pt>
                <c:pt idx="2">
                  <c:v>194</c:v>
                </c:pt>
                <c:pt idx="3">
                  <c:v>219.50933697995856</c:v>
                </c:pt>
                <c:pt idx="4">
                  <c:v>245.01867395991712</c:v>
                </c:pt>
                <c:pt idx="5">
                  <c:v>270.52801093987568</c:v>
                </c:pt>
                <c:pt idx="6">
                  <c:v>282.7454049823217</c:v>
                </c:pt>
                <c:pt idx="7">
                  <c:v>294.96279902476772</c:v>
                </c:pt>
                <c:pt idx="8">
                  <c:v>307.18019306721374</c:v>
                </c:pt>
                <c:pt idx="9">
                  <c:v>319.39758710965975</c:v>
                </c:pt>
                <c:pt idx="10">
                  <c:v>331.61498115210566</c:v>
                </c:pt>
                <c:pt idx="11">
                  <c:v>338.59634917636055</c:v>
                </c:pt>
                <c:pt idx="12">
                  <c:v>345.57771720061544</c:v>
                </c:pt>
                <c:pt idx="13">
                  <c:v>352.55908522487033</c:v>
                </c:pt>
                <c:pt idx="14">
                  <c:v>359.54045324912522</c:v>
                </c:pt>
                <c:pt idx="15">
                  <c:v>366.52182127338</c:v>
                </c:pt>
                <c:pt idx="16">
                  <c:v>370.01250528550742</c:v>
                </c:pt>
                <c:pt idx="17">
                  <c:v>373.50318929763483</c:v>
                </c:pt>
                <c:pt idx="18">
                  <c:v>376.99387330976225</c:v>
                </c:pt>
                <c:pt idx="19">
                  <c:v>380.48455732188967</c:v>
                </c:pt>
                <c:pt idx="20">
                  <c:v>383.97524133401714</c:v>
                </c:pt>
                <c:pt idx="21">
                  <c:v>385.72058334008085</c:v>
                </c:pt>
                <c:pt idx="22">
                  <c:v>387.46592534614456</c:v>
                </c:pt>
                <c:pt idx="23">
                  <c:v>389.21126735220827</c:v>
                </c:pt>
                <c:pt idx="24">
                  <c:v>390.95660935827198</c:v>
                </c:pt>
                <c:pt idx="25">
                  <c:v>392.70195136433568</c:v>
                </c:pt>
                <c:pt idx="26">
                  <c:v>394.44729337039939</c:v>
                </c:pt>
                <c:pt idx="27">
                  <c:v>396.1926353764631</c:v>
                </c:pt>
                <c:pt idx="28">
                  <c:v>397.93797738252681</c:v>
                </c:pt>
                <c:pt idx="29">
                  <c:v>399.68331938859052</c:v>
                </c:pt>
                <c:pt idx="30">
                  <c:v>401.42866139465423</c:v>
                </c:pt>
                <c:pt idx="31">
                  <c:v>403.17400340071794</c:v>
                </c:pt>
                <c:pt idx="32">
                  <c:v>404.91934540678164</c:v>
                </c:pt>
                <c:pt idx="33">
                  <c:v>406.66468741284535</c:v>
                </c:pt>
                <c:pt idx="34">
                  <c:v>408.41002941890906</c:v>
                </c:pt>
                <c:pt idx="35">
                  <c:v>410.15537142497283</c:v>
                </c:pt>
                <c:pt idx="36">
                  <c:v>411.55164502982382</c:v>
                </c:pt>
                <c:pt idx="37">
                  <c:v>412.94791863467481</c:v>
                </c:pt>
                <c:pt idx="38">
                  <c:v>414.3441922395258</c:v>
                </c:pt>
                <c:pt idx="39">
                  <c:v>415.74046584437679</c:v>
                </c:pt>
                <c:pt idx="40">
                  <c:v>417.13673944922772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02-4502-9F67-4E8DADD8E1E6}"/>
            </c:ext>
          </c:extLst>
        </c:ser>
        <c:ser>
          <c:idx val="6"/>
          <c:order val="6"/>
          <c:tx>
            <c:strRef>
              <c:f>高情景!$B$8</c:f>
              <c:strCache>
                <c:ptCount val="1"/>
                <c:pt idx="0">
                  <c:v>石灰石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高情景!$E$8:$AS$8</c:f>
              <c:numCache>
                <c:formatCode>0</c:formatCode>
                <c:ptCount val="41"/>
                <c:pt idx="0" formatCode="0.00">
                  <c:v>31.55</c:v>
                </c:pt>
                <c:pt idx="1">
                  <c:v>31.4</c:v>
                </c:pt>
                <c:pt idx="2" formatCode="0.0">
                  <c:v>28.79</c:v>
                </c:pt>
                <c:pt idx="3">
                  <c:v>29.733239174892407</c:v>
                </c:pt>
                <c:pt idx="4">
                  <c:v>30.676478349784816</c:v>
                </c:pt>
                <c:pt idx="5" formatCode="0.00">
                  <c:v>31.619717524677224</c:v>
                </c:pt>
                <c:pt idx="6">
                  <c:v>32.014963993735691</c:v>
                </c:pt>
                <c:pt idx="7">
                  <c:v>32.410210462794154</c:v>
                </c:pt>
                <c:pt idx="8">
                  <c:v>32.805456931852618</c:v>
                </c:pt>
                <c:pt idx="9">
                  <c:v>33.200703400911081</c:v>
                </c:pt>
                <c:pt idx="10" formatCode="0.00">
                  <c:v>33.595949869969552</c:v>
                </c:pt>
                <c:pt idx="11">
                  <c:v>33.200703400911088</c:v>
                </c:pt>
                <c:pt idx="12">
                  <c:v>32.805456931852625</c:v>
                </c:pt>
                <c:pt idx="13">
                  <c:v>32.410210462794161</c:v>
                </c:pt>
                <c:pt idx="14">
                  <c:v>32.014963993735698</c:v>
                </c:pt>
                <c:pt idx="15" formatCode="0.00">
                  <c:v>31.619717524677224</c:v>
                </c:pt>
                <c:pt idx="16">
                  <c:v>31.066372467995372</c:v>
                </c:pt>
                <c:pt idx="17">
                  <c:v>30.513027411313519</c:v>
                </c:pt>
                <c:pt idx="18">
                  <c:v>29.959682354631667</c:v>
                </c:pt>
                <c:pt idx="19">
                  <c:v>29.406337297949815</c:v>
                </c:pt>
                <c:pt idx="20" formatCode="0.00">
                  <c:v>28.852992241267966</c:v>
                </c:pt>
                <c:pt idx="21">
                  <c:v>28.088849067754932</c:v>
                </c:pt>
                <c:pt idx="22">
                  <c:v>27.324705894241898</c:v>
                </c:pt>
                <c:pt idx="23">
                  <c:v>26.560562720728864</c:v>
                </c:pt>
                <c:pt idx="24">
                  <c:v>25.79641954721583</c:v>
                </c:pt>
                <c:pt idx="25" formatCode="0.00">
                  <c:v>25.0322763737028</c:v>
                </c:pt>
                <c:pt idx="26">
                  <c:v>24.452581552417051</c:v>
                </c:pt>
                <c:pt idx="27">
                  <c:v>23.872886731131302</c:v>
                </c:pt>
                <c:pt idx="28">
                  <c:v>23.293191909845554</c:v>
                </c:pt>
                <c:pt idx="29">
                  <c:v>22.713497088559805</c:v>
                </c:pt>
                <c:pt idx="30" formatCode="0.00">
                  <c:v>22.133802267274053</c:v>
                </c:pt>
                <c:pt idx="31">
                  <c:v>21.791255327423382</c:v>
                </c:pt>
                <c:pt idx="32">
                  <c:v>21.448708387572712</c:v>
                </c:pt>
                <c:pt idx="33">
                  <c:v>21.106161447722041</c:v>
                </c:pt>
                <c:pt idx="34">
                  <c:v>20.76361450787137</c:v>
                </c:pt>
                <c:pt idx="35" formatCode="0.00">
                  <c:v>20.421067568020703</c:v>
                </c:pt>
                <c:pt idx="36">
                  <c:v>20.264260803956788</c:v>
                </c:pt>
                <c:pt idx="37">
                  <c:v>20.107454039892872</c:v>
                </c:pt>
                <c:pt idx="38">
                  <c:v>19.950647275828956</c:v>
                </c:pt>
                <c:pt idx="39">
                  <c:v>19.79384051176504</c:v>
                </c:pt>
                <c:pt idx="40" formatCode="0.00">
                  <c:v>19.637033747701125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02-4502-9F67-4E8DADD8E1E6}"/>
            </c:ext>
          </c:extLst>
        </c:ser>
        <c:ser>
          <c:idx val="8"/>
          <c:order val="8"/>
          <c:tx>
            <c:strRef>
              <c:f>高情景!$B$10</c:f>
              <c:strCache>
                <c:ptCount val="1"/>
                <c:pt idx="0">
                  <c:v>原油加工量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高情景!$E$10:$AS$10</c:f>
              <c:numCache>
                <c:formatCode>0</c:formatCode>
                <c:ptCount val="41"/>
                <c:pt idx="0" formatCode="0.00">
                  <c:v>6.7441000000000004</c:v>
                </c:pt>
                <c:pt idx="1">
                  <c:v>7</c:v>
                </c:pt>
                <c:pt idx="2" formatCode="0.00">
                  <c:v>6.7590000000000003</c:v>
                </c:pt>
                <c:pt idx="3">
                  <c:v>6.8941447831184055</c:v>
                </c:pt>
                <c:pt idx="4">
                  <c:v>7.0292895662368107</c:v>
                </c:pt>
                <c:pt idx="5" formatCode="0.00">
                  <c:v>7.1644343493552158</c:v>
                </c:pt>
                <c:pt idx="6">
                  <c:v>7.184243845252051</c:v>
                </c:pt>
                <c:pt idx="7">
                  <c:v>7.2040533411488861</c:v>
                </c:pt>
                <c:pt idx="8">
                  <c:v>7.2238628370457212</c:v>
                </c:pt>
                <c:pt idx="9">
                  <c:v>7.2436723329425563</c:v>
                </c:pt>
                <c:pt idx="10" formatCode="0.00">
                  <c:v>7.2634818288393896</c:v>
                </c:pt>
                <c:pt idx="11">
                  <c:v>7.3163071512309488</c:v>
                </c:pt>
                <c:pt idx="12">
                  <c:v>7.3691324736225079</c:v>
                </c:pt>
                <c:pt idx="13">
                  <c:v>7.421957796014067</c:v>
                </c:pt>
                <c:pt idx="14">
                  <c:v>7.4747831184056261</c:v>
                </c:pt>
                <c:pt idx="15" formatCode="0.00">
                  <c:v>7.5276084407971844</c:v>
                </c:pt>
                <c:pt idx="16">
                  <c:v>7.5408147713950742</c:v>
                </c:pt>
                <c:pt idx="17">
                  <c:v>7.5540211019929639</c:v>
                </c:pt>
                <c:pt idx="18">
                  <c:v>7.5672274325908537</c:v>
                </c:pt>
                <c:pt idx="19">
                  <c:v>7.5804337631887435</c:v>
                </c:pt>
                <c:pt idx="20" formatCode="0.00">
                  <c:v>7.5936400937866333</c:v>
                </c:pt>
                <c:pt idx="21">
                  <c:v>7.5276084407971844</c:v>
                </c:pt>
                <c:pt idx="22">
                  <c:v>7.4615767878077355</c:v>
                </c:pt>
                <c:pt idx="23">
                  <c:v>7.3955451348182866</c:v>
                </c:pt>
                <c:pt idx="24">
                  <c:v>7.3295134818288377</c:v>
                </c:pt>
                <c:pt idx="25" formatCode="0.00">
                  <c:v>7.2634818288393896</c:v>
                </c:pt>
                <c:pt idx="26">
                  <c:v>7.1974501758499407</c:v>
                </c:pt>
                <c:pt idx="27">
                  <c:v>7.1314185228604918</c:v>
                </c:pt>
                <c:pt idx="28">
                  <c:v>7.0653868698710429</c:v>
                </c:pt>
                <c:pt idx="29">
                  <c:v>6.999355216881594</c:v>
                </c:pt>
                <c:pt idx="30" formatCode="0.00">
                  <c:v>6.9333235638921442</c:v>
                </c:pt>
                <c:pt idx="31">
                  <c:v>6.8342760844079704</c:v>
                </c:pt>
                <c:pt idx="32">
                  <c:v>6.7352286049237966</c:v>
                </c:pt>
                <c:pt idx="33">
                  <c:v>6.6361811254396228</c:v>
                </c:pt>
                <c:pt idx="34">
                  <c:v>6.537133645955449</c:v>
                </c:pt>
                <c:pt idx="35" formatCode="0.00">
                  <c:v>6.4380861664712761</c:v>
                </c:pt>
                <c:pt idx="36">
                  <c:v>6.3984671746776067</c:v>
                </c:pt>
                <c:pt idx="37">
                  <c:v>6.3588481828839374</c:v>
                </c:pt>
                <c:pt idx="38">
                  <c:v>6.319229191090268</c:v>
                </c:pt>
                <c:pt idx="39">
                  <c:v>6.2796101992965987</c:v>
                </c:pt>
                <c:pt idx="40" formatCode="0.00">
                  <c:v>6.2399912075029293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02-4502-9F67-4E8DADD8E1E6}"/>
            </c:ext>
          </c:extLst>
        </c:ser>
        <c:ser>
          <c:idx val="10"/>
          <c:order val="10"/>
          <c:tx>
            <c:strRef>
              <c:f>高情景!$B$12</c:f>
              <c:strCache>
                <c:ptCount val="1"/>
                <c:pt idx="0">
                  <c:v>烧碱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高情景!$E$12:$AS$12</c:f>
              <c:numCache>
                <c:formatCode>0</c:formatCode>
                <c:ptCount val="41"/>
                <c:pt idx="0">
                  <c:v>3673.87</c:v>
                </c:pt>
                <c:pt idx="1">
                  <c:v>3891.31</c:v>
                </c:pt>
                <c:pt idx="2">
                  <c:v>3463.08</c:v>
                </c:pt>
                <c:pt idx="3">
                  <c:v>3842.0533333333333</c:v>
                </c:pt>
                <c:pt idx="4">
                  <c:v>4221.0266666666666</c:v>
                </c:pt>
                <c:pt idx="5" formatCode="General">
                  <c:v>4600</c:v>
                </c:pt>
                <c:pt idx="6">
                  <c:v>4800</c:v>
                </c:pt>
                <c:pt idx="7">
                  <c:v>5000</c:v>
                </c:pt>
                <c:pt idx="8">
                  <c:v>5200</c:v>
                </c:pt>
                <c:pt idx="9">
                  <c:v>5400</c:v>
                </c:pt>
                <c:pt idx="10" formatCode="General">
                  <c:v>5600</c:v>
                </c:pt>
                <c:pt idx="11">
                  <c:v>5720</c:v>
                </c:pt>
                <c:pt idx="12">
                  <c:v>5840</c:v>
                </c:pt>
                <c:pt idx="13">
                  <c:v>5960</c:v>
                </c:pt>
                <c:pt idx="14">
                  <c:v>6080</c:v>
                </c:pt>
                <c:pt idx="15" formatCode="General">
                  <c:v>6200</c:v>
                </c:pt>
                <c:pt idx="16">
                  <c:v>6260</c:v>
                </c:pt>
                <c:pt idx="17">
                  <c:v>6320</c:v>
                </c:pt>
                <c:pt idx="18">
                  <c:v>6380</c:v>
                </c:pt>
                <c:pt idx="19">
                  <c:v>6440</c:v>
                </c:pt>
                <c:pt idx="20" formatCode="General">
                  <c:v>6500</c:v>
                </c:pt>
                <c:pt idx="21">
                  <c:v>6520</c:v>
                </c:pt>
                <c:pt idx="22">
                  <c:v>6540</c:v>
                </c:pt>
                <c:pt idx="23">
                  <c:v>6560</c:v>
                </c:pt>
                <c:pt idx="24">
                  <c:v>6580</c:v>
                </c:pt>
                <c:pt idx="25" formatCode="General">
                  <c:v>6600</c:v>
                </c:pt>
                <c:pt idx="26">
                  <c:v>6580</c:v>
                </c:pt>
                <c:pt idx="27">
                  <c:v>6560</c:v>
                </c:pt>
                <c:pt idx="28">
                  <c:v>6540</c:v>
                </c:pt>
                <c:pt idx="29">
                  <c:v>6520</c:v>
                </c:pt>
                <c:pt idx="30" formatCode="General">
                  <c:v>6500</c:v>
                </c:pt>
                <c:pt idx="31">
                  <c:v>6440</c:v>
                </c:pt>
                <c:pt idx="32">
                  <c:v>6380</c:v>
                </c:pt>
                <c:pt idx="33">
                  <c:v>6320</c:v>
                </c:pt>
                <c:pt idx="34">
                  <c:v>6260</c:v>
                </c:pt>
                <c:pt idx="35" formatCode="General">
                  <c:v>6200</c:v>
                </c:pt>
                <c:pt idx="36">
                  <c:v>6120</c:v>
                </c:pt>
                <c:pt idx="37">
                  <c:v>6040</c:v>
                </c:pt>
                <c:pt idx="38">
                  <c:v>5960</c:v>
                </c:pt>
                <c:pt idx="39">
                  <c:v>5880</c:v>
                </c:pt>
                <c:pt idx="40" formatCode="General">
                  <c:v>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02-4502-9F67-4E8DADD8E1E6}"/>
            </c:ext>
          </c:extLst>
        </c:ser>
        <c:ser>
          <c:idx val="11"/>
          <c:order val="11"/>
          <c:tx>
            <c:strRef>
              <c:f>高情景!$B$13</c:f>
              <c:strCache>
                <c:ptCount val="1"/>
                <c:pt idx="0">
                  <c:v>纯碱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高情景!$E$13:$AS$13</c:f>
              <c:numCache>
                <c:formatCode>0</c:formatCode>
                <c:ptCount val="41"/>
                <c:pt idx="0">
                  <c:v>2812.37</c:v>
                </c:pt>
                <c:pt idx="1">
                  <c:v>2913.25</c:v>
                </c:pt>
                <c:pt idx="2">
                  <c:v>2920.2</c:v>
                </c:pt>
                <c:pt idx="3">
                  <c:v>3146.7999999999997</c:v>
                </c:pt>
                <c:pt idx="4">
                  <c:v>3373.3999999999996</c:v>
                </c:pt>
                <c:pt idx="5" formatCode="General">
                  <c:v>3600</c:v>
                </c:pt>
                <c:pt idx="6">
                  <c:v>3760</c:v>
                </c:pt>
                <c:pt idx="7">
                  <c:v>3920</c:v>
                </c:pt>
                <c:pt idx="8">
                  <c:v>4080</c:v>
                </c:pt>
                <c:pt idx="9">
                  <c:v>4240</c:v>
                </c:pt>
                <c:pt idx="10" formatCode="General">
                  <c:v>4400</c:v>
                </c:pt>
                <c:pt idx="11">
                  <c:v>4480</c:v>
                </c:pt>
                <c:pt idx="12">
                  <c:v>4560</c:v>
                </c:pt>
                <c:pt idx="13">
                  <c:v>4640</c:v>
                </c:pt>
                <c:pt idx="14">
                  <c:v>4720</c:v>
                </c:pt>
                <c:pt idx="15" formatCode="General">
                  <c:v>4800</c:v>
                </c:pt>
                <c:pt idx="16">
                  <c:v>4820</c:v>
                </c:pt>
                <c:pt idx="17">
                  <c:v>4840</c:v>
                </c:pt>
                <c:pt idx="18">
                  <c:v>4860</c:v>
                </c:pt>
                <c:pt idx="19">
                  <c:v>4880</c:v>
                </c:pt>
                <c:pt idx="20" formatCode="General">
                  <c:v>4900</c:v>
                </c:pt>
                <c:pt idx="21">
                  <c:v>4890</c:v>
                </c:pt>
                <c:pt idx="22">
                  <c:v>4880</c:v>
                </c:pt>
                <c:pt idx="23">
                  <c:v>4870</c:v>
                </c:pt>
                <c:pt idx="24">
                  <c:v>4860</c:v>
                </c:pt>
                <c:pt idx="25" formatCode="General">
                  <c:v>4850</c:v>
                </c:pt>
                <c:pt idx="26">
                  <c:v>4820</c:v>
                </c:pt>
                <c:pt idx="27">
                  <c:v>4790</c:v>
                </c:pt>
                <c:pt idx="28">
                  <c:v>4760</c:v>
                </c:pt>
                <c:pt idx="29">
                  <c:v>4730</c:v>
                </c:pt>
                <c:pt idx="30" formatCode="General">
                  <c:v>4700</c:v>
                </c:pt>
                <c:pt idx="31">
                  <c:v>4660</c:v>
                </c:pt>
                <c:pt idx="32">
                  <c:v>4620</c:v>
                </c:pt>
                <c:pt idx="33">
                  <c:v>4580</c:v>
                </c:pt>
                <c:pt idx="34">
                  <c:v>4540</c:v>
                </c:pt>
                <c:pt idx="35" formatCode="General">
                  <c:v>4500</c:v>
                </c:pt>
                <c:pt idx="36">
                  <c:v>4440</c:v>
                </c:pt>
                <c:pt idx="37">
                  <c:v>4380</c:v>
                </c:pt>
                <c:pt idx="38">
                  <c:v>4320</c:v>
                </c:pt>
                <c:pt idx="39">
                  <c:v>4260</c:v>
                </c:pt>
                <c:pt idx="40" formatCode="General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402-4502-9F67-4E8DADD8E1E6}"/>
            </c:ext>
          </c:extLst>
        </c:ser>
        <c:ser>
          <c:idx val="12"/>
          <c:order val="12"/>
          <c:tx>
            <c:strRef>
              <c:f>高情景!$B$14</c:f>
              <c:strCache>
                <c:ptCount val="1"/>
                <c:pt idx="0">
                  <c:v>乙烯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高情景!$E$14:$AS$14</c:f>
              <c:numCache>
                <c:formatCode>0</c:formatCode>
                <c:ptCount val="41"/>
                <c:pt idx="0">
                  <c:v>2159.96</c:v>
                </c:pt>
                <c:pt idx="1">
                  <c:v>2825.67</c:v>
                </c:pt>
                <c:pt idx="2">
                  <c:v>2897.51</c:v>
                </c:pt>
                <c:pt idx="3">
                  <c:v>3398.34</c:v>
                </c:pt>
                <c:pt idx="4">
                  <c:v>3899.17</c:v>
                </c:pt>
                <c:pt idx="5" formatCode="General">
                  <c:v>4400</c:v>
                </c:pt>
                <c:pt idx="6">
                  <c:v>4600</c:v>
                </c:pt>
                <c:pt idx="7">
                  <c:v>4800</c:v>
                </c:pt>
                <c:pt idx="8">
                  <c:v>5000</c:v>
                </c:pt>
                <c:pt idx="9">
                  <c:v>5200</c:v>
                </c:pt>
                <c:pt idx="10" formatCode="General">
                  <c:v>5400</c:v>
                </c:pt>
                <c:pt idx="11">
                  <c:v>5520</c:v>
                </c:pt>
                <c:pt idx="12">
                  <c:v>5640</c:v>
                </c:pt>
                <c:pt idx="13">
                  <c:v>5760</c:v>
                </c:pt>
                <c:pt idx="14">
                  <c:v>5880</c:v>
                </c:pt>
                <c:pt idx="15" formatCode="General">
                  <c:v>6000</c:v>
                </c:pt>
                <c:pt idx="16">
                  <c:v>6060</c:v>
                </c:pt>
                <c:pt idx="17">
                  <c:v>6120</c:v>
                </c:pt>
                <c:pt idx="18">
                  <c:v>6180</c:v>
                </c:pt>
                <c:pt idx="19">
                  <c:v>6240</c:v>
                </c:pt>
                <c:pt idx="20" formatCode="General">
                  <c:v>6300</c:v>
                </c:pt>
                <c:pt idx="21">
                  <c:v>6320</c:v>
                </c:pt>
                <c:pt idx="22">
                  <c:v>6340</c:v>
                </c:pt>
                <c:pt idx="23">
                  <c:v>6360</c:v>
                </c:pt>
                <c:pt idx="24">
                  <c:v>6380</c:v>
                </c:pt>
                <c:pt idx="25" formatCode="General">
                  <c:v>6400</c:v>
                </c:pt>
                <c:pt idx="26">
                  <c:v>6360</c:v>
                </c:pt>
                <c:pt idx="27">
                  <c:v>6320</c:v>
                </c:pt>
                <c:pt idx="28">
                  <c:v>6280</c:v>
                </c:pt>
                <c:pt idx="29">
                  <c:v>6240</c:v>
                </c:pt>
                <c:pt idx="30" formatCode="General">
                  <c:v>6200</c:v>
                </c:pt>
                <c:pt idx="31">
                  <c:v>6140</c:v>
                </c:pt>
                <c:pt idx="32">
                  <c:v>6080</c:v>
                </c:pt>
                <c:pt idx="33">
                  <c:v>6020</c:v>
                </c:pt>
                <c:pt idx="34">
                  <c:v>5960</c:v>
                </c:pt>
                <c:pt idx="35" formatCode="General">
                  <c:v>5900</c:v>
                </c:pt>
                <c:pt idx="36">
                  <c:v>5850</c:v>
                </c:pt>
                <c:pt idx="37">
                  <c:v>5800</c:v>
                </c:pt>
                <c:pt idx="38">
                  <c:v>5750</c:v>
                </c:pt>
                <c:pt idx="39">
                  <c:v>5700</c:v>
                </c:pt>
                <c:pt idx="40" formatCode="General">
                  <c:v>5650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02-4502-9F67-4E8DADD8E1E6}"/>
            </c:ext>
          </c:extLst>
        </c:ser>
        <c:ser>
          <c:idx val="13"/>
          <c:order val="13"/>
          <c:tx>
            <c:strRef>
              <c:f>高情景!$B$15</c:f>
              <c:strCache>
                <c:ptCount val="1"/>
                <c:pt idx="0">
                  <c:v>合成氨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高情景!$E$15:$AS$15</c:f>
              <c:numCache>
                <c:formatCode>0</c:formatCode>
                <c:ptCount val="41"/>
                <c:pt idx="0">
                  <c:v>5117.13</c:v>
                </c:pt>
                <c:pt idx="1">
                  <c:v>5189.38</c:v>
                </c:pt>
                <c:pt idx="2">
                  <c:v>5321.01</c:v>
                </c:pt>
                <c:pt idx="3">
                  <c:v>5647.34</c:v>
                </c:pt>
                <c:pt idx="4">
                  <c:v>5973.67</c:v>
                </c:pt>
                <c:pt idx="5" formatCode="General">
                  <c:v>6300</c:v>
                </c:pt>
                <c:pt idx="6">
                  <c:v>6480</c:v>
                </c:pt>
                <c:pt idx="7">
                  <c:v>6660</c:v>
                </c:pt>
                <c:pt idx="8">
                  <c:v>6840</c:v>
                </c:pt>
                <c:pt idx="9">
                  <c:v>7020</c:v>
                </c:pt>
                <c:pt idx="10" formatCode="General">
                  <c:v>7200</c:v>
                </c:pt>
                <c:pt idx="11">
                  <c:v>7300</c:v>
                </c:pt>
                <c:pt idx="12">
                  <c:v>7400</c:v>
                </c:pt>
                <c:pt idx="13">
                  <c:v>7500</c:v>
                </c:pt>
                <c:pt idx="14">
                  <c:v>7600</c:v>
                </c:pt>
                <c:pt idx="15" formatCode="General">
                  <c:v>7700</c:v>
                </c:pt>
                <c:pt idx="16">
                  <c:v>7760</c:v>
                </c:pt>
                <c:pt idx="17">
                  <c:v>7820</c:v>
                </c:pt>
                <c:pt idx="18">
                  <c:v>7880</c:v>
                </c:pt>
                <c:pt idx="19">
                  <c:v>7940</c:v>
                </c:pt>
                <c:pt idx="20" formatCode="General">
                  <c:v>8000</c:v>
                </c:pt>
                <c:pt idx="21">
                  <c:v>8040</c:v>
                </c:pt>
                <c:pt idx="22">
                  <c:v>8080</c:v>
                </c:pt>
                <c:pt idx="23">
                  <c:v>8120</c:v>
                </c:pt>
                <c:pt idx="24">
                  <c:v>8160</c:v>
                </c:pt>
                <c:pt idx="25" formatCode="General">
                  <c:v>8200</c:v>
                </c:pt>
                <c:pt idx="26">
                  <c:v>8240</c:v>
                </c:pt>
                <c:pt idx="27">
                  <c:v>8280</c:v>
                </c:pt>
                <c:pt idx="28">
                  <c:v>8320</c:v>
                </c:pt>
                <c:pt idx="29">
                  <c:v>8360</c:v>
                </c:pt>
                <c:pt idx="30" formatCode="General">
                  <c:v>8400</c:v>
                </c:pt>
                <c:pt idx="31">
                  <c:v>8420</c:v>
                </c:pt>
                <c:pt idx="32">
                  <c:v>8440</c:v>
                </c:pt>
                <c:pt idx="33">
                  <c:v>8460</c:v>
                </c:pt>
                <c:pt idx="34">
                  <c:v>8480</c:v>
                </c:pt>
                <c:pt idx="35" formatCode="General">
                  <c:v>8500</c:v>
                </c:pt>
                <c:pt idx="36">
                  <c:v>8520</c:v>
                </c:pt>
                <c:pt idx="37">
                  <c:v>8540</c:v>
                </c:pt>
                <c:pt idx="38">
                  <c:v>8560</c:v>
                </c:pt>
                <c:pt idx="39">
                  <c:v>8580</c:v>
                </c:pt>
                <c:pt idx="40" formatCode="General">
                  <c:v>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02-4502-9F67-4E8DADD8E1E6}"/>
            </c:ext>
          </c:extLst>
        </c:ser>
        <c:ser>
          <c:idx val="19"/>
          <c:order val="19"/>
          <c:tx>
            <c:strRef>
              <c:f>高情景!$B$21</c:f>
              <c:strCache>
                <c:ptCount val="1"/>
                <c:pt idx="0">
                  <c:v>汽车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高情景!$E$1:$AS$1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">
                  <c:v>2026</c:v>
                </c:pt>
                <c:pt idx="7" formatCode="0">
                  <c:v>2027</c:v>
                </c:pt>
                <c:pt idx="8" formatCode="0">
                  <c:v>2028</c:v>
                </c:pt>
                <c:pt idx="9" formatCode="0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高情景!$E$21:$AS$21</c:f>
              <c:numCache>
                <c:formatCode>0</c:formatCode>
                <c:ptCount val="41"/>
                <c:pt idx="0" formatCode="General">
                  <c:v>2532.4899999999998</c:v>
                </c:pt>
                <c:pt idx="1">
                  <c:v>2625.7</c:v>
                </c:pt>
                <c:pt idx="2">
                  <c:v>2713.63</c:v>
                </c:pt>
                <c:pt idx="3">
                  <c:v>2948.7071666666666</c:v>
                </c:pt>
                <c:pt idx="4">
                  <c:v>3183.7843333333331</c:v>
                </c:pt>
                <c:pt idx="5" formatCode="0.0">
                  <c:v>3418.8615</c:v>
                </c:pt>
                <c:pt idx="6">
                  <c:v>3520.1610999999998</c:v>
                </c:pt>
                <c:pt idx="7">
                  <c:v>3621.4606999999996</c:v>
                </c:pt>
                <c:pt idx="8">
                  <c:v>3722.7602999999995</c:v>
                </c:pt>
                <c:pt idx="9">
                  <c:v>3824.0598999999993</c:v>
                </c:pt>
                <c:pt idx="10" formatCode="0.0">
                  <c:v>3925.3595</c:v>
                </c:pt>
                <c:pt idx="11">
                  <c:v>3976.0092999999997</c:v>
                </c:pt>
                <c:pt idx="12">
                  <c:v>4026.6590999999994</c:v>
                </c:pt>
                <c:pt idx="13">
                  <c:v>4077.3088999999991</c:v>
                </c:pt>
                <c:pt idx="14">
                  <c:v>4127.9586999999992</c:v>
                </c:pt>
                <c:pt idx="15" formatCode="0.0">
                  <c:v>4178.6084999999994</c:v>
                </c:pt>
                <c:pt idx="16">
                  <c:v>4165.9460499999996</c:v>
                </c:pt>
                <c:pt idx="17">
                  <c:v>4153.2835999999998</c:v>
                </c:pt>
                <c:pt idx="18">
                  <c:v>4140.6211499999999</c:v>
                </c:pt>
                <c:pt idx="19">
                  <c:v>4127.9587000000001</c:v>
                </c:pt>
                <c:pt idx="20" formatCode="0.0">
                  <c:v>4115.2962499999994</c:v>
                </c:pt>
                <c:pt idx="21">
                  <c:v>4102.6337999999996</c:v>
                </c:pt>
                <c:pt idx="22">
                  <c:v>4089.9713499999998</c:v>
                </c:pt>
                <c:pt idx="23">
                  <c:v>4077.3089</c:v>
                </c:pt>
                <c:pt idx="24">
                  <c:v>4064.6464500000002</c:v>
                </c:pt>
                <c:pt idx="25" formatCode="0.0">
                  <c:v>4051.9839999999995</c:v>
                </c:pt>
                <c:pt idx="26">
                  <c:v>4039.3215499999997</c:v>
                </c:pt>
                <c:pt idx="27">
                  <c:v>4026.6590999999999</c:v>
                </c:pt>
                <c:pt idx="28">
                  <c:v>4013.99665</c:v>
                </c:pt>
                <c:pt idx="29">
                  <c:v>4001.3342000000002</c:v>
                </c:pt>
                <c:pt idx="30" formatCode="0.0">
                  <c:v>3988.6717499999995</c:v>
                </c:pt>
                <c:pt idx="31">
                  <c:v>3983.6067699999994</c:v>
                </c:pt>
                <c:pt idx="32">
                  <c:v>3978.5417899999993</c:v>
                </c:pt>
                <c:pt idx="33">
                  <c:v>3973.4768099999992</c:v>
                </c:pt>
                <c:pt idx="34">
                  <c:v>3968.4118299999991</c:v>
                </c:pt>
                <c:pt idx="35" formatCode="0.0">
                  <c:v>3963.3468499999994</c:v>
                </c:pt>
                <c:pt idx="36">
                  <c:v>3955.7493799999993</c:v>
                </c:pt>
                <c:pt idx="37">
                  <c:v>3948.1519099999991</c:v>
                </c:pt>
                <c:pt idx="38">
                  <c:v>3940.554439999999</c:v>
                </c:pt>
                <c:pt idx="39">
                  <c:v>3932.9569699999988</c:v>
                </c:pt>
                <c:pt idx="40" formatCode="0.0">
                  <c:v>3925.3594999999996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402-4502-9F67-4E8DADD8E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347583"/>
        <c:axId val="481349023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高情景!$B$4</c15:sqref>
                        </c15:formulaRef>
                      </c:ext>
                    </c:extLst>
                    <c:strCache>
                      <c:ptCount val="1"/>
                      <c:pt idx="0">
                        <c:v>天然气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高情景!$E$1:$AS$1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 formatCode="0">
                        <c:v>2026</c:v>
                      </c:pt>
                      <c:pt idx="7" formatCode="0">
                        <c:v>2027</c:v>
                      </c:pt>
                      <c:pt idx="8" formatCode="0">
                        <c:v>2028</c:v>
                      </c:pt>
                      <c:pt idx="9" formatCode="0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  <c:pt idx="31">
                        <c:v>2051</c:v>
                      </c:pt>
                      <c:pt idx="32">
                        <c:v>2052</c:v>
                      </c:pt>
                      <c:pt idx="33">
                        <c:v>2053</c:v>
                      </c:pt>
                      <c:pt idx="34">
                        <c:v>2054</c:v>
                      </c:pt>
                      <c:pt idx="35">
                        <c:v>2055</c:v>
                      </c:pt>
                      <c:pt idx="36">
                        <c:v>2056</c:v>
                      </c:pt>
                      <c:pt idx="37">
                        <c:v>2057</c:v>
                      </c:pt>
                      <c:pt idx="38">
                        <c:v>2058</c:v>
                      </c:pt>
                      <c:pt idx="39">
                        <c:v>2059</c:v>
                      </c:pt>
                      <c:pt idx="40">
                        <c:v>2060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高情景!$E$4:$AS$4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0">
                        <c:v>1924.95</c:v>
                      </c:pt>
                      <c:pt idx="1">
                        <c:v>2075.84</c:v>
                      </c:pt>
                      <c:pt idx="2">
                        <c:v>2201.1</c:v>
                      </c:pt>
                      <c:pt idx="3">
                        <c:v>2298.4</c:v>
                      </c:pt>
                      <c:pt idx="4">
                        <c:v>2395.7000000000003</c:v>
                      </c:pt>
                      <c:pt idx="5" formatCode="General">
                        <c:v>2493</c:v>
                      </c:pt>
                      <c:pt idx="6">
                        <c:v>2554.4</c:v>
                      </c:pt>
                      <c:pt idx="7">
                        <c:v>2615.8000000000002</c:v>
                      </c:pt>
                      <c:pt idx="8">
                        <c:v>2677.2000000000003</c:v>
                      </c:pt>
                      <c:pt idx="9">
                        <c:v>2738.6000000000004</c:v>
                      </c:pt>
                      <c:pt idx="10" formatCode="General">
                        <c:v>2800</c:v>
                      </c:pt>
                      <c:pt idx="11">
                        <c:v>2840</c:v>
                      </c:pt>
                      <c:pt idx="12">
                        <c:v>2880</c:v>
                      </c:pt>
                      <c:pt idx="13">
                        <c:v>2920</c:v>
                      </c:pt>
                      <c:pt idx="14">
                        <c:v>2960</c:v>
                      </c:pt>
                      <c:pt idx="15" formatCode="General">
                        <c:v>3000</c:v>
                      </c:pt>
                      <c:pt idx="16">
                        <c:v>3040</c:v>
                      </c:pt>
                      <c:pt idx="17">
                        <c:v>3080</c:v>
                      </c:pt>
                      <c:pt idx="18">
                        <c:v>3120</c:v>
                      </c:pt>
                      <c:pt idx="19">
                        <c:v>3160</c:v>
                      </c:pt>
                      <c:pt idx="20" formatCode="General">
                        <c:v>3200</c:v>
                      </c:pt>
                      <c:pt idx="21">
                        <c:v>3220</c:v>
                      </c:pt>
                      <c:pt idx="22">
                        <c:v>3240</c:v>
                      </c:pt>
                      <c:pt idx="23">
                        <c:v>3260</c:v>
                      </c:pt>
                      <c:pt idx="24">
                        <c:v>3280</c:v>
                      </c:pt>
                      <c:pt idx="25" formatCode="General">
                        <c:v>3300</c:v>
                      </c:pt>
                      <c:pt idx="26">
                        <c:v>3320</c:v>
                      </c:pt>
                      <c:pt idx="27">
                        <c:v>3340</c:v>
                      </c:pt>
                      <c:pt idx="28">
                        <c:v>3360</c:v>
                      </c:pt>
                      <c:pt idx="29">
                        <c:v>3380</c:v>
                      </c:pt>
                      <c:pt idx="30" formatCode="General">
                        <c:v>3400</c:v>
                      </c:pt>
                      <c:pt idx="31">
                        <c:v>3420</c:v>
                      </c:pt>
                      <c:pt idx="32">
                        <c:v>3440</c:v>
                      </c:pt>
                      <c:pt idx="33">
                        <c:v>3460</c:v>
                      </c:pt>
                      <c:pt idx="34">
                        <c:v>3480</c:v>
                      </c:pt>
                      <c:pt idx="35" formatCode="General">
                        <c:v>3500</c:v>
                      </c:pt>
                      <c:pt idx="36">
                        <c:v>3500</c:v>
                      </c:pt>
                      <c:pt idx="37">
                        <c:v>3500</c:v>
                      </c:pt>
                      <c:pt idx="38">
                        <c:v>3500</c:v>
                      </c:pt>
                      <c:pt idx="39">
                        <c:v>3500</c:v>
                      </c:pt>
                      <c:pt idx="40" formatCode="General">
                        <c:v>3500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402-4502-9F67-4E8DADD8E1E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高情景!$B$7</c15:sqref>
                        </c15:formulaRef>
                      </c:ext>
                    </c:extLst>
                    <c:strCache>
                      <c:ptCount val="1"/>
                      <c:pt idx="0">
                        <c:v>铝土矿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高情景!$E$1:$AS$1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 formatCode="0">
                        <c:v>2026</c:v>
                      </c:pt>
                      <c:pt idx="7" formatCode="0">
                        <c:v>2027</c:v>
                      </c:pt>
                      <c:pt idx="8" formatCode="0">
                        <c:v>2028</c:v>
                      </c:pt>
                      <c:pt idx="9" formatCode="0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  <c:pt idx="31">
                        <c:v>2051</c:v>
                      </c:pt>
                      <c:pt idx="32">
                        <c:v>2052</c:v>
                      </c:pt>
                      <c:pt idx="33">
                        <c:v>2053</c:v>
                      </c:pt>
                      <c:pt idx="34">
                        <c:v>2054</c:v>
                      </c:pt>
                      <c:pt idx="35">
                        <c:v>2055</c:v>
                      </c:pt>
                      <c:pt idx="36">
                        <c:v>2056</c:v>
                      </c:pt>
                      <c:pt idx="37">
                        <c:v>2057</c:v>
                      </c:pt>
                      <c:pt idx="38">
                        <c:v>2058</c:v>
                      </c:pt>
                      <c:pt idx="39">
                        <c:v>2059</c:v>
                      </c:pt>
                      <c:pt idx="40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高情景!$E$7:$AS$7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0" formatCode="General">
                        <c:v>9269</c:v>
                      </c:pt>
                      <c:pt idx="1">
                        <c:v>8500</c:v>
                      </c:pt>
                      <c:pt idx="2">
                        <c:v>9000</c:v>
                      </c:pt>
                      <c:pt idx="3">
                        <c:v>9736.5205022879964</c:v>
                      </c:pt>
                      <c:pt idx="4">
                        <c:v>10473.041004575993</c:v>
                      </c:pt>
                      <c:pt idx="5">
                        <c:v>11209.561506863989</c:v>
                      </c:pt>
                      <c:pt idx="6">
                        <c:v>11792.458705220917</c:v>
                      </c:pt>
                      <c:pt idx="7">
                        <c:v>12375.355903577845</c:v>
                      </c:pt>
                      <c:pt idx="8">
                        <c:v>12958.253101934773</c:v>
                      </c:pt>
                      <c:pt idx="9">
                        <c:v>13541.150300291702</c:v>
                      </c:pt>
                      <c:pt idx="10">
                        <c:v>14124.047498648626</c:v>
                      </c:pt>
                      <c:pt idx="11">
                        <c:v>14437.915220840818</c:v>
                      </c:pt>
                      <c:pt idx="12">
                        <c:v>14751.782943033009</c:v>
                      </c:pt>
                      <c:pt idx="13">
                        <c:v>15065.650665225201</c:v>
                      </c:pt>
                      <c:pt idx="14">
                        <c:v>15379.518387417393</c:v>
                      </c:pt>
                      <c:pt idx="15">
                        <c:v>15693.386109609584</c:v>
                      </c:pt>
                      <c:pt idx="16">
                        <c:v>15783.062601664496</c:v>
                      </c:pt>
                      <c:pt idx="17">
                        <c:v>15872.739093719409</c:v>
                      </c:pt>
                      <c:pt idx="18">
                        <c:v>15962.415585774321</c:v>
                      </c:pt>
                      <c:pt idx="19">
                        <c:v>16052.092077829233</c:v>
                      </c:pt>
                      <c:pt idx="20">
                        <c:v>16141.768569884141</c:v>
                      </c:pt>
                      <c:pt idx="21">
                        <c:v>16096.930323856686</c:v>
                      </c:pt>
                      <c:pt idx="22">
                        <c:v>16052.092077829231</c:v>
                      </c:pt>
                      <c:pt idx="23">
                        <c:v>16007.253831801776</c:v>
                      </c:pt>
                      <c:pt idx="24">
                        <c:v>15962.415585774321</c:v>
                      </c:pt>
                      <c:pt idx="25">
                        <c:v>15917.577339746862</c:v>
                      </c:pt>
                      <c:pt idx="26">
                        <c:v>15693.386109609582</c:v>
                      </c:pt>
                      <c:pt idx="27">
                        <c:v>15469.194879472303</c:v>
                      </c:pt>
                      <c:pt idx="28">
                        <c:v>15245.003649335024</c:v>
                      </c:pt>
                      <c:pt idx="29">
                        <c:v>15020.812419197744</c:v>
                      </c:pt>
                      <c:pt idx="30">
                        <c:v>14796.621189060463</c:v>
                      </c:pt>
                      <c:pt idx="31">
                        <c:v>14437.915220840816</c:v>
                      </c:pt>
                      <c:pt idx="32">
                        <c:v>14079.209252621169</c:v>
                      </c:pt>
                      <c:pt idx="33">
                        <c:v>13720.503284401522</c:v>
                      </c:pt>
                      <c:pt idx="34">
                        <c:v>13361.797316181875</c:v>
                      </c:pt>
                      <c:pt idx="35">
                        <c:v>13003.091347962225</c:v>
                      </c:pt>
                      <c:pt idx="36">
                        <c:v>12644.385379742578</c:v>
                      </c:pt>
                      <c:pt idx="37">
                        <c:v>12285.679411522931</c:v>
                      </c:pt>
                      <c:pt idx="38">
                        <c:v>11926.973443303285</c:v>
                      </c:pt>
                      <c:pt idx="39">
                        <c:v>11568.267475083638</c:v>
                      </c:pt>
                      <c:pt idx="40">
                        <c:v>11209.561506863987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402-4502-9F67-4E8DADD8E1E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高情景!$B$9</c15:sqref>
                        </c15:formulaRef>
                      </c:ext>
                    </c:extLst>
                    <c:strCache>
                      <c:ptCount val="1"/>
                      <c:pt idx="0">
                        <c:v>纸和纸板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高情景!$E$1:$AS$1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 formatCode="0">
                        <c:v>2026</c:v>
                      </c:pt>
                      <c:pt idx="7" formatCode="0">
                        <c:v>2027</c:v>
                      </c:pt>
                      <c:pt idx="8" formatCode="0">
                        <c:v>2028</c:v>
                      </c:pt>
                      <c:pt idx="9" formatCode="0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  <c:pt idx="31">
                        <c:v>2051</c:v>
                      </c:pt>
                      <c:pt idx="32">
                        <c:v>2052</c:v>
                      </c:pt>
                      <c:pt idx="33">
                        <c:v>2053</c:v>
                      </c:pt>
                      <c:pt idx="34">
                        <c:v>2054</c:v>
                      </c:pt>
                      <c:pt idx="35">
                        <c:v>2055</c:v>
                      </c:pt>
                      <c:pt idx="36">
                        <c:v>2056</c:v>
                      </c:pt>
                      <c:pt idx="37">
                        <c:v>2057</c:v>
                      </c:pt>
                      <c:pt idx="38">
                        <c:v>2058</c:v>
                      </c:pt>
                      <c:pt idx="39">
                        <c:v>2059</c:v>
                      </c:pt>
                      <c:pt idx="40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高情景!$E$9:$AS$9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0">
                        <c:v>12700.63</c:v>
                      </c:pt>
                      <c:pt idx="1">
                        <c:v>13583.87</c:v>
                      </c:pt>
                      <c:pt idx="2">
                        <c:v>13691.4</c:v>
                      </c:pt>
                      <c:pt idx="3">
                        <c:v>14460.933333333332</c:v>
                      </c:pt>
                      <c:pt idx="4">
                        <c:v>15230.466666666665</c:v>
                      </c:pt>
                      <c:pt idx="5" formatCode="General">
                        <c:v>16000</c:v>
                      </c:pt>
                      <c:pt idx="6">
                        <c:v>16400</c:v>
                      </c:pt>
                      <c:pt idx="7">
                        <c:v>16800</c:v>
                      </c:pt>
                      <c:pt idx="8">
                        <c:v>17200</c:v>
                      </c:pt>
                      <c:pt idx="9">
                        <c:v>17600</c:v>
                      </c:pt>
                      <c:pt idx="10" formatCode="General">
                        <c:v>18000</c:v>
                      </c:pt>
                      <c:pt idx="11">
                        <c:v>18200</c:v>
                      </c:pt>
                      <c:pt idx="12">
                        <c:v>18400</c:v>
                      </c:pt>
                      <c:pt idx="13">
                        <c:v>18600</c:v>
                      </c:pt>
                      <c:pt idx="14">
                        <c:v>18800</c:v>
                      </c:pt>
                      <c:pt idx="15" formatCode="General">
                        <c:v>19000</c:v>
                      </c:pt>
                      <c:pt idx="16">
                        <c:v>19100</c:v>
                      </c:pt>
                      <c:pt idx="17">
                        <c:v>19200</c:v>
                      </c:pt>
                      <c:pt idx="18">
                        <c:v>19300</c:v>
                      </c:pt>
                      <c:pt idx="19">
                        <c:v>19400</c:v>
                      </c:pt>
                      <c:pt idx="20" formatCode="General">
                        <c:v>19500</c:v>
                      </c:pt>
                      <c:pt idx="21">
                        <c:v>19400</c:v>
                      </c:pt>
                      <c:pt idx="22">
                        <c:v>19300</c:v>
                      </c:pt>
                      <c:pt idx="23">
                        <c:v>19200</c:v>
                      </c:pt>
                      <c:pt idx="24">
                        <c:v>19100</c:v>
                      </c:pt>
                      <c:pt idx="25" formatCode="General">
                        <c:v>19000</c:v>
                      </c:pt>
                      <c:pt idx="26">
                        <c:v>18760</c:v>
                      </c:pt>
                      <c:pt idx="27">
                        <c:v>18520</c:v>
                      </c:pt>
                      <c:pt idx="28">
                        <c:v>18280</c:v>
                      </c:pt>
                      <c:pt idx="29">
                        <c:v>18040</c:v>
                      </c:pt>
                      <c:pt idx="30" formatCode="General">
                        <c:v>17800</c:v>
                      </c:pt>
                      <c:pt idx="31">
                        <c:v>17540</c:v>
                      </c:pt>
                      <c:pt idx="32">
                        <c:v>17280</c:v>
                      </c:pt>
                      <c:pt idx="33">
                        <c:v>17020</c:v>
                      </c:pt>
                      <c:pt idx="34">
                        <c:v>16760</c:v>
                      </c:pt>
                      <c:pt idx="35" formatCode="General">
                        <c:v>16500</c:v>
                      </c:pt>
                      <c:pt idx="36">
                        <c:v>16200</c:v>
                      </c:pt>
                      <c:pt idx="37">
                        <c:v>15900</c:v>
                      </c:pt>
                      <c:pt idx="38">
                        <c:v>15600</c:v>
                      </c:pt>
                      <c:pt idx="39">
                        <c:v>15300</c:v>
                      </c:pt>
                      <c:pt idx="40" formatCode="General">
                        <c:v>15000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02-4502-9F67-4E8DADD8E1E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高情景!$B$11</c15:sqref>
                        </c15:formulaRef>
                      </c:ext>
                    </c:extLst>
                    <c:strCache>
                      <c:ptCount val="1"/>
                      <c:pt idx="0">
                        <c:v>焦炭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高情景!$E$1:$AS$1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 formatCode="0">
                        <c:v>2026</c:v>
                      </c:pt>
                      <c:pt idx="7" formatCode="0">
                        <c:v>2027</c:v>
                      </c:pt>
                      <c:pt idx="8" formatCode="0">
                        <c:v>2028</c:v>
                      </c:pt>
                      <c:pt idx="9" formatCode="0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  <c:pt idx="31">
                        <c:v>2051</c:v>
                      </c:pt>
                      <c:pt idx="32">
                        <c:v>2052</c:v>
                      </c:pt>
                      <c:pt idx="33">
                        <c:v>2053</c:v>
                      </c:pt>
                      <c:pt idx="34">
                        <c:v>2054</c:v>
                      </c:pt>
                      <c:pt idx="35">
                        <c:v>2055</c:v>
                      </c:pt>
                      <c:pt idx="36">
                        <c:v>2056</c:v>
                      </c:pt>
                      <c:pt idx="37">
                        <c:v>2057</c:v>
                      </c:pt>
                      <c:pt idx="38">
                        <c:v>2058</c:v>
                      </c:pt>
                      <c:pt idx="39">
                        <c:v>2059</c:v>
                      </c:pt>
                      <c:pt idx="40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高情景!$E$11:$AS$11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0" formatCode="General">
                        <c:v>47116</c:v>
                      </c:pt>
                      <c:pt idx="1">
                        <c:v>46400</c:v>
                      </c:pt>
                      <c:pt idx="2">
                        <c:v>47300</c:v>
                      </c:pt>
                      <c:pt idx="3">
                        <c:v>51048.854095957366</c:v>
                      </c:pt>
                      <c:pt idx="4">
                        <c:v>54797.708191914731</c:v>
                      </c:pt>
                      <c:pt idx="5">
                        <c:v>58546.562287872104</c:v>
                      </c:pt>
                      <c:pt idx="6">
                        <c:v>59847.597005380376</c:v>
                      </c:pt>
                      <c:pt idx="7">
                        <c:v>61148.631722888647</c:v>
                      </c:pt>
                      <c:pt idx="8">
                        <c:v>62449.666440396919</c:v>
                      </c:pt>
                      <c:pt idx="9">
                        <c:v>63750.70115790519</c:v>
                      </c:pt>
                      <c:pt idx="10">
                        <c:v>65051.735875413455</c:v>
                      </c:pt>
                      <c:pt idx="11">
                        <c:v>65144.666926664046</c:v>
                      </c:pt>
                      <c:pt idx="12">
                        <c:v>65237.597977914636</c:v>
                      </c:pt>
                      <c:pt idx="13">
                        <c:v>65330.529029165227</c:v>
                      </c:pt>
                      <c:pt idx="14">
                        <c:v>65423.460080415818</c:v>
                      </c:pt>
                      <c:pt idx="15">
                        <c:v>65516.391131666409</c:v>
                      </c:pt>
                      <c:pt idx="16">
                        <c:v>64772.942721661682</c:v>
                      </c:pt>
                      <c:pt idx="17">
                        <c:v>64029.494311656956</c:v>
                      </c:pt>
                      <c:pt idx="18">
                        <c:v>63286.045901652229</c:v>
                      </c:pt>
                      <c:pt idx="19">
                        <c:v>62542.597491647502</c:v>
                      </c:pt>
                      <c:pt idx="20">
                        <c:v>61799.149081642783</c:v>
                      </c:pt>
                      <c:pt idx="21">
                        <c:v>60405.183312883921</c:v>
                      </c:pt>
                      <c:pt idx="22">
                        <c:v>59011.217544125058</c:v>
                      </c:pt>
                      <c:pt idx="23">
                        <c:v>57617.251775366196</c:v>
                      </c:pt>
                      <c:pt idx="24">
                        <c:v>56223.286006607334</c:v>
                      </c:pt>
                      <c:pt idx="25">
                        <c:v>54829.320237848478</c:v>
                      </c:pt>
                      <c:pt idx="26">
                        <c:v>53435.354469089616</c:v>
                      </c:pt>
                      <c:pt idx="27">
                        <c:v>52041.388700330754</c:v>
                      </c:pt>
                      <c:pt idx="28">
                        <c:v>50647.422931571891</c:v>
                      </c:pt>
                      <c:pt idx="29">
                        <c:v>49253.457162813029</c:v>
                      </c:pt>
                      <c:pt idx="30">
                        <c:v>47859.491394054181</c:v>
                      </c:pt>
                      <c:pt idx="31">
                        <c:v>46651.3877277965</c:v>
                      </c:pt>
                      <c:pt idx="32">
                        <c:v>45443.28406153882</c:v>
                      </c:pt>
                      <c:pt idx="33">
                        <c:v>44235.180395281139</c:v>
                      </c:pt>
                      <c:pt idx="34">
                        <c:v>43027.076729023458</c:v>
                      </c:pt>
                      <c:pt idx="35">
                        <c:v>41818.973062765785</c:v>
                      </c:pt>
                      <c:pt idx="36">
                        <c:v>40550.178450212625</c:v>
                      </c:pt>
                      <c:pt idx="37">
                        <c:v>39281.383837659465</c:v>
                      </c:pt>
                      <c:pt idx="38">
                        <c:v>38012.589225106305</c:v>
                      </c:pt>
                      <c:pt idx="39">
                        <c:v>36743.794612553145</c:v>
                      </c:pt>
                      <c:pt idx="40">
                        <c:v>35474.999999999985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402-4502-9F67-4E8DADD8E1E6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高情景!$B$16</c15:sqref>
                        </c15:formulaRef>
                      </c:ext>
                    </c:extLst>
                    <c:strCache>
                      <c:ptCount val="1"/>
                      <c:pt idx="0">
                        <c:v>水泥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高情景!$E$1:$AS$1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 formatCode="0">
                        <c:v>2026</c:v>
                      </c:pt>
                      <c:pt idx="7" formatCode="0">
                        <c:v>2027</c:v>
                      </c:pt>
                      <c:pt idx="8" formatCode="0">
                        <c:v>2028</c:v>
                      </c:pt>
                      <c:pt idx="9" formatCode="0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  <c:pt idx="31">
                        <c:v>2051</c:v>
                      </c:pt>
                      <c:pt idx="32">
                        <c:v>2052</c:v>
                      </c:pt>
                      <c:pt idx="33">
                        <c:v>2053</c:v>
                      </c:pt>
                      <c:pt idx="34">
                        <c:v>2054</c:v>
                      </c:pt>
                      <c:pt idx="35">
                        <c:v>2055</c:v>
                      </c:pt>
                      <c:pt idx="36">
                        <c:v>2056</c:v>
                      </c:pt>
                      <c:pt idx="37">
                        <c:v>2057</c:v>
                      </c:pt>
                      <c:pt idx="38">
                        <c:v>2058</c:v>
                      </c:pt>
                      <c:pt idx="39">
                        <c:v>2059</c:v>
                      </c:pt>
                      <c:pt idx="40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高情景!$E$16:$AS$16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0">
                        <c:v>239470.83</c:v>
                      </c:pt>
                      <c:pt idx="1">
                        <c:v>237724.49</c:v>
                      </c:pt>
                      <c:pt idx="2">
                        <c:v>212927.18</c:v>
                      </c:pt>
                      <c:pt idx="3">
                        <c:v>221951.45333333334</c:v>
                      </c:pt>
                      <c:pt idx="4">
                        <c:v>230975.72666666668</c:v>
                      </c:pt>
                      <c:pt idx="5" formatCode="General">
                        <c:v>240000</c:v>
                      </c:pt>
                      <c:pt idx="6">
                        <c:v>243000</c:v>
                      </c:pt>
                      <c:pt idx="7">
                        <c:v>246000</c:v>
                      </c:pt>
                      <c:pt idx="8">
                        <c:v>249000</c:v>
                      </c:pt>
                      <c:pt idx="9">
                        <c:v>252000</c:v>
                      </c:pt>
                      <c:pt idx="10" formatCode="General">
                        <c:v>255000</c:v>
                      </c:pt>
                      <c:pt idx="11">
                        <c:v>252000</c:v>
                      </c:pt>
                      <c:pt idx="12">
                        <c:v>249000</c:v>
                      </c:pt>
                      <c:pt idx="13">
                        <c:v>246000</c:v>
                      </c:pt>
                      <c:pt idx="14">
                        <c:v>243000</c:v>
                      </c:pt>
                      <c:pt idx="15" formatCode="General">
                        <c:v>240000</c:v>
                      </c:pt>
                      <c:pt idx="16">
                        <c:v>235800</c:v>
                      </c:pt>
                      <c:pt idx="17">
                        <c:v>231600</c:v>
                      </c:pt>
                      <c:pt idx="18">
                        <c:v>227400</c:v>
                      </c:pt>
                      <c:pt idx="19">
                        <c:v>223200</c:v>
                      </c:pt>
                      <c:pt idx="20" formatCode="General">
                        <c:v>219000</c:v>
                      </c:pt>
                      <c:pt idx="21">
                        <c:v>213200</c:v>
                      </c:pt>
                      <c:pt idx="22">
                        <c:v>207400</c:v>
                      </c:pt>
                      <c:pt idx="23">
                        <c:v>201600</c:v>
                      </c:pt>
                      <c:pt idx="24">
                        <c:v>195800</c:v>
                      </c:pt>
                      <c:pt idx="25" formatCode="General">
                        <c:v>190000</c:v>
                      </c:pt>
                      <c:pt idx="26">
                        <c:v>185600</c:v>
                      </c:pt>
                      <c:pt idx="27">
                        <c:v>181200</c:v>
                      </c:pt>
                      <c:pt idx="28">
                        <c:v>176800</c:v>
                      </c:pt>
                      <c:pt idx="29">
                        <c:v>172400</c:v>
                      </c:pt>
                      <c:pt idx="30" formatCode="General">
                        <c:v>168000</c:v>
                      </c:pt>
                      <c:pt idx="31">
                        <c:v>165400</c:v>
                      </c:pt>
                      <c:pt idx="32">
                        <c:v>162800</c:v>
                      </c:pt>
                      <c:pt idx="33">
                        <c:v>160200</c:v>
                      </c:pt>
                      <c:pt idx="34">
                        <c:v>157600</c:v>
                      </c:pt>
                      <c:pt idx="35" formatCode="General">
                        <c:v>155000</c:v>
                      </c:pt>
                      <c:pt idx="36">
                        <c:v>153809.8052</c:v>
                      </c:pt>
                      <c:pt idx="37">
                        <c:v>152619.61040000001</c:v>
                      </c:pt>
                      <c:pt idx="38">
                        <c:v>151429.41560000001</c:v>
                      </c:pt>
                      <c:pt idx="39">
                        <c:v>150239.22080000001</c:v>
                      </c:pt>
                      <c:pt idx="40" formatCode="General">
                        <c:v>149049.02599999998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402-4502-9F67-4E8DADD8E1E6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高情景!$B$17</c15:sqref>
                        </c15:formulaRef>
                      </c:ext>
                    </c:extLst>
                    <c:strCache>
                      <c:ptCount val="1"/>
                      <c:pt idx="0">
                        <c:v>平板玻璃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高情景!$E$1:$AS$1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 formatCode="0">
                        <c:v>2026</c:v>
                      </c:pt>
                      <c:pt idx="7" formatCode="0">
                        <c:v>2027</c:v>
                      </c:pt>
                      <c:pt idx="8" formatCode="0">
                        <c:v>2028</c:v>
                      </c:pt>
                      <c:pt idx="9" formatCode="0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  <c:pt idx="31">
                        <c:v>2051</c:v>
                      </c:pt>
                      <c:pt idx="32">
                        <c:v>2052</c:v>
                      </c:pt>
                      <c:pt idx="33">
                        <c:v>2053</c:v>
                      </c:pt>
                      <c:pt idx="34">
                        <c:v>2054</c:v>
                      </c:pt>
                      <c:pt idx="35">
                        <c:v>2055</c:v>
                      </c:pt>
                      <c:pt idx="36">
                        <c:v>2056</c:v>
                      </c:pt>
                      <c:pt idx="37">
                        <c:v>2057</c:v>
                      </c:pt>
                      <c:pt idx="38">
                        <c:v>2058</c:v>
                      </c:pt>
                      <c:pt idx="39">
                        <c:v>2059</c:v>
                      </c:pt>
                      <c:pt idx="40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高情景!$E$17:$AS$17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0">
                        <c:v>95227.79</c:v>
                      </c:pt>
                      <c:pt idx="1">
                        <c:v>101727.37</c:v>
                      </c:pt>
                      <c:pt idx="2">
                        <c:v>101668.65</c:v>
                      </c:pt>
                      <c:pt idx="3">
                        <c:v>107779.09999999999</c:v>
                      </c:pt>
                      <c:pt idx="4">
                        <c:v>113889.54999999999</c:v>
                      </c:pt>
                      <c:pt idx="5" formatCode="General">
                        <c:v>120000</c:v>
                      </c:pt>
                      <c:pt idx="6">
                        <c:v>122000</c:v>
                      </c:pt>
                      <c:pt idx="7">
                        <c:v>124000</c:v>
                      </c:pt>
                      <c:pt idx="8">
                        <c:v>126000</c:v>
                      </c:pt>
                      <c:pt idx="9">
                        <c:v>128000</c:v>
                      </c:pt>
                      <c:pt idx="10" formatCode="General">
                        <c:v>130000</c:v>
                      </c:pt>
                      <c:pt idx="11">
                        <c:v>129800</c:v>
                      </c:pt>
                      <c:pt idx="12">
                        <c:v>129600</c:v>
                      </c:pt>
                      <c:pt idx="13">
                        <c:v>129400</c:v>
                      </c:pt>
                      <c:pt idx="14">
                        <c:v>129200</c:v>
                      </c:pt>
                      <c:pt idx="15" formatCode="General">
                        <c:v>129000</c:v>
                      </c:pt>
                      <c:pt idx="16">
                        <c:v>127800</c:v>
                      </c:pt>
                      <c:pt idx="17">
                        <c:v>126600</c:v>
                      </c:pt>
                      <c:pt idx="18">
                        <c:v>125400</c:v>
                      </c:pt>
                      <c:pt idx="19">
                        <c:v>124200</c:v>
                      </c:pt>
                      <c:pt idx="20" formatCode="General">
                        <c:v>123000</c:v>
                      </c:pt>
                      <c:pt idx="21">
                        <c:v>121800</c:v>
                      </c:pt>
                      <c:pt idx="22">
                        <c:v>120600</c:v>
                      </c:pt>
                      <c:pt idx="23">
                        <c:v>119400</c:v>
                      </c:pt>
                      <c:pt idx="24">
                        <c:v>118200</c:v>
                      </c:pt>
                      <c:pt idx="25" formatCode="General">
                        <c:v>117000</c:v>
                      </c:pt>
                      <c:pt idx="26">
                        <c:v>115200</c:v>
                      </c:pt>
                      <c:pt idx="27">
                        <c:v>113400</c:v>
                      </c:pt>
                      <c:pt idx="28">
                        <c:v>111600</c:v>
                      </c:pt>
                      <c:pt idx="29">
                        <c:v>109800</c:v>
                      </c:pt>
                      <c:pt idx="30" formatCode="General">
                        <c:v>108000</c:v>
                      </c:pt>
                      <c:pt idx="31">
                        <c:v>106400</c:v>
                      </c:pt>
                      <c:pt idx="32">
                        <c:v>104800</c:v>
                      </c:pt>
                      <c:pt idx="33">
                        <c:v>103200</c:v>
                      </c:pt>
                      <c:pt idx="34">
                        <c:v>101600</c:v>
                      </c:pt>
                      <c:pt idx="35" formatCode="General">
                        <c:v>100000</c:v>
                      </c:pt>
                      <c:pt idx="36">
                        <c:v>98000</c:v>
                      </c:pt>
                      <c:pt idx="37">
                        <c:v>96000</c:v>
                      </c:pt>
                      <c:pt idx="38">
                        <c:v>94000</c:v>
                      </c:pt>
                      <c:pt idx="39">
                        <c:v>92000</c:v>
                      </c:pt>
                      <c:pt idx="40" formatCode="General">
                        <c:v>90000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402-4502-9F67-4E8DADD8E1E6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高情景!$B$18</c15:sqref>
                        </c15:formulaRef>
                      </c:ext>
                    </c:extLst>
                    <c:strCache>
                      <c:ptCount val="1"/>
                      <c:pt idx="0">
                        <c:v>钢铁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高情景!$E$1:$AS$1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 formatCode="0">
                        <c:v>2026</c:v>
                      </c:pt>
                      <c:pt idx="7" formatCode="0">
                        <c:v>2027</c:v>
                      </c:pt>
                      <c:pt idx="8" formatCode="0">
                        <c:v>2028</c:v>
                      </c:pt>
                      <c:pt idx="9" formatCode="0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  <c:pt idx="31">
                        <c:v>2051</c:v>
                      </c:pt>
                      <c:pt idx="32">
                        <c:v>2052</c:v>
                      </c:pt>
                      <c:pt idx="33">
                        <c:v>2053</c:v>
                      </c:pt>
                      <c:pt idx="34">
                        <c:v>2054</c:v>
                      </c:pt>
                      <c:pt idx="35">
                        <c:v>2055</c:v>
                      </c:pt>
                      <c:pt idx="36">
                        <c:v>2056</c:v>
                      </c:pt>
                      <c:pt idx="37">
                        <c:v>2057</c:v>
                      </c:pt>
                      <c:pt idx="38">
                        <c:v>2058</c:v>
                      </c:pt>
                      <c:pt idx="39">
                        <c:v>2059</c:v>
                      </c:pt>
                      <c:pt idx="40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高情景!$E$18:$AS$18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0">
                        <c:v>106476.68</c:v>
                      </c:pt>
                      <c:pt idx="1">
                        <c:v>103524.26</c:v>
                      </c:pt>
                      <c:pt idx="2">
                        <c:v>101795.9</c:v>
                      </c:pt>
                      <c:pt idx="3">
                        <c:v>109863.93333333333</c:v>
                      </c:pt>
                      <c:pt idx="4">
                        <c:v>117931.96666666667</c:v>
                      </c:pt>
                      <c:pt idx="5" formatCode="General">
                        <c:v>126000</c:v>
                      </c:pt>
                      <c:pt idx="6">
                        <c:v>128800</c:v>
                      </c:pt>
                      <c:pt idx="7">
                        <c:v>131600</c:v>
                      </c:pt>
                      <c:pt idx="8">
                        <c:v>134400</c:v>
                      </c:pt>
                      <c:pt idx="9">
                        <c:v>137200</c:v>
                      </c:pt>
                      <c:pt idx="10" formatCode="General">
                        <c:v>140000</c:v>
                      </c:pt>
                      <c:pt idx="11">
                        <c:v>140200</c:v>
                      </c:pt>
                      <c:pt idx="12">
                        <c:v>140400</c:v>
                      </c:pt>
                      <c:pt idx="13">
                        <c:v>140600</c:v>
                      </c:pt>
                      <c:pt idx="14">
                        <c:v>140800</c:v>
                      </c:pt>
                      <c:pt idx="15" formatCode="General">
                        <c:v>141000</c:v>
                      </c:pt>
                      <c:pt idx="16">
                        <c:v>139400</c:v>
                      </c:pt>
                      <c:pt idx="17">
                        <c:v>137800</c:v>
                      </c:pt>
                      <c:pt idx="18">
                        <c:v>136200</c:v>
                      </c:pt>
                      <c:pt idx="19">
                        <c:v>134600</c:v>
                      </c:pt>
                      <c:pt idx="20" formatCode="General">
                        <c:v>133000</c:v>
                      </c:pt>
                      <c:pt idx="21">
                        <c:v>130000</c:v>
                      </c:pt>
                      <c:pt idx="22">
                        <c:v>127000</c:v>
                      </c:pt>
                      <c:pt idx="23">
                        <c:v>124000</c:v>
                      </c:pt>
                      <c:pt idx="24">
                        <c:v>121000</c:v>
                      </c:pt>
                      <c:pt idx="25" formatCode="General">
                        <c:v>118000</c:v>
                      </c:pt>
                      <c:pt idx="26">
                        <c:v>115000</c:v>
                      </c:pt>
                      <c:pt idx="27">
                        <c:v>112000</c:v>
                      </c:pt>
                      <c:pt idx="28">
                        <c:v>109000</c:v>
                      </c:pt>
                      <c:pt idx="29">
                        <c:v>106000</c:v>
                      </c:pt>
                      <c:pt idx="30" formatCode="General">
                        <c:v>103000</c:v>
                      </c:pt>
                      <c:pt idx="31">
                        <c:v>100400</c:v>
                      </c:pt>
                      <c:pt idx="32">
                        <c:v>97800</c:v>
                      </c:pt>
                      <c:pt idx="33">
                        <c:v>95200</c:v>
                      </c:pt>
                      <c:pt idx="34">
                        <c:v>92600</c:v>
                      </c:pt>
                      <c:pt idx="35" formatCode="General">
                        <c:v>90000</c:v>
                      </c:pt>
                      <c:pt idx="36">
                        <c:v>87269.384999999995</c:v>
                      </c:pt>
                      <c:pt idx="37">
                        <c:v>84538.76999999999</c:v>
                      </c:pt>
                      <c:pt idx="38">
                        <c:v>81808.154999999984</c:v>
                      </c:pt>
                      <c:pt idx="39">
                        <c:v>79077.539999999979</c:v>
                      </c:pt>
                      <c:pt idx="40">
                        <c:v>76346.924999999988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402-4502-9F67-4E8DADD8E1E6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高情景!$B$19</c15:sqref>
                        </c15:formulaRef>
                      </c:ext>
                    </c:extLst>
                    <c:strCache>
                      <c:ptCount val="1"/>
                      <c:pt idx="0">
                        <c:v>电解铝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高情景!$E$1:$AS$1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 formatCode="0">
                        <c:v>2026</c:v>
                      </c:pt>
                      <c:pt idx="7" formatCode="0">
                        <c:v>2027</c:v>
                      </c:pt>
                      <c:pt idx="8" formatCode="0">
                        <c:v>2028</c:v>
                      </c:pt>
                      <c:pt idx="9" formatCode="0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  <c:pt idx="31">
                        <c:v>2051</c:v>
                      </c:pt>
                      <c:pt idx="32">
                        <c:v>2052</c:v>
                      </c:pt>
                      <c:pt idx="33">
                        <c:v>2053</c:v>
                      </c:pt>
                      <c:pt idx="34">
                        <c:v>2054</c:v>
                      </c:pt>
                      <c:pt idx="35">
                        <c:v>2055</c:v>
                      </c:pt>
                      <c:pt idx="36">
                        <c:v>2056</c:v>
                      </c:pt>
                      <c:pt idx="37">
                        <c:v>2057</c:v>
                      </c:pt>
                      <c:pt idx="38">
                        <c:v>2058</c:v>
                      </c:pt>
                      <c:pt idx="39">
                        <c:v>2059</c:v>
                      </c:pt>
                      <c:pt idx="40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高情景!$E$19:$AS$19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0" formatCode="General">
                        <c:v>3708.04</c:v>
                      </c:pt>
                      <c:pt idx="1">
                        <c:v>3850.32</c:v>
                      </c:pt>
                      <c:pt idx="2">
                        <c:v>4014.43</c:v>
                      </c:pt>
                      <c:pt idx="3">
                        <c:v>4342.9533333333329</c:v>
                      </c:pt>
                      <c:pt idx="4">
                        <c:v>4671.4766666666665</c:v>
                      </c:pt>
                      <c:pt idx="5" formatCode="General">
                        <c:v>5000</c:v>
                      </c:pt>
                      <c:pt idx="6">
                        <c:v>5260</c:v>
                      </c:pt>
                      <c:pt idx="7">
                        <c:v>5520</c:v>
                      </c:pt>
                      <c:pt idx="8">
                        <c:v>5780</c:v>
                      </c:pt>
                      <c:pt idx="9">
                        <c:v>6040</c:v>
                      </c:pt>
                      <c:pt idx="10" formatCode="General">
                        <c:v>6300</c:v>
                      </c:pt>
                      <c:pt idx="11">
                        <c:v>6440</c:v>
                      </c:pt>
                      <c:pt idx="12">
                        <c:v>6580</c:v>
                      </c:pt>
                      <c:pt idx="13">
                        <c:v>6720</c:v>
                      </c:pt>
                      <c:pt idx="14">
                        <c:v>6860</c:v>
                      </c:pt>
                      <c:pt idx="15" formatCode="General">
                        <c:v>7000</c:v>
                      </c:pt>
                      <c:pt idx="16">
                        <c:v>7040</c:v>
                      </c:pt>
                      <c:pt idx="17">
                        <c:v>7080</c:v>
                      </c:pt>
                      <c:pt idx="18">
                        <c:v>7120</c:v>
                      </c:pt>
                      <c:pt idx="19">
                        <c:v>7160</c:v>
                      </c:pt>
                      <c:pt idx="20" formatCode="General">
                        <c:v>7200</c:v>
                      </c:pt>
                      <c:pt idx="21">
                        <c:v>7180</c:v>
                      </c:pt>
                      <c:pt idx="22">
                        <c:v>7160</c:v>
                      </c:pt>
                      <c:pt idx="23">
                        <c:v>7140</c:v>
                      </c:pt>
                      <c:pt idx="24">
                        <c:v>7120</c:v>
                      </c:pt>
                      <c:pt idx="25" formatCode="General">
                        <c:v>7100</c:v>
                      </c:pt>
                      <c:pt idx="26">
                        <c:v>7000</c:v>
                      </c:pt>
                      <c:pt idx="27">
                        <c:v>6900</c:v>
                      </c:pt>
                      <c:pt idx="28">
                        <c:v>6800</c:v>
                      </c:pt>
                      <c:pt idx="29">
                        <c:v>6700</c:v>
                      </c:pt>
                      <c:pt idx="30" formatCode="General">
                        <c:v>6600</c:v>
                      </c:pt>
                      <c:pt idx="31">
                        <c:v>6440</c:v>
                      </c:pt>
                      <c:pt idx="32">
                        <c:v>6280</c:v>
                      </c:pt>
                      <c:pt idx="33">
                        <c:v>6120</c:v>
                      </c:pt>
                      <c:pt idx="34">
                        <c:v>5960</c:v>
                      </c:pt>
                      <c:pt idx="35" formatCode="General">
                        <c:v>5800</c:v>
                      </c:pt>
                      <c:pt idx="36">
                        <c:v>5640</c:v>
                      </c:pt>
                      <c:pt idx="37">
                        <c:v>5480</c:v>
                      </c:pt>
                      <c:pt idx="38">
                        <c:v>5320</c:v>
                      </c:pt>
                      <c:pt idx="39">
                        <c:v>5160</c:v>
                      </c:pt>
                      <c:pt idx="40" formatCode="General">
                        <c:v>5000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402-4502-9F67-4E8DADD8E1E6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高情景!$B$20</c15:sqref>
                        </c15:formulaRef>
                      </c:ext>
                    </c:extLst>
                    <c:strCache>
                      <c:ptCount val="1"/>
                      <c:pt idx="0">
                        <c:v>精炼铜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高情景!$E$1:$AS$1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  <c:pt idx="6" formatCode="0">
                        <c:v>2026</c:v>
                      </c:pt>
                      <c:pt idx="7" formatCode="0">
                        <c:v>2027</c:v>
                      </c:pt>
                      <c:pt idx="8" formatCode="0">
                        <c:v>2028</c:v>
                      </c:pt>
                      <c:pt idx="9" formatCode="0">
                        <c:v>2029</c:v>
                      </c:pt>
                      <c:pt idx="10">
                        <c:v>2030</c:v>
                      </c:pt>
                      <c:pt idx="11">
                        <c:v>2031</c:v>
                      </c:pt>
                      <c:pt idx="12">
                        <c:v>2032</c:v>
                      </c:pt>
                      <c:pt idx="13">
                        <c:v>2033</c:v>
                      </c:pt>
                      <c:pt idx="14">
                        <c:v>2034</c:v>
                      </c:pt>
                      <c:pt idx="15">
                        <c:v>2035</c:v>
                      </c:pt>
                      <c:pt idx="16">
                        <c:v>2036</c:v>
                      </c:pt>
                      <c:pt idx="17">
                        <c:v>2037</c:v>
                      </c:pt>
                      <c:pt idx="18">
                        <c:v>2038</c:v>
                      </c:pt>
                      <c:pt idx="19">
                        <c:v>2039</c:v>
                      </c:pt>
                      <c:pt idx="20">
                        <c:v>2040</c:v>
                      </c:pt>
                      <c:pt idx="21">
                        <c:v>2041</c:v>
                      </c:pt>
                      <c:pt idx="22">
                        <c:v>2042</c:v>
                      </c:pt>
                      <c:pt idx="23">
                        <c:v>2043</c:v>
                      </c:pt>
                      <c:pt idx="24">
                        <c:v>2044</c:v>
                      </c:pt>
                      <c:pt idx="25">
                        <c:v>2045</c:v>
                      </c:pt>
                      <c:pt idx="26">
                        <c:v>2046</c:v>
                      </c:pt>
                      <c:pt idx="27">
                        <c:v>2047</c:v>
                      </c:pt>
                      <c:pt idx="28">
                        <c:v>2048</c:v>
                      </c:pt>
                      <c:pt idx="29">
                        <c:v>2049</c:v>
                      </c:pt>
                      <c:pt idx="30">
                        <c:v>2050</c:v>
                      </c:pt>
                      <c:pt idx="31">
                        <c:v>2051</c:v>
                      </c:pt>
                      <c:pt idx="32">
                        <c:v>2052</c:v>
                      </c:pt>
                      <c:pt idx="33">
                        <c:v>2053</c:v>
                      </c:pt>
                      <c:pt idx="34">
                        <c:v>2054</c:v>
                      </c:pt>
                      <c:pt idx="35">
                        <c:v>2055</c:v>
                      </c:pt>
                      <c:pt idx="36">
                        <c:v>2056</c:v>
                      </c:pt>
                      <c:pt idx="37">
                        <c:v>2057</c:v>
                      </c:pt>
                      <c:pt idx="38">
                        <c:v>2058</c:v>
                      </c:pt>
                      <c:pt idx="39">
                        <c:v>2059</c:v>
                      </c:pt>
                      <c:pt idx="40">
                        <c:v>2060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高情景!$E$20:$AS$20</c15:sqref>
                        </c15:formulaRef>
                      </c:ext>
                    </c:extLst>
                    <c:numCache>
                      <c:formatCode>0</c:formatCode>
                      <c:ptCount val="41"/>
                      <c:pt idx="0" formatCode="General">
                        <c:v>1002.51</c:v>
                      </c:pt>
                      <c:pt idx="1">
                        <c:v>1048.67</c:v>
                      </c:pt>
                      <c:pt idx="2">
                        <c:v>1111.53</c:v>
                      </c:pt>
                      <c:pt idx="3">
                        <c:v>1257.6866666666667</c:v>
                      </c:pt>
                      <c:pt idx="4">
                        <c:v>1403.8433333333335</c:v>
                      </c:pt>
                      <c:pt idx="5" formatCode="General">
                        <c:v>1550</c:v>
                      </c:pt>
                      <c:pt idx="6">
                        <c:v>1620</c:v>
                      </c:pt>
                      <c:pt idx="7">
                        <c:v>1690</c:v>
                      </c:pt>
                      <c:pt idx="8">
                        <c:v>1760</c:v>
                      </c:pt>
                      <c:pt idx="9">
                        <c:v>1830</c:v>
                      </c:pt>
                      <c:pt idx="10" formatCode="General">
                        <c:v>1900</c:v>
                      </c:pt>
                      <c:pt idx="11">
                        <c:v>1940</c:v>
                      </c:pt>
                      <c:pt idx="12">
                        <c:v>1980</c:v>
                      </c:pt>
                      <c:pt idx="13">
                        <c:v>2020</c:v>
                      </c:pt>
                      <c:pt idx="14">
                        <c:v>2060</c:v>
                      </c:pt>
                      <c:pt idx="15" formatCode="General">
                        <c:v>2100</c:v>
                      </c:pt>
                      <c:pt idx="16">
                        <c:v>2120</c:v>
                      </c:pt>
                      <c:pt idx="17">
                        <c:v>2140</c:v>
                      </c:pt>
                      <c:pt idx="18">
                        <c:v>2160</c:v>
                      </c:pt>
                      <c:pt idx="19">
                        <c:v>2180</c:v>
                      </c:pt>
                      <c:pt idx="20" formatCode="General">
                        <c:v>2200</c:v>
                      </c:pt>
                      <c:pt idx="21">
                        <c:v>2210</c:v>
                      </c:pt>
                      <c:pt idx="22">
                        <c:v>2220</c:v>
                      </c:pt>
                      <c:pt idx="23">
                        <c:v>2230</c:v>
                      </c:pt>
                      <c:pt idx="24">
                        <c:v>2240</c:v>
                      </c:pt>
                      <c:pt idx="25" formatCode="General">
                        <c:v>2250</c:v>
                      </c:pt>
                      <c:pt idx="26">
                        <c:v>2260</c:v>
                      </c:pt>
                      <c:pt idx="27">
                        <c:v>2270</c:v>
                      </c:pt>
                      <c:pt idx="28">
                        <c:v>2280</c:v>
                      </c:pt>
                      <c:pt idx="29">
                        <c:v>2290</c:v>
                      </c:pt>
                      <c:pt idx="30" formatCode="General">
                        <c:v>2300</c:v>
                      </c:pt>
                      <c:pt idx="31">
                        <c:v>2310</c:v>
                      </c:pt>
                      <c:pt idx="32">
                        <c:v>2320</c:v>
                      </c:pt>
                      <c:pt idx="33">
                        <c:v>2330</c:v>
                      </c:pt>
                      <c:pt idx="34">
                        <c:v>2340</c:v>
                      </c:pt>
                      <c:pt idx="35" formatCode="General">
                        <c:v>2350</c:v>
                      </c:pt>
                      <c:pt idx="36">
                        <c:v>2358</c:v>
                      </c:pt>
                      <c:pt idx="37">
                        <c:v>2366</c:v>
                      </c:pt>
                      <c:pt idx="38">
                        <c:v>2374</c:v>
                      </c:pt>
                      <c:pt idx="39">
                        <c:v>2382</c:v>
                      </c:pt>
                      <c:pt idx="40" formatCode="General">
                        <c:v>2390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402-4502-9F67-4E8DADD8E1E6}"/>
                  </c:ext>
                </c:extLst>
              </c15:ser>
            </c15:filteredLineSeries>
          </c:ext>
        </c:extLst>
      </c:lineChart>
      <c:catAx>
        <c:axId val="4813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49023"/>
        <c:crosses val="autoZero"/>
        <c:auto val="1"/>
        <c:lblAlgn val="ctr"/>
        <c:lblOffset val="100"/>
        <c:noMultiLvlLbl val="0"/>
      </c:catAx>
      <c:valAx>
        <c:axId val="48134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34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888936962494167E-2"/>
          <c:y val="0.76314210723659548"/>
          <c:w val="0.93481454586425028"/>
          <c:h val="0.2209848768903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高情景!$B$16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2-4310-AC0A-D68274C962F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高情景!$B$18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2-4310-AC0A-D68274C962F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高情景!$F$16</c:f>
              <c:numCache>
                <c:formatCode>0</c:formatCode>
                <c:ptCount val="1"/>
                <c:pt idx="0">
                  <c:v>237724.49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22-4310-AC0A-D68274C962F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高情景!$E$16:$AS$16</c:f>
              <c:numCache>
                <c:formatCode>0</c:formatCode>
                <c:ptCount val="41"/>
                <c:pt idx="0">
                  <c:v>239470.83</c:v>
                </c:pt>
                <c:pt idx="1">
                  <c:v>237724.49</c:v>
                </c:pt>
                <c:pt idx="2">
                  <c:v>212927.18</c:v>
                </c:pt>
                <c:pt idx="3">
                  <c:v>221951.45333333334</c:v>
                </c:pt>
                <c:pt idx="4">
                  <c:v>230975.72666666668</c:v>
                </c:pt>
                <c:pt idx="5" formatCode="General">
                  <c:v>240000</c:v>
                </c:pt>
                <c:pt idx="6">
                  <c:v>243000</c:v>
                </c:pt>
                <c:pt idx="7">
                  <c:v>246000</c:v>
                </c:pt>
                <c:pt idx="8">
                  <c:v>249000</c:v>
                </c:pt>
                <c:pt idx="9">
                  <c:v>252000</c:v>
                </c:pt>
                <c:pt idx="10" formatCode="General">
                  <c:v>255000</c:v>
                </c:pt>
                <c:pt idx="11">
                  <c:v>252000</c:v>
                </c:pt>
                <c:pt idx="12">
                  <c:v>249000</c:v>
                </c:pt>
                <c:pt idx="13">
                  <c:v>246000</c:v>
                </c:pt>
                <c:pt idx="14">
                  <c:v>243000</c:v>
                </c:pt>
                <c:pt idx="15" formatCode="General">
                  <c:v>240000</c:v>
                </c:pt>
                <c:pt idx="16">
                  <c:v>235800</c:v>
                </c:pt>
                <c:pt idx="17">
                  <c:v>231600</c:v>
                </c:pt>
                <c:pt idx="18">
                  <c:v>227400</c:v>
                </c:pt>
                <c:pt idx="19">
                  <c:v>223200</c:v>
                </c:pt>
                <c:pt idx="20" formatCode="General">
                  <c:v>219000</c:v>
                </c:pt>
                <c:pt idx="21">
                  <c:v>213200</c:v>
                </c:pt>
                <c:pt idx="22">
                  <c:v>207400</c:v>
                </c:pt>
                <c:pt idx="23">
                  <c:v>201600</c:v>
                </c:pt>
                <c:pt idx="24">
                  <c:v>195800</c:v>
                </c:pt>
                <c:pt idx="25" formatCode="General">
                  <c:v>190000</c:v>
                </c:pt>
                <c:pt idx="26">
                  <c:v>185600</c:v>
                </c:pt>
                <c:pt idx="27">
                  <c:v>181200</c:v>
                </c:pt>
                <c:pt idx="28">
                  <c:v>176800</c:v>
                </c:pt>
                <c:pt idx="29">
                  <c:v>172400</c:v>
                </c:pt>
                <c:pt idx="30" formatCode="General">
                  <c:v>168000</c:v>
                </c:pt>
                <c:pt idx="31">
                  <c:v>165400</c:v>
                </c:pt>
                <c:pt idx="32">
                  <c:v>162800</c:v>
                </c:pt>
                <c:pt idx="33">
                  <c:v>160200</c:v>
                </c:pt>
                <c:pt idx="34">
                  <c:v>157600</c:v>
                </c:pt>
                <c:pt idx="35" formatCode="General">
                  <c:v>155000</c:v>
                </c:pt>
                <c:pt idx="36">
                  <c:v>153809.8052</c:v>
                </c:pt>
                <c:pt idx="37">
                  <c:v>152619.61040000001</c:v>
                </c:pt>
                <c:pt idx="38">
                  <c:v>151429.41560000001</c:v>
                </c:pt>
                <c:pt idx="39">
                  <c:v>150239.22080000001</c:v>
                </c:pt>
                <c:pt idx="40" formatCode="General">
                  <c:v>149049.02599999998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22-4310-AC0A-D68274C962F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高情景!$E$18:$AS$18</c:f>
              <c:numCache>
                <c:formatCode>0</c:formatCode>
                <c:ptCount val="41"/>
                <c:pt idx="0">
                  <c:v>106476.68</c:v>
                </c:pt>
                <c:pt idx="1">
                  <c:v>103524.26</c:v>
                </c:pt>
                <c:pt idx="2">
                  <c:v>101795.9</c:v>
                </c:pt>
                <c:pt idx="3">
                  <c:v>109863.93333333333</c:v>
                </c:pt>
                <c:pt idx="4">
                  <c:v>117931.96666666667</c:v>
                </c:pt>
                <c:pt idx="5" formatCode="General">
                  <c:v>126000</c:v>
                </c:pt>
                <c:pt idx="6">
                  <c:v>128800</c:v>
                </c:pt>
                <c:pt idx="7">
                  <c:v>131600</c:v>
                </c:pt>
                <c:pt idx="8">
                  <c:v>134400</c:v>
                </c:pt>
                <c:pt idx="9">
                  <c:v>137200</c:v>
                </c:pt>
                <c:pt idx="10" formatCode="General">
                  <c:v>140000</c:v>
                </c:pt>
                <c:pt idx="11">
                  <c:v>140200</c:v>
                </c:pt>
                <c:pt idx="12">
                  <c:v>140400</c:v>
                </c:pt>
                <c:pt idx="13">
                  <c:v>140600</c:v>
                </c:pt>
                <c:pt idx="14">
                  <c:v>140800</c:v>
                </c:pt>
                <c:pt idx="15" formatCode="General">
                  <c:v>141000</c:v>
                </c:pt>
                <c:pt idx="16">
                  <c:v>139400</c:v>
                </c:pt>
                <c:pt idx="17">
                  <c:v>137800</c:v>
                </c:pt>
                <c:pt idx="18">
                  <c:v>136200</c:v>
                </c:pt>
                <c:pt idx="19">
                  <c:v>134600</c:v>
                </c:pt>
                <c:pt idx="20" formatCode="General">
                  <c:v>133000</c:v>
                </c:pt>
                <c:pt idx="21">
                  <c:v>130000</c:v>
                </c:pt>
                <c:pt idx="22">
                  <c:v>127000</c:v>
                </c:pt>
                <c:pt idx="23">
                  <c:v>124000</c:v>
                </c:pt>
                <c:pt idx="24">
                  <c:v>121000</c:v>
                </c:pt>
                <c:pt idx="25" formatCode="General">
                  <c:v>118000</c:v>
                </c:pt>
                <c:pt idx="26">
                  <c:v>115000</c:v>
                </c:pt>
                <c:pt idx="27">
                  <c:v>112000</c:v>
                </c:pt>
                <c:pt idx="28">
                  <c:v>109000</c:v>
                </c:pt>
                <c:pt idx="29">
                  <c:v>106000</c:v>
                </c:pt>
                <c:pt idx="30" formatCode="General">
                  <c:v>103000</c:v>
                </c:pt>
                <c:pt idx="31">
                  <c:v>100400</c:v>
                </c:pt>
                <c:pt idx="32">
                  <c:v>97800</c:v>
                </c:pt>
                <c:pt idx="33">
                  <c:v>95200</c:v>
                </c:pt>
                <c:pt idx="34">
                  <c:v>92600</c:v>
                </c:pt>
                <c:pt idx="35" formatCode="General">
                  <c:v>90000</c:v>
                </c:pt>
                <c:pt idx="36">
                  <c:v>87269.384999999995</c:v>
                </c:pt>
                <c:pt idx="37">
                  <c:v>84538.76999999999</c:v>
                </c:pt>
                <c:pt idx="38">
                  <c:v>81808.154999999984</c:v>
                </c:pt>
                <c:pt idx="39">
                  <c:v>79077.539999999979</c:v>
                </c:pt>
                <c:pt idx="40">
                  <c:v>76346.924999999988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22-4310-AC0A-D68274C96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276784"/>
        <c:axId val="1478280144"/>
      </c:lineChart>
      <c:catAx>
        <c:axId val="1478276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8280144"/>
        <c:crosses val="autoZero"/>
        <c:auto val="1"/>
        <c:lblAlgn val="ctr"/>
        <c:lblOffset val="100"/>
        <c:noMultiLvlLbl val="0"/>
      </c:catAx>
      <c:valAx>
        <c:axId val="14782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827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中情景!$B$2</c:f>
              <c:strCache>
                <c:ptCount val="1"/>
                <c:pt idx="0">
                  <c:v>原煤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中情景!$E$2:$AS$2</c:f>
              <c:numCache>
                <c:formatCode>0</c:formatCode>
                <c:ptCount val="41"/>
                <c:pt idx="0">
                  <c:v>39.020000000000003</c:v>
                </c:pt>
                <c:pt idx="1">
                  <c:v>41.26</c:v>
                </c:pt>
                <c:pt idx="2">
                  <c:v>45.59</c:v>
                </c:pt>
                <c:pt idx="3">
                  <c:v>46.826666666666668</c:v>
                </c:pt>
                <c:pt idx="4">
                  <c:v>48.063333333333325</c:v>
                </c:pt>
                <c:pt idx="5">
                  <c:v>49.25</c:v>
                </c:pt>
                <c:pt idx="6">
                  <c:v>50.05</c:v>
                </c:pt>
                <c:pt idx="7">
                  <c:v>50.849999999999994</c:v>
                </c:pt>
                <c:pt idx="8">
                  <c:v>51.649999999999991</c:v>
                </c:pt>
                <c:pt idx="9">
                  <c:v>52.47999999999999</c:v>
                </c:pt>
                <c:pt idx="10">
                  <c:v>53.3</c:v>
                </c:pt>
                <c:pt idx="11">
                  <c:v>53.449999999999989</c:v>
                </c:pt>
                <c:pt idx="12">
                  <c:v>53.599999999999994</c:v>
                </c:pt>
                <c:pt idx="13">
                  <c:v>53.724999999999994</c:v>
                </c:pt>
                <c:pt idx="14">
                  <c:v>53.799999999999983</c:v>
                </c:pt>
                <c:pt idx="15">
                  <c:v>53.825000000000003</c:v>
                </c:pt>
                <c:pt idx="16">
                  <c:v>53.190000000000005</c:v>
                </c:pt>
                <c:pt idx="17">
                  <c:v>52.555000000000007</c:v>
                </c:pt>
                <c:pt idx="18">
                  <c:v>51.92</c:v>
                </c:pt>
                <c:pt idx="19">
                  <c:v>51.285000000000011</c:v>
                </c:pt>
                <c:pt idx="20">
                  <c:v>50.650000000000006</c:v>
                </c:pt>
                <c:pt idx="21">
                  <c:v>49.67</c:v>
                </c:pt>
                <c:pt idx="22">
                  <c:v>48.690000000000005</c:v>
                </c:pt>
                <c:pt idx="23">
                  <c:v>47.710000000000008</c:v>
                </c:pt>
                <c:pt idx="24">
                  <c:v>46.730000000000004</c:v>
                </c:pt>
                <c:pt idx="25">
                  <c:v>45.75</c:v>
                </c:pt>
                <c:pt idx="26">
                  <c:v>44.860000000000007</c:v>
                </c:pt>
                <c:pt idx="27">
                  <c:v>43.970000000000006</c:v>
                </c:pt>
                <c:pt idx="28">
                  <c:v>43.080000000000005</c:v>
                </c:pt>
                <c:pt idx="29">
                  <c:v>42.190000000000012</c:v>
                </c:pt>
                <c:pt idx="30">
                  <c:v>41.300000000000004</c:v>
                </c:pt>
                <c:pt idx="31">
                  <c:v>40.300000000000004</c:v>
                </c:pt>
                <c:pt idx="32">
                  <c:v>39.299999999999997</c:v>
                </c:pt>
                <c:pt idx="33">
                  <c:v>38.299999999999997</c:v>
                </c:pt>
                <c:pt idx="34">
                  <c:v>37.299999999999997</c:v>
                </c:pt>
                <c:pt idx="35">
                  <c:v>36.300000000000004</c:v>
                </c:pt>
                <c:pt idx="36">
                  <c:v>35.410000000000004</c:v>
                </c:pt>
                <c:pt idx="37">
                  <c:v>34.520000000000003</c:v>
                </c:pt>
                <c:pt idx="38">
                  <c:v>33.63000000000001</c:v>
                </c:pt>
                <c:pt idx="39">
                  <c:v>32.740000000000009</c:v>
                </c:pt>
                <c:pt idx="40">
                  <c:v>31.85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C-4858-903C-88B33F4995FF}"/>
            </c:ext>
          </c:extLst>
        </c:ser>
        <c:ser>
          <c:idx val="1"/>
          <c:order val="1"/>
          <c:tx>
            <c:strRef>
              <c:f>中情景!$B$3</c:f>
              <c:strCache>
                <c:ptCount val="1"/>
                <c:pt idx="0">
                  <c:v>原油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中情景!$E$3:$AS$3</c:f>
              <c:numCache>
                <c:formatCode>0</c:formatCode>
                <c:ptCount val="41"/>
                <c:pt idx="0">
                  <c:v>1.9477</c:v>
                </c:pt>
                <c:pt idx="1">
                  <c:v>1.9887999999999999</c:v>
                </c:pt>
                <c:pt idx="2">
                  <c:v>2.0472000000000001</c:v>
                </c:pt>
                <c:pt idx="3">
                  <c:v>2.0911333333333335</c:v>
                </c:pt>
                <c:pt idx="4">
                  <c:v>2.1350666666666664</c:v>
                </c:pt>
                <c:pt idx="5">
                  <c:v>2.1775000000000002</c:v>
                </c:pt>
                <c:pt idx="6">
                  <c:v>2.1895000000000002</c:v>
                </c:pt>
                <c:pt idx="7">
                  <c:v>2.2015000000000002</c:v>
                </c:pt>
                <c:pt idx="8">
                  <c:v>2.2135000000000002</c:v>
                </c:pt>
                <c:pt idx="9">
                  <c:v>2.2292800000000006</c:v>
                </c:pt>
                <c:pt idx="10">
                  <c:v>2.2450000000000001</c:v>
                </c:pt>
                <c:pt idx="11">
                  <c:v>2.258</c:v>
                </c:pt>
                <c:pt idx="12">
                  <c:v>2.2736000000000001</c:v>
                </c:pt>
                <c:pt idx="13">
                  <c:v>2.29</c:v>
                </c:pt>
                <c:pt idx="14">
                  <c:v>2.3079999999999998</c:v>
                </c:pt>
                <c:pt idx="15">
                  <c:v>2.3250000000000002</c:v>
                </c:pt>
                <c:pt idx="16">
                  <c:v>2.3254000000000001</c:v>
                </c:pt>
                <c:pt idx="17">
                  <c:v>2.3258000000000001</c:v>
                </c:pt>
                <c:pt idx="18">
                  <c:v>2.3262</c:v>
                </c:pt>
                <c:pt idx="19">
                  <c:v>2.3266</c:v>
                </c:pt>
                <c:pt idx="20">
                  <c:v>2.327</c:v>
                </c:pt>
                <c:pt idx="21">
                  <c:v>2.3087999999999997</c:v>
                </c:pt>
                <c:pt idx="22">
                  <c:v>2.2905999999999995</c:v>
                </c:pt>
                <c:pt idx="23">
                  <c:v>2.2724000000000002</c:v>
                </c:pt>
                <c:pt idx="24">
                  <c:v>2.2542</c:v>
                </c:pt>
                <c:pt idx="25">
                  <c:v>2.2360000000000002</c:v>
                </c:pt>
                <c:pt idx="26">
                  <c:v>2.2088000000000001</c:v>
                </c:pt>
                <c:pt idx="27">
                  <c:v>2.1816</c:v>
                </c:pt>
                <c:pt idx="28">
                  <c:v>2.1544000000000003</c:v>
                </c:pt>
                <c:pt idx="29">
                  <c:v>2.1272000000000002</c:v>
                </c:pt>
                <c:pt idx="30">
                  <c:v>2.1000000000000005</c:v>
                </c:pt>
                <c:pt idx="31">
                  <c:v>2.0610000000000004</c:v>
                </c:pt>
                <c:pt idx="32">
                  <c:v>2.0220000000000002</c:v>
                </c:pt>
                <c:pt idx="33">
                  <c:v>1.9830000000000001</c:v>
                </c:pt>
                <c:pt idx="34">
                  <c:v>1.9440000000000002</c:v>
                </c:pt>
                <c:pt idx="35">
                  <c:v>1.905</c:v>
                </c:pt>
                <c:pt idx="36">
                  <c:v>1.8804000000000001</c:v>
                </c:pt>
                <c:pt idx="37">
                  <c:v>1.8558000000000001</c:v>
                </c:pt>
                <c:pt idx="38">
                  <c:v>1.8311999999999999</c:v>
                </c:pt>
                <c:pt idx="39">
                  <c:v>1.8066</c:v>
                </c:pt>
                <c:pt idx="40">
                  <c:v>1.782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3C-4858-903C-88B33F4995FF}"/>
            </c:ext>
          </c:extLst>
        </c:ser>
        <c:ser>
          <c:idx val="2"/>
          <c:order val="2"/>
          <c:tx>
            <c:strRef>
              <c:f>中情景!$B$4</c:f>
              <c:strCache>
                <c:ptCount val="1"/>
                <c:pt idx="0">
                  <c:v>天然气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中情景!$E$4:$AS$4</c:f>
              <c:numCache>
                <c:formatCode>0</c:formatCode>
                <c:ptCount val="41"/>
                <c:pt idx="0">
                  <c:v>1924.95</c:v>
                </c:pt>
                <c:pt idx="1">
                  <c:v>2075.84</c:v>
                </c:pt>
                <c:pt idx="2">
                  <c:v>2201.0999999999995</c:v>
                </c:pt>
                <c:pt idx="3">
                  <c:v>2309.1</c:v>
                </c:pt>
                <c:pt idx="4">
                  <c:v>2417.1</c:v>
                </c:pt>
                <c:pt idx="5">
                  <c:v>2519.75</c:v>
                </c:pt>
                <c:pt idx="6">
                  <c:v>2590.8000000000002</c:v>
                </c:pt>
                <c:pt idx="7">
                  <c:v>2661.8500000000004</c:v>
                </c:pt>
                <c:pt idx="8">
                  <c:v>2732.9</c:v>
                </c:pt>
                <c:pt idx="9">
                  <c:v>2811.7920000000004</c:v>
                </c:pt>
                <c:pt idx="10">
                  <c:v>2890</c:v>
                </c:pt>
                <c:pt idx="11">
                  <c:v>2933</c:v>
                </c:pt>
                <c:pt idx="12">
                  <c:v>2982.4</c:v>
                </c:pt>
                <c:pt idx="13">
                  <c:v>3035.5</c:v>
                </c:pt>
                <c:pt idx="14">
                  <c:v>3096</c:v>
                </c:pt>
                <c:pt idx="15">
                  <c:v>3157.5</c:v>
                </c:pt>
                <c:pt idx="16">
                  <c:v>3197.5</c:v>
                </c:pt>
                <c:pt idx="17">
                  <c:v>3237.5</c:v>
                </c:pt>
                <c:pt idx="18">
                  <c:v>3277.5</c:v>
                </c:pt>
                <c:pt idx="19">
                  <c:v>3317.5</c:v>
                </c:pt>
                <c:pt idx="20">
                  <c:v>3357.5</c:v>
                </c:pt>
                <c:pt idx="21">
                  <c:v>3380.2000000000003</c:v>
                </c:pt>
                <c:pt idx="22">
                  <c:v>3402.9000000000005</c:v>
                </c:pt>
                <c:pt idx="23">
                  <c:v>3425.6000000000004</c:v>
                </c:pt>
                <c:pt idx="24">
                  <c:v>3448.3</c:v>
                </c:pt>
                <c:pt idx="25">
                  <c:v>3471</c:v>
                </c:pt>
                <c:pt idx="26">
                  <c:v>3488.3</c:v>
                </c:pt>
                <c:pt idx="27">
                  <c:v>3505.6000000000004</c:v>
                </c:pt>
                <c:pt idx="28">
                  <c:v>3522.9000000000005</c:v>
                </c:pt>
                <c:pt idx="29">
                  <c:v>3540.2000000000003</c:v>
                </c:pt>
                <c:pt idx="30">
                  <c:v>3557.5</c:v>
                </c:pt>
                <c:pt idx="31">
                  <c:v>3577.5</c:v>
                </c:pt>
                <c:pt idx="32">
                  <c:v>3597.5</c:v>
                </c:pt>
                <c:pt idx="33">
                  <c:v>3617.5</c:v>
                </c:pt>
                <c:pt idx="34">
                  <c:v>3637.5</c:v>
                </c:pt>
                <c:pt idx="35">
                  <c:v>3657.5</c:v>
                </c:pt>
                <c:pt idx="36">
                  <c:v>3662</c:v>
                </c:pt>
                <c:pt idx="37">
                  <c:v>3666.5</c:v>
                </c:pt>
                <c:pt idx="38">
                  <c:v>3671</c:v>
                </c:pt>
                <c:pt idx="39">
                  <c:v>3675.5</c:v>
                </c:pt>
                <c:pt idx="40">
                  <c:v>3680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3C-4858-903C-88B33F4995FF}"/>
            </c:ext>
          </c:extLst>
        </c:ser>
        <c:ser>
          <c:idx val="3"/>
          <c:order val="3"/>
          <c:tx>
            <c:strRef>
              <c:f>中情景!$B$5</c:f>
              <c:strCache>
                <c:ptCount val="1"/>
                <c:pt idx="0">
                  <c:v>铁矿石原矿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中情景!$E$5:$AS$5</c:f>
              <c:numCache>
                <c:formatCode>0</c:formatCode>
                <c:ptCount val="41"/>
                <c:pt idx="0">
                  <c:v>8.6671999999999993</c:v>
                </c:pt>
                <c:pt idx="1">
                  <c:v>9.8053000000000008</c:v>
                </c:pt>
                <c:pt idx="2">
                  <c:v>9.6786999999999992</c:v>
                </c:pt>
                <c:pt idx="3">
                  <c:v>10.312693060853464</c:v>
                </c:pt>
                <c:pt idx="4">
                  <c:v>10.94668612170693</c:v>
                </c:pt>
                <c:pt idx="5">
                  <c:v>11.647234810046378</c:v>
                </c:pt>
                <c:pt idx="6">
                  <c:v>11.865917586071737</c:v>
                </c:pt>
                <c:pt idx="7">
                  <c:v>12.084600362097097</c:v>
                </c:pt>
                <c:pt idx="8">
                  <c:v>12.30328313812246</c:v>
                </c:pt>
                <c:pt idx="9">
                  <c:v>12.459213465375324</c:v>
                </c:pt>
                <c:pt idx="10">
                  <c:v>12.626553328768644</c:v>
                </c:pt>
                <c:pt idx="11">
                  <c:v>12.599931077774251</c:v>
                </c:pt>
                <c:pt idx="12">
                  <c:v>12.521585596276473</c:v>
                </c:pt>
                <c:pt idx="13">
                  <c:v>12.409772142100024</c:v>
                </c:pt>
                <c:pt idx="14">
                  <c:v>12.231022742566253</c:v>
                </c:pt>
                <c:pt idx="15">
                  <c:v>12.037060628178544</c:v>
                </c:pt>
                <c:pt idx="16">
                  <c:v>11.876376327533823</c:v>
                </c:pt>
                <c:pt idx="17">
                  <c:v>11.7156920268891</c:v>
                </c:pt>
                <c:pt idx="18">
                  <c:v>11.555007726244376</c:v>
                </c:pt>
                <c:pt idx="19">
                  <c:v>11.394323425599655</c:v>
                </c:pt>
                <c:pt idx="20">
                  <c:v>11.233639124954937</c:v>
                </c:pt>
                <c:pt idx="21">
                  <c:v>10.982629329864958</c:v>
                </c:pt>
                <c:pt idx="22">
                  <c:v>10.73161953477498</c:v>
                </c:pt>
                <c:pt idx="23">
                  <c:v>10.480609739685001</c:v>
                </c:pt>
                <c:pt idx="24">
                  <c:v>10.229599944595023</c:v>
                </c:pt>
                <c:pt idx="25">
                  <c:v>9.9785901495050418</c:v>
                </c:pt>
                <c:pt idx="26">
                  <c:v>9.7190232023097209</c:v>
                </c:pt>
                <c:pt idx="27">
                  <c:v>9.4594562551144019</c:v>
                </c:pt>
                <c:pt idx="28">
                  <c:v>9.1998893079190829</c:v>
                </c:pt>
                <c:pt idx="29">
                  <c:v>8.9403223607237639</c:v>
                </c:pt>
                <c:pt idx="30">
                  <c:v>8.6807554135284448</c:v>
                </c:pt>
                <c:pt idx="31">
                  <c:v>8.450663101362629</c:v>
                </c:pt>
                <c:pt idx="32">
                  <c:v>8.2205707891968149</c:v>
                </c:pt>
                <c:pt idx="33">
                  <c:v>7.990478477031</c:v>
                </c:pt>
                <c:pt idx="34">
                  <c:v>7.7603861648651868</c:v>
                </c:pt>
                <c:pt idx="35">
                  <c:v>7.5302938526993728</c:v>
                </c:pt>
                <c:pt idx="36">
                  <c:v>7.3018234821594987</c:v>
                </c:pt>
                <c:pt idx="37">
                  <c:v>7.0733531116196247</c:v>
                </c:pt>
                <c:pt idx="38">
                  <c:v>6.8448827410797497</c:v>
                </c:pt>
                <c:pt idx="39">
                  <c:v>6.6164123705398747</c:v>
                </c:pt>
                <c:pt idx="40">
                  <c:v>6.3879419999999989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3C-4858-903C-88B33F4995FF}"/>
            </c:ext>
          </c:extLst>
        </c:ser>
        <c:ser>
          <c:idx val="4"/>
          <c:order val="4"/>
          <c:tx>
            <c:strRef>
              <c:f>中情景!$B$6</c:f>
              <c:strCache>
                <c:ptCount val="1"/>
                <c:pt idx="0">
                  <c:v>铜矿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中情景!$E$6:$AS$6</c:f>
              <c:numCache>
                <c:formatCode>0</c:formatCode>
                <c:ptCount val="41"/>
                <c:pt idx="0">
                  <c:v>172</c:v>
                </c:pt>
                <c:pt idx="1">
                  <c:v>191</c:v>
                </c:pt>
                <c:pt idx="2">
                  <c:v>193.99999999999997</c:v>
                </c:pt>
                <c:pt idx="3">
                  <c:v>219.50933697995856</c:v>
                </c:pt>
                <c:pt idx="4">
                  <c:v>245.01867395991712</c:v>
                </c:pt>
                <c:pt idx="5">
                  <c:v>270.52801093987568</c:v>
                </c:pt>
                <c:pt idx="6">
                  <c:v>283.61807598535358</c:v>
                </c:pt>
                <c:pt idx="7">
                  <c:v>296.70814103083143</c:v>
                </c:pt>
                <c:pt idx="8">
                  <c:v>309.79820607630927</c:v>
                </c:pt>
                <c:pt idx="9">
                  <c:v>323.30715320324248</c:v>
                </c:pt>
                <c:pt idx="10">
                  <c:v>336.85100717029678</c:v>
                </c:pt>
                <c:pt idx="11">
                  <c:v>344.87958039818989</c:v>
                </c:pt>
                <c:pt idx="12">
                  <c:v>353.39684938778089</c:v>
                </c:pt>
                <c:pt idx="13">
                  <c:v>362.33300045882709</c:v>
                </c:pt>
                <c:pt idx="14">
                  <c:v>372.1069156927839</c:v>
                </c:pt>
                <c:pt idx="15">
                  <c:v>382.22989932795338</c:v>
                </c:pt>
                <c:pt idx="16">
                  <c:v>387.29139114553811</c:v>
                </c:pt>
                <c:pt idx="17">
                  <c:v>392.35288296312285</c:v>
                </c:pt>
                <c:pt idx="18">
                  <c:v>397.4143747807077</c:v>
                </c:pt>
                <c:pt idx="19">
                  <c:v>402.47586659829244</c:v>
                </c:pt>
                <c:pt idx="20">
                  <c:v>407.53735841587724</c:v>
                </c:pt>
                <c:pt idx="21">
                  <c:v>411.63891213012698</c:v>
                </c:pt>
                <c:pt idx="22">
                  <c:v>415.74046584437667</c:v>
                </c:pt>
                <c:pt idx="23">
                  <c:v>419.84201955862636</c:v>
                </c:pt>
                <c:pt idx="24">
                  <c:v>423.94357327287611</c:v>
                </c:pt>
                <c:pt idx="25">
                  <c:v>428.04512698712585</c:v>
                </c:pt>
                <c:pt idx="26">
                  <c:v>431.36127679864694</c:v>
                </c:pt>
                <c:pt idx="27">
                  <c:v>434.67742661016797</c:v>
                </c:pt>
                <c:pt idx="28">
                  <c:v>437.993576421689</c:v>
                </c:pt>
                <c:pt idx="29">
                  <c:v>441.30972623321003</c:v>
                </c:pt>
                <c:pt idx="30">
                  <c:v>444.62587604473117</c:v>
                </c:pt>
                <c:pt idx="31">
                  <c:v>447.62786429516075</c:v>
                </c:pt>
                <c:pt idx="32">
                  <c:v>450.62985254559027</c:v>
                </c:pt>
                <c:pt idx="33">
                  <c:v>453.6318407960199</c:v>
                </c:pt>
                <c:pt idx="34">
                  <c:v>456.63382904644948</c:v>
                </c:pt>
                <c:pt idx="35">
                  <c:v>459.63581729687905</c:v>
                </c:pt>
                <c:pt idx="36">
                  <c:v>462.28873714609585</c:v>
                </c:pt>
                <c:pt idx="37">
                  <c:v>464.94165699531277</c:v>
                </c:pt>
                <c:pt idx="38">
                  <c:v>467.59457684452957</c:v>
                </c:pt>
                <c:pt idx="39">
                  <c:v>470.24749669374637</c:v>
                </c:pt>
                <c:pt idx="40">
                  <c:v>472.90041654296328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3C-4858-903C-88B33F4995FF}"/>
            </c:ext>
          </c:extLst>
        </c:ser>
        <c:ser>
          <c:idx val="5"/>
          <c:order val="5"/>
          <c:tx>
            <c:strRef>
              <c:f>中情景!$B$7</c:f>
              <c:strCache>
                <c:ptCount val="1"/>
                <c:pt idx="0">
                  <c:v>铝土矿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中情景!$E$7:$AS$7</c:f>
              <c:numCache>
                <c:formatCode>0</c:formatCode>
                <c:ptCount val="41"/>
                <c:pt idx="0">
                  <c:v>9269</c:v>
                </c:pt>
                <c:pt idx="1">
                  <c:v>8500</c:v>
                </c:pt>
                <c:pt idx="2">
                  <c:v>9000</c:v>
                </c:pt>
                <c:pt idx="3">
                  <c:v>9680.4726947536765</c:v>
                </c:pt>
                <c:pt idx="4">
                  <c:v>10360.945389507351</c:v>
                </c:pt>
                <c:pt idx="5">
                  <c:v>11069.441988028189</c:v>
                </c:pt>
                <c:pt idx="6">
                  <c:v>11585.081817343933</c:v>
                </c:pt>
                <c:pt idx="7">
                  <c:v>12100.721646659676</c:v>
                </c:pt>
                <c:pt idx="8">
                  <c:v>12616.361475975422</c:v>
                </c:pt>
                <c:pt idx="9">
                  <c:v>13082.903425891102</c:v>
                </c:pt>
                <c:pt idx="10">
                  <c:v>13552.359861798563</c:v>
                </c:pt>
                <c:pt idx="11">
                  <c:v>13825.873162566044</c:v>
                </c:pt>
                <c:pt idx="12">
                  <c:v>14055.893364686894</c:v>
                </c:pt>
                <c:pt idx="13">
                  <c:v>14257.441280580308</c:v>
                </c:pt>
                <c:pt idx="14">
                  <c:v>14402.044624018854</c:v>
                </c:pt>
                <c:pt idx="15">
                  <c:v>14533.196493649162</c:v>
                </c:pt>
                <c:pt idx="16">
                  <c:v>14542.164142854654</c:v>
                </c:pt>
                <c:pt idx="17">
                  <c:v>14551.131792060145</c:v>
                </c:pt>
                <c:pt idx="18">
                  <c:v>14560.099441265636</c:v>
                </c:pt>
                <c:pt idx="19">
                  <c:v>14569.067090471128</c:v>
                </c:pt>
                <c:pt idx="20">
                  <c:v>14578.034739676617</c:v>
                </c:pt>
                <c:pt idx="21">
                  <c:v>14462.576256155919</c:v>
                </c:pt>
                <c:pt idx="22">
                  <c:v>14347.117772635222</c:v>
                </c:pt>
                <c:pt idx="23">
                  <c:v>14231.659289114523</c:v>
                </c:pt>
                <c:pt idx="24">
                  <c:v>14116.200805593822</c:v>
                </c:pt>
                <c:pt idx="25">
                  <c:v>14000.742322073122</c:v>
                </c:pt>
                <c:pt idx="26">
                  <c:v>13776.551091935842</c:v>
                </c:pt>
                <c:pt idx="27">
                  <c:v>13552.359861798563</c:v>
                </c:pt>
                <c:pt idx="28">
                  <c:v>13328.168631661283</c:v>
                </c:pt>
                <c:pt idx="29">
                  <c:v>13103.977401524004</c:v>
                </c:pt>
                <c:pt idx="30">
                  <c:v>12879.786171386724</c:v>
                </c:pt>
                <c:pt idx="31">
                  <c:v>12601.789046016496</c:v>
                </c:pt>
                <c:pt idx="32">
                  <c:v>12323.79192064627</c:v>
                </c:pt>
                <c:pt idx="33">
                  <c:v>12045.794795276042</c:v>
                </c:pt>
                <c:pt idx="34">
                  <c:v>11767.797669905816</c:v>
                </c:pt>
                <c:pt idx="35">
                  <c:v>11489.800544535588</c:v>
                </c:pt>
                <c:pt idx="36">
                  <c:v>11191.626208453006</c:v>
                </c:pt>
                <c:pt idx="37">
                  <c:v>10893.451872370424</c:v>
                </c:pt>
                <c:pt idx="38">
                  <c:v>10595.277536287844</c:v>
                </c:pt>
                <c:pt idx="39">
                  <c:v>10297.103200205262</c:v>
                </c:pt>
                <c:pt idx="40">
                  <c:v>9998.9288641226776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3C-4858-903C-88B33F4995FF}"/>
            </c:ext>
          </c:extLst>
        </c:ser>
        <c:ser>
          <c:idx val="6"/>
          <c:order val="6"/>
          <c:tx>
            <c:strRef>
              <c:f>中情景!$B$8</c:f>
              <c:strCache>
                <c:ptCount val="1"/>
                <c:pt idx="0">
                  <c:v>石灰石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中情景!$E$8:$AS$8</c:f>
              <c:numCache>
                <c:formatCode>0</c:formatCode>
                <c:ptCount val="41"/>
                <c:pt idx="0">
                  <c:v>31.55</c:v>
                </c:pt>
                <c:pt idx="1">
                  <c:v>31.4</c:v>
                </c:pt>
                <c:pt idx="2">
                  <c:v>28.79</c:v>
                </c:pt>
                <c:pt idx="3">
                  <c:v>29.545899406936947</c:v>
                </c:pt>
                <c:pt idx="4">
                  <c:v>30.301798813873894</c:v>
                </c:pt>
                <c:pt idx="5">
                  <c:v>31.151368104788574</c:v>
                </c:pt>
                <c:pt idx="6">
                  <c:v>31.427521374869844</c:v>
                </c:pt>
                <c:pt idx="7">
                  <c:v>31.703674644951107</c:v>
                </c:pt>
                <c:pt idx="8">
                  <c:v>31.97982791503237</c:v>
                </c:pt>
                <c:pt idx="9">
                  <c:v>32.142614519217943</c:v>
                </c:pt>
                <c:pt idx="10">
                  <c:v>32.319371372239971</c:v>
                </c:pt>
                <c:pt idx="11">
                  <c:v>31.921009353623546</c:v>
                </c:pt>
                <c:pt idx="12">
                  <c:v>31.437126695217422</c:v>
                </c:pt>
                <c:pt idx="13">
                  <c:v>30.909964458656784</c:v>
                </c:pt>
                <c:pt idx="14">
                  <c:v>30.296243065787124</c:v>
                </c:pt>
                <c:pt idx="15">
                  <c:v>29.681483156398144</c:v>
                </c:pt>
                <c:pt idx="16">
                  <c:v>29.109426496617019</c:v>
                </c:pt>
                <c:pt idx="17">
                  <c:v>28.5373698368359</c:v>
                </c:pt>
                <c:pt idx="18">
                  <c:v>27.965313177054778</c:v>
                </c:pt>
                <c:pt idx="19">
                  <c:v>27.393256517273656</c:v>
                </c:pt>
                <c:pt idx="20">
                  <c:v>26.821199857492534</c:v>
                </c:pt>
                <c:pt idx="21">
                  <c:v>26.035852641233859</c:v>
                </c:pt>
                <c:pt idx="22">
                  <c:v>25.250505424975184</c:v>
                </c:pt>
                <c:pt idx="23">
                  <c:v>24.46515820871651</c:v>
                </c:pt>
                <c:pt idx="24">
                  <c:v>23.679810992457835</c:v>
                </c:pt>
                <c:pt idx="25">
                  <c:v>22.894463776199167</c:v>
                </c:pt>
                <c:pt idx="26">
                  <c:v>22.332252643941004</c:v>
                </c:pt>
                <c:pt idx="27">
                  <c:v>21.770041511682837</c:v>
                </c:pt>
                <c:pt idx="28">
                  <c:v>21.207830379424671</c:v>
                </c:pt>
                <c:pt idx="29">
                  <c:v>20.645619247166508</c:v>
                </c:pt>
                <c:pt idx="30">
                  <c:v>20.083408114908337</c:v>
                </c:pt>
                <c:pt idx="31">
                  <c:v>19.712473062577217</c:v>
                </c:pt>
                <c:pt idx="32">
                  <c:v>19.341538010246097</c:v>
                </c:pt>
                <c:pt idx="33">
                  <c:v>18.970602957914974</c:v>
                </c:pt>
                <c:pt idx="34">
                  <c:v>18.599667905583853</c:v>
                </c:pt>
                <c:pt idx="35">
                  <c:v>18.228732853252737</c:v>
                </c:pt>
                <c:pt idx="36">
                  <c:v>18.03860999484931</c:v>
                </c:pt>
                <c:pt idx="37">
                  <c:v>17.84848713644589</c:v>
                </c:pt>
                <c:pt idx="38">
                  <c:v>17.658364278042463</c:v>
                </c:pt>
                <c:pt idx="39">
                  <c:v>17.468241419639043</c:v>
                </c:pt>
                <c:pt idx="40">
                  <c:v>17.278118561235615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3C-4858-903C-88B33F4995FF}"/>
            </c:ext>
          </c:extLst>
        </c:ser>
        <c:ser>
          <c:idx val="7"/>
          <c:order val="7"/>
          <c:tx>
            <c:strRef>
              <c:f>中情景!$B$9</c:f>
              <c:strCache>
                <c:ptCount val="1"/>
                <c:pt idx="0">
                  <c:v>纸和纸板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中情景!$E$9:$AS$9</c:f>
              <c:numCache>
                <c:formatCode>0</c:formatCode>
                <c:ptCount val="41"/>
                <c:pt idx="0">
                  <c:v>12700.63</c:v>
                </c:pt>
                <c:pt idx="1">
                  <c:v>13583.87</c:v>
                </c:pt>
                <c:pt idx="2">
                  <c:v>13691.4</c:v>
                </c:pt>
                <c:pt idx="3">
                  <c:v>14410.933333333331</c:v>
                </c:pt>
                <c:pt idx="4">
                  <c:v>15130.466666666665</c:v>
                </c:pt>
                <c:pt idx="5">
                  <c:v>15875</c:v>
                </c:pt>
                <c:pt idx="6">
                  <c:v>16250</c:v>
                </c:pt>
                <c:pt idx="7">
                  <c:v>16625</c:v>
                </c:pt>
                <c:pt idx="8">
                  <c:v>17000</c:v>
                </c:pt>
                <c:pt idx="9">
                  <c:v>17348</c:v>
                </c:pt>
                <c:pt idx="10">
                  <c:v>17700</c:v>
                </c:pt>
                <c:pt idx="11">
                  <c:v>17870</c:v>
                </c:pt>
                <c:pt idx="12">
                  <c:v>18016</c:v>
                </c:pt>
                <c:pt idx="13">
                  <c:v>18145</c:v>
                </c:pt>
                <c:pt idx="14">
                  <c:v>18240</c:v>
                </c:pt>
                <c:pt idx="15">
                  <c:v>18325</c:v>
                </c:pt>
                <c:pt idx="16">
                  <c:v>18335</c:v>
                </c:pt>
                <c:pt idx="17">
                  <c:v>18345</c:v>
                </c:pt>
                <c:pt idx="18">
                  <c:v>18355</c:v>
                </c:pt>
                <c:pt idx="19">
                  <c:v>18365</c:v>
                </c:pt>
                <c:pt idx="20">
                  <c:v>18375</c:v>
                </c:pt>
                <c:pt idx="21">
                  <c:v>18230</c:v>
                </c:pt>
                <c:pt idx="22">
                  <c:v>18085</c:v>
                </c:pt>
                <c:pt idx="23">
                  <c:v>17940</c:v>
                </c:pt>
                <c:pt idx="24">
                  <c:v>17795</c:v>
                </c:pt>
                <c:pt idx="25">
                  <c:v>17650</c:v>
                </c:pt>
                <c:pt idx="26">
                  <c:v>17446</c:v>
                </c:pt>
                <c:pt idx="27">
                  <c:v>17242</c:v>
                </c:pt>
                <c:pt idx="28">
                  <c:v>17038</c:v>
                </c:pt>
                <c:pt idx="29">
                  <c:v>16834</c:v>
                </c:pt>
                <c:pt idx="30">
                  <c:v>16630</c:v>
                </c:pt>
                <c:pt idx="31">
                  <c:v>16379</c:v>
                </c:pt>
                <c:pt idx="32">
                  <c:v>16128</c:v>
                </c:pt>
                <c:pt idx="33">
                  <c:v>15877</c:v>
                </c:pt>
                <c:pt idx="34">
                  <c:v>15626</c:v>
                </c:pt>
                <c:pt idx="35">
                  <c:v>15375</c:v>
                </c:pt>
                <c:pt idx="36">
                  <c:v>15075</c:v>
                </c:pt>
                <c:pt idx="37">
                  <c:v>14775</c:v>
                </c:pt>
                <c:pt idx="38">
                  <c:v>14475</c:v>
                </c:pt>
                <c:pt idx="39">
                  <c:v>14175</c:v>
                </c:pt>
                <c:pt idx="40">
                  <c:v>13875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3C-4858-903C-88B33F4995FF}"/>
            </c:ext>
          </c:extLst>
        </c:ser>
        <c:ser>
          <c:idx val="8"/>
          <c:order val="8"/>
          <c:tx>
            <c:strRef>
              <c:f>中情景!$B$10</c:f>
              <c:strCache>
                <c:ptCount val="1"/>
                <c:pt idx="0">
                  <c:v>原油加工量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中情景!$E$10:$AS$10</c:f>
              <c:numCache>
                <c:formatCode>0</c:formatCode>
                <c:ptCount val="41"/>
                <c:pt idx="0">
                  <c:v>6.7441000000000004</c:v>
                </c:pt>
                <c:pt idx="1">
                  <c:v>7</c:v>
                </c:pt>
                <c:pt idx="2">
                  <c:v>6.7590000000000003</c:v>
                </c:pt>
                <c:pt idx="3">
                  <c:v>6.9040495310668231</c:v>
                </c:pt>
                <c:pt idx="4">
                  <c:v>7.0490990621336449</c:v>
                </c:pt>
                <c:pt idx="5">
                  <c:v>7.1891962192262593</c:v>
                </c:pt>
                <c:pt idx="6">
                  <c:v>7.2288152110199295</c:v>
                </c:pt>
                <c:pt idx="7">
                  <c:v>7.2684342028135998</c:v>
                </c:pt>
                <c:pt idx="8">
                  <c:v>7.3080531946072682</c:v>
                </c:pt>
                <c:pt idx="9">
                  <c:v>7.3601521688159446</c:v>
                </c:pt>
                <c:pt idx="10">
                  <c:v>7.4120530480656495</c:v>
                </c:pt>
                <c:pt idx="11">
                  <c:v>7.4549736225087919</c:v>
                </c:pt>
                <c:pt idx="12">
                  <c:v>7.5064783118405627</c:v>
                </c:pt>
                <c:pt idx="13">
                  <c:v>7.5606242672919093</c:v>
                </c:pt>
                <c:pt idx="14">
                  <c:v>7.6200527549824137</c:v>
                </c:pt>
                <c:pt idx="15">
                  <c:v>7.6761796600234451</c:v>
                </c:pt>
                <c:pt idx="16">
                  <c:v>7.6775002930832343</c:v>
                </c:pt>
                <c:pt idx="17">
                  <c:v>7.6788209261430236</c:v>
                </c:pt>
                <c:pt idx="18">
                  <c:v>7.6801415592028128</c:v>
                </c:pt>
                <c:pt idx="19">
                  <c:v>7.6814621922626021</c:v>
                </c:pt>
                <c:pt idx="20">
                  <c:v>7.6827828253223904</c:v>
                </c:pt>
                <c:pt idx="21">
                  <c:v>7.6226940211019922</c:v>
                </c:pt>
                <c:pt idx="22">
                  <c:v>7.562605216881594</c:v>
                </c:pt>
                <c:pt idx="23">
                  <c:v>7.502516412661195</c:v>
                </c:pt>
                <c:pt idx="24">
                  <c:v>7.4424276084407968</c:v>
                </c:pt>
                <c:pt idx="25">
                  <c:v>7.3823388042203977</c:v>
                </c:pt>
                <c:pt idx="26">
                  <c:v>7.2925357561547468</c:v>
                </c:pt>
                <c:pt idx="27">
                  <c:v>7.2027327080890977</c:v>
                </c:pt>
                <c:pt idx="28">
                  <c:v>7.1129296600234468</c:v>
                </c:pt>
                <c:pt idx="29">
                  <c:v>7.023126611957796</c:v>
                </c:pt>
                <c:pt idx="30">
                  <c:v>6.9333235638921451</c:v>
                </c:pt>
                <c:pt idx="31">
                  <c:v>6.8045618405627195</c:v>
                </c:pt>
                <c:pt idx="32">
                  <c:v>6.6758001172332939</c:v>
                </c:pt>
                <c:pt idx="33">
                  <c:v>6.5470383939038674</c:v>
                </c:pt>
                <c:pt idx="34">
                  <c:v>6.4182766705744418</c:v>
                </c:pt>
                <c:pt idx="35">
                  <c:v>6.2895149472450171</c:v>
                </c:pt>
                <c:pt idx="36">
                  <c:v>6.2082960140679946</c:v>
                </c:pt>
                <c:pt idx="37">
                  <c:v>6.127077080890972</c:v>
                </c:pt>
                <c:pt idx="38">
                  <c:v>6.0458581477139504</c:v>
                </c:pt>
                <c:pt idx="39">
                  <c:v>5.9646392145369287</c:v>
                </c:pt>
                <c:pt idx="40">
                  <c:v>5.8834202813599052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3C-4858-903C-88B33F4995FF}"/>
            </c:ext>
          </c:extLst>
        </c:ser>
        <c:ser>
          <c:idx val="9"/>
          <c:order val="9"/>
          <c:tx>
            <c:strRef>
              <c:f>中情景!$B$11</c:f>
              <c:strCache>
                <c:ptCount val="1"/>
                <c:pt idx="0">
                  <c:v>焦炭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中情景!$E$11:$AS$11</c:f>
              <c:numCache>
                <c:formatCode>0</c:formatCode>
                <c:ptCount val="41"/>
                <c:pt idx="0">
                  <c:v>47116</c:v>
                </c:pt>
                <c:pt idx="1">
                  <c:v>46400</c:v>
                </c:pt>
                <c:pt idx="2">
                  <c:v>47300</c:v>
                </c:pt>
                <c:pt idx="3">
                  <c:v>50398.33673720323</c:v>
                </c:pt>
                <c:pt idx="4">
                  <c:v>53496.67347440646</c:v>
                </c:pt>
                <c:pt idx="5">
                  <c:v>56920.268890986772</c:v>
                </c:pt>
                <c:pt idx="6">
                  <c:v>57988.975980368567</c:v>
                </c:pt>
                <c:pt idx="7">
                  <c:v>59057.683069750361</c:v>
                </c:pt>
                <c:pt idx="8">
                  <c:v>60126.390159132156</c:v>
                </c:pt>
                <c:pt idx="9">
                  <c:v>60888.424779387002</c:v>
                </c:pt>
                <c:pt idx="10">
                  <c:v>61706.218030392192</c:v>
                </c:pt>
                <c:pt idx="11">
                  <c:v>61576.114558641362</c:v>
                </c:pt>
                <c:pt idx="12">
                  <c:v>61193.238627488936</c:v>
                </c:pt>
                <c:pt idx="13">
                  <c:v>60646.804046135454</c:v>
                </c:pt>
                <c:pt idx="14">
                  <c:v>59773.252164379905</c:v>
                </c:pt>
                <c:pt idx="15">
                  <c:v>58825.355441623891</c:v>
                </c:pt>
                <c:pt idx="16">
                  <c:v>58040.088058556401</c:v>
                </c:pt>
                <c:pt idx="17">
                  <c:v>57254.820675488903</c:v>
                </c:pt>
                <c:pt idx="18">
                  <c:v>56469.553292421413</c:v>
                </c:pt>
                <c:pt idx="19">
                  <c:v>55684.285909353915</c:v>
                </c:pt>
                <c:pt idx="20">
                  <c:v>54899.018526286432</c:v>
                </c:pt>
                <c:pt idx="21">
                  <c:v>53672.328649778639</c:v>
                </c:pt>
                <c:pt idx="22">
                  <c:v>52445.638773270839</c:v>
                </c:pt>
                <c:pt idx="23">
                  <c:v>51218.948896763031</c:v>
                </c:pt>
                <c:pt idx="24">
                  <c:v>49992.259020255238</c:v>
                </c:pt>
                <c:pt idx="25">
                  <c:v>48765.569143747445</c:v>
                </c:pt>
                <c:pt idx="26">
                  <c:v>47497.060294176881</c:v>
                </c:pt>
                <c:pt idx="27">
                  <c:v>46228.551444606317</c:v>
                </c:pt>
                <c:pt idx="28">
                  <c:v>44960.042595035753</c:v>
                </c:pt>
                <c:pt idx="29">
                  <c:v>43691.533745465189</c:v>
                </c:pt>
                <c:pt idx="30">
                  <c:v>42423.024895894632</c:v>
                </c:pt>
                <c:pt idx="31">
                  <c:v>41298.559175762486</c:v>
                </c:pt>
                <c:pt idx="32">
                  <c:v>40174.09345563034</c:v>
                </c:pt>
                <c:pt idx="33">
                  <c:v>39049.627735498187</c:v>
                </c:pt>
                <c:pt idx="34">
                  <c:v>37925.162015366033</c:v>
                </c:pt>
                <c:pt idx="35">
                  <c:v>36800.696295233894</c:v>
                </c:pt>
                <c:pt idx="36">
                  <c:v>35684.157036187113</c:v>
                </c:pt>
                <c:pt idx="37">
                  <c:v>34567.617777140331</c:v>
                </c:pt>
                <c:pt idx="38">
                  <c:v>33451.078518093556</c:v>
                </c:pt>
                <c:pt idx="39">
                  <c:v>32334.539259046775</c:v>
                </c:pt>
                <c:pt idx="40">
                  <c:v>31217.999999999993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3C-4858-903C-88B33F4995FF}"/>
            </c:ext>
          </c:extLst>
        </c:ser>
        <c:ser>
          <c:idx val="10"/>
          <c:order val="10"/>
          <c:tx>
            <c:strRef>
              <c:f>中情景!$B$12</c:f>
              <c:strCache>
                <c:ptCount val="1"/>
                <c:pt idx="0">
                  <c:v>烧碱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中情景!$E$12:$AS$12</c:f>
              <c:numCache>
                <c:formatCode>0</c:formatCode>
                <c:ptCount val="41"/>
                <c:pt idx="0">
                  <c:v>3673.87</c:v>
                </c:pt>
                <c:pt idx="1">
                  <c:v>3891.31</c:v>
                </c:pt>
                <c:pt idx="2">
                  <c:v>3463.08</c:v>
                </c:pt>
                <c:pt idx="3">
                  <c:v>3812.0533333333333</c:v>
                </c:pt>
                <c:pt idx="4">
                  <c:v>4161.0266666666666</c:v>
                </c:pt>
                <c:pt idx="5">
                  <c:v>4525</c:v>
                </c:pt>
                <c:pt idx="6">
                  <c:v>4715</c:v>
                </c:pt>
                <c:pt idx="7">
                  <c:v>4905</c:v>
                </c:pt>
                <c:pt idx="8">
                  <c:v>5095</c:v>
                </c:pt>
                <c:pt idx="9">
                  <c:v>5271.2</c:v>
                </c:pt>
                <c:pt idx="10">
                  <c:v>5450</c:v>
                </c:pt>
                <c:pt idx="11">
                  <c:v>5558</c:v>
                </c:pt>
                <c:pt idx="12">
                  <c:v>5654.4000000000005</c:v>
                </c:pt>
                <c:pt idx="13">
                  <c:v>5743</c:v>
                </c:pt>
                <c:pt idx="14">
                  <c:v>5816</c:v>
                </c:pt>
                <c:pt idx="15">
                  <c:v>5885</c:v>
                </c:pt>
                <c:pt idx="16">
                  <c:v>5936</c:v>
                </c:pt>
                <c:pt idx="17">
                  <c:v>5987</c:v>
                </c:pt>
                <c:pt idx="18">
                  <c:v>6038</c:v>
                </c:pt>
                <c:pt idx="19">
                  <c:v>6089</c:v>
                </c:pt>
                <c:pt idx="20">
                  <c:v>6140</c:v>
                </c:pt>
                <c:pt idx="21">
                  <c:v>6133</c:v>
                </c:pt>
                <c:pt idx="22">
                  <c:v>6126</c:v>
                </c:pt>
                <c:pt idx="23">
                  <c:v>6119</c:v>
                </c:pt>
                <c:pt idx="24">
                  <c:v>6112</c:v>
                </c:pt>
                <c:pt idx="25">
                  <c:v>6105</c:v>
                </c:pt>
                <c:pt idx="26">
                  <c:v>6062.5</c:v>
                </c:pt>
                <c:pt idx="27">
                  <c:v>6020</c:v>
                </c:pt>
                <c:pt idx="28">
                  <c:v>5977.5</c:v>
                </c:pt>
                <c:pt idx="29">
                  <c:v>5935</c:v>
                </c:pt>
                <c:pt idx="30">
                  <c:v>5892.5</c:v>
                </c:pt>
                <c:pt idx="31">
                  <c:v>5828</c:v>
                </c:pt>
                <c:pt idx="32">
                  <c:v>5763.5</c:v>
                </c:pt>
                <c:pt idx="33">
                  <c:v>5699</c:v>
                </c:pt>
                <c:pt idx="34">
                  <c:v>5634.5</c:v>
                </c:pt>
                <c:pt idx="35">
                  <c:v>5570</c:v>
                </c:pt>
                <c:pt idx="36">
                  <c:v>5499</c:v>
                </c:pt>
                <c:pt idx="37">
                  <c:v>5428</c:v>
                </c:pt>
                <c:pt idx="38">
                  <c:v>5357</c:v>
                </c:pt>
                <c:pt idx="39">
                  <c:v>5286</c:v>
                </c:pt>
                <c:pt idx="40">
                  <c:v>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3C-4858-903C-88B33F4995FF}"/>
            </c:ext>
          </c:extLst>
        </c:ser>
        <c:ser>
          <c:idx val="11"/>
          <c:order val="11"/>
          <c:tx>
            <c:strRef>
              <c:f>中情景!$B$13</c:f>
              <c:strCache>
                <c:ptCount val="1"/>
                <c:pt idx="0">
                  <c:v>纯碱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中情景!$E$13:$AS$13</c:f>
              <c:numCache>
                <c:formatCode>0</c:formatCode>
                <c:ptCount val="41"/>
                <c:pt idx="0">
                  <c:v>2812.37</c:v>
                </c:pt>
                <c:pt idx="1">
                  <c:v>2913.25</c:v>
                </c:pt>
                <c:pt idx="2">
                  <c:v>2920.2</c:v>
                </c:pt>
                <c:pt idx="3">
                  <c:v>3131.7999999999997</c:v>
                </c:pt>
                <c:pt idx="4">
                  <c:v>3343.3999999999996</c:v>
                </c:pt>
                <c:pt idx="5">
                  <c:v>3562.5</c:v>
                </c:pt>
                <c:pt idx="6">
                  <c:v>3704.5</c:v>
                </c:pt>
                <c:pt idx="7">
                  <c:v>3846.5</c:v>
                </c:pt>
                <c:pt idx="8">
                  <c:v>3988.5</c:v>
                </c:pt>
                <c:pt idx="9">
                  <c:v>4117.3599999999997</c:v>
                </c:pt>
                <c:pt idx="10">
                  <c:v>4247</c:v>
                </c:pt>
                <c:pt idx="11">
                  <c:v>4314.3999999999996</c:v>
                </c:pt>
                <c:pt idx="12">
                  <c:v>4369.92</c:v>
                </c:pt>
                <c:pt idx="13">
                  <c:v>4417.3999999999996</c:v>
                </c:pt>
                <c:pt idx="14">
                  <c:v>4448.8</c:v>
                </c:pt>
                <c:pt idx="15">
                  <c:v>4476</c:v>
                </c:pt>
                <c:pt idx="16">
                  <c:v>4491.5</c:v>
                </c:pt>
                <c:pt idx="17">
                  <c:v>4507</c:v>
                </c:pt>
                <c:pt idx="18">
                  <c:v>4522.5</c:v>
                </c:pt>
                <c:pt idx="19">
                  <c:v>4538</c:v>
                </c:pt>
                <c:pt idx="20">
                  <c:v>4553.5</c:v>
                </c:pt>
                <c:pt idx="21">
                  <c:v>4536.3</c:v>
                </c:pt>
                <c:pt idx="22">
                  <c:v>4519.1000000000004</c:v>
                </c:pt>
                <c:pt idx="23">
                  <c:v>4501.8999999999996</c:v>
                </c:pt>
                <c:pt idx="24">
                  <c:v>4484.7</c:v>
                </c:pt>
                <c:pt idx="25">
                  <c:v>4467.5</c:v>
                </c:pt>
                <c:pt idx="26">
                  <c:v>4433</c:v>
                </c:pt>
                <c:pt idx="27">
                  <c:v>4398.5</c:v>
                </c:pt>
                <c:pt idx="28">
                  <c:v>4364</c:v>
                </c:pt>
                <c:pt idx="29">
                  <c:v>4329.5</c:v>
                </c:pt>
                <c:pt idx="30">
                  <c:v>4295</c:v>
                </c:pt>
                <c:pt idx="31">
                  <c:v>4255</c:v>
                </c:pt>
                <c:pt idx="32">
                  <c:v>4215</c:v>
                </c:pt>
                <c:pt idx="33">
                  <c:v>4175</c:v>
                </c:pt>
                <c:pt idx="34">
                  <c:v>4135</c:v>
                </c:pt>
                <c:pt idx="35">
                  <c:v>4095</c:v>
                </c:pt>
                <c:pt idx="36">
                  <c:v>4044</c:v>
                </c:pt>
                <c:pt idx="37">
                  <c:v>3993</c:v>
                </c:pt>
                <c:pt idx="38">
                  <c:v>3942</c:v>
                </c:pt>
                <c:pt idx="39">
                  <c:v>3891</c:v>
                </c:pt>
                <c:pt idx="40">
                  <c:v>3840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A3C-4858-903C-88B33F4995FF}"/>
            </c:ext>
          </c:extLst>
        </c:ser>
        <c:ser>
          <c:idx val="12"/>
          <c:order val="12"/>
          <c:tx>
            <c:strRef>
              <c:f>中情景!$B$14</c:f>
              <c:strCache>
                <c:ptCount val="1"/>
                <c:pt idx="0">
                  <c:v>乙烯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中情景!$E$14:$AS$14</c:f>
              <c:numCache>
                <c:formatCode>0</c:formatCode>
                <c:ptCount val="41"/>
                <c:pt idx="0">
                  <c:v>2159.96</c:v>
                </c:pt>
                <c:pt idx="1">
                  <c:v>2825.67</c:v>
                </c:pt>
                <c:pt idx="2">
                  <c:v>2897.51</c:v>
                </c:pt>
                <c:pt idx="3">
                  <c:v>3338.3399999999997</c:v>
                </c:pt>
                <c:pt idx="4">
                  <c:v>3779.17</c:v>
                </c:pt>
                <c:pt idx="5">
                  <c:v>4250</c:v>
                </c:pt>
                <c:pt idx="6">
                  <c:v>4450</c:v>
                </c:pt>
                <c:pt idx="7">
                  <c:v>4650</c:v>
                </c:pt>
                <c:pt idx="8">
                  <c:v>4850</c:v>
                </c:pt>
                <c:pt idx="9">
                  <c:v>5032</c:v>
                </c:pt>
                <c:pt idx="10">
                  <c:v>5220</c:v>
                </c:pt>
                <c:pt idx="11">
                  <c:v>5340</c:v>
                </c:pt>
                <c:pt idx="12">
                  <c:v>5448</c:v>
                </c:pt>
                <c:pt idx="13">
                  <c:v>5550</c:v>
                </c:pt>
                <c:pt idx="14">
                  <c:v>5640</c:v>
                </c:pt>
                <c:pt idx="15">
                  <c:v>5730</c:v>
                </c:pt>
                <c:pt idx="16">
                  <c:v>5781</c:v>
                </c:pt>
                <c:pt idx="17">
                  <c:v>5832</c:v>
                </c:pt>
                <c:pt idx="18">
                  <c:v>5883</c:v>
                </c:pt>
                <c:pt idx="19">
                  <c:v>5934</c:v>
                </c:pt>
                <c:pt idx="20">
                  <c:v>5985</c:v>
                </c:pt>
                <c:pt idx="21">
                  <c:v>5987</c:v>
                </c:pt>
                <c:pt idx="22">
                  <c:v>5989</c:v>
                </c:pt>
                <c:pt idx="23">
                  <c:v>5991</c:v>
                </c:pt>
                <c:pt idx="24">
                  <c:v>5993</c:v>
                </c:pt>
                <c:pt idx="25">
                  <c:v>5995</c:v>
                </c:pt>
                <c:pt idx="26">
                  <c:v>5950.5</c:v>
                </c:pt>
                <c:pt idx="27">
                  <c:v>5906</c:v>
                </c:pt>
                <c:pt idx="28">
                  <c:v>5861.5</c:v>
                </c:pt>
                <c:pt idx="29">
                  <c:v>5817</c:v>
                </c:pt>
                <c:pt idx="30">
                  <c:v>5772.5</c:v>
                </c:pt>
                <c:pt idx="31">
                  <c:v>5712.5</c:v>
                </c:pt>
                <c:pt idx="32">
                  <c:v>5652.5</c:v>
                </c:pt>
                <c:pt idx="33">
                  <c:v>5592.5</c:v>
                </c:pt>
                <c:pt idx="34">
                  <c:v>5532.5</c:v>
                </c:pt>
                <c:pt idx="35">
                  <c:v>5472.5</c:v>
                </c:pt>
                <c:pt idx="36">
                  <c:v>5422.5</c:v>
                </c:pt>
                <c:pt idx="37">
                  <c:v>5372.5</c:v>
                </c:pt>
                <c:pt idx="38">
                  <c:v>5322.5</c:v>
                </c:pt>
                <c:pt idx="39">
                  <c:v>5272.5</c:v>
                </c:pt>
                <c:pt idx="40">
                  <c:v>5222.5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A3C-4858-903C-88B33F4995FF}"/>
            </c:ext>
          </c:extLst>
        </c:ser>
        <c:ser>
          <c:idx val="13"/>
          <c:order val="13"/>
          <c:tx>
            <c:strRef>
              <c:f>中情景!$B$15</c:f>
              <c:strCache>
                <c:ptCount val="1"/>
                <c:pt idx="0">
                  <c:v>合成氨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中情景!$E$15:$AS$15</c:f>
              <c:numCache>
                <c:formatCode>0</c:formatCode>
                <c:ptCount val="41"/>
                <c:pt idx="0">
                  <c:v>5117.13</c:v>
                </c:pt>
                <c:pt idx="1">
                  <c:v>5189.38</c:v>
                </c:pt>
                <c:pt idx="2">
                  <c:v>5321.01</c:v>
                </c:pt>
                <c:pt idx="3">
                  <c:v>5607.34</c:v>
                </c:pt>
                <c:pt idx="4">
                  <c:v>5893.67</c:v>
                </c:pt>
                <c:pt idx="5">
                  <c:v>6200</c:v>
                </c:pt>
                <c:pt idx="6">
                  <c:v>6380</c:v>
                </c:pt>
                <c:pt idx="7">
                  <c:v>6560</c:v>
                </c:pt>
                <c:pt idx="8">
                  <c:v>6740</c:v>
                </c:pt>
                <c:pt idx="9">
                  <c:v>6908</c:v>
                </c:pt>
                <c:pt idx="10">
                  <c:v>7080</c:v>
                </c:pt>
                <c:pt idx="11">
                  <c:v>7186</c:v>
                </c:pt>
                <c:pt idx="12">
                  <c:v>7284.8</c:v>
                </c:pt>
                <c:pt idx="13">
                  <c:v>7381</c:v>
                </c:pt>
                <c:pt idx="14">
                  <c:v>7472</c:v>
                </c:pt>
                <c:pt idx="15">
                  <c:v>7565</c:v>
                </c:pt>
                <c:pt idx="16">
                  <c:v>7616</c:v>
                </c:pt>
                <c:pt idx="17">
                  <c:v>7667</c:v>
                </c:pt>
                <c:pt idx="18">
                  <c:v>7718</c:v>
                </c:pt>
                <c:pt idx="19">
                  <c:v>7769</c:v>
                </c:pt>
                <c:pt idx="20">
                  <c:v>7820</c:v>
                </c:pt>
                <c:pt idx="21">
                  <c:v>7833</c:v>
                </c:pt>
                <c:pt idx="22">
                  <c:v>7846</c:v>
                </c:pt>
                <c:pt idx="23">
                  <c:v>7859</c:v>
                </c:pt>
                <c:pt idx="24">
                  <c:v>7872</c:v>
                </c:pt>
                <c:pt idx="25">
                  <c:v>7885</c:v>
                </c:pt>
                <c:pt idx="26">
                  <c:v>7889</c:v>
                </c:pt>
                <c:pt idx="27">
                  <c:v>7893</c:v>
                </c:pt>
                <c:pt idx="28">
                  <c:v>7897</c:v>
                </c:pt>
                <c:pt idx="29">
                  <c:v>7901</c:v>
                </c:pt>
                <c:pt idx="30">
                  <c:v>7905</c:v>
                </c:pt>
                <c:pt idx="31">
                  <c:v>7889</c:v>
                </c:pt>
                <c:pt idx="32">
                  <c:v>7873</c:v>
                </c:pt>
                <c:pt idx="33">
                  <c:v>7857</c:v>
                </c:pt>
                <c:pt idx="34">
                  <c:v>7841</c:v>
                </c:pt>
                <c:pt idx="35">
                  <c:v>7825</c:v>
                </c:pt>
                <c:pt idx="36">
                  <c:v>7809</c:v>
                </c:pt>
                <c:pt idx="37">
                  <c:v>7793</c:v>
                </c:pt>
                <c:pt idx="38">
                  <c:v>7777</c:v>
                </c:pt>
                <c:pt idx="39">
                  <c:v>7761</c:v>
                </c:pt>
                <c:pt idx="40">
                  <c:v>7745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A3C-4858-903C-88B33F4995FF}"/>
            </c:ext>
          </c:extLst>
        </c:ser>
        <c:ser>
          <c:idx val="14"/>
          <c:order val="14"/>
          <c:tx>
            <c:strRef>
              <c:f>中情景!$B$16</c:f>
              <c:strCache>
                <c:ptCount val="1"/>
                <c:pt idx="0">
                  <c:v>水泥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中情景!$E$16:$AS$16</c:f>
              <c:numCache>
                <c:formatCode>0</c:formatCode>
                <c:ptCount val="41"/>
                <c:pt idx="0">
                  <c:v>239470.83</c:v>
                </c:pt>
                <c:pt idx="1">
                  <c:v>237724.49</c:v>
                </c:pt>
                <c:pt idx="2">
                  <c:v>212927.18</c:v>
                </c:pt>
                <c:pt idx="3">
                  <c:v>219951.45333333331</c:v>
                </c:pt>
                <c:pt idx="4">
                  <c:v>226975.72666666665</c:v>
                </c:pt>
                <c:pt idx="5">
                  <c:v>235000</c:v>
                </c:pt>
                <c:pt idx="6">
                  <c:v>237100</c:v>
                </c:pt>
                <c:pt idx="7">
                  <c:v>239200</c:v>
                </c:pt>
                <c:pt idx="8">
                  <c:v>241300</c:v>
                </c:pt>
                <c:pt idx="9">
                  <c:v>242368</c:v>
                </c:pt>
                <c:pt idx="10">
                  <c:v>243600</c:v>
                </c:pt>
                <c:pt idx="11">
                  <c:v>240600</c:v>
                </c:pt>
                <c:pt idx="12">
                  <c:v>236840</c:v>
                </c:pt>
                <c:pt idx="13">
                  <c:v>232700</c:v>
                </c:pt>
                <c:pt idx="14">
                  <c:v>227800</c:v>
                </c:pt>
                <c:pt idx="15">
                  <c:v>222900</c:v>
                </c:pt>
                <c:pt idx="16">
                  <c:v>218610</c:v>
                </c:pt>
                <c:pt idx="17">
                  <c:v>214320</c:v>
                </c:pt>
                <c:pt idx="18">
                  <c:v>210030</c:v>
                </c:pt>
                <c:pt idx="19">
                  <c:v>205740</c:v>
                </c:pt>
                <c:pt idx="20">
                  <c:v>201450</c:v>
                </c:pt>
                <c:pt idx="21">
                  <c:v>195560</c:v>
                </c:pt>
                <c:pt idx="22">
                  <c:v>189670</c:v>
                </c:pt>
                <c:pt idx="23">
                  <c:v>183780</c:v>
                </c:pt>
                <c:pt idx="24">
                  <c:v>177890</c:v>
                </c:pt>
                <c:pt idx="25">
                  <c:v>172000</c:v>
                </c:pt>
                <c:pt idx="26">
                  <c:v>167780</c:v>
                </c:pt>
                <c:pt idx="27">
                  <c:v>163560</c:v>
                </c:pt>
                <c:pt idx="28">
                  <c:v>159340</c:v>
                </c:pt>
                <c:pt idx="29">
                  <c:v>155120</c:v>
                </c:pt>
                <c:pt idx="30">
                  <c:v>150900</c:v>
                </c:pt>
                <c:pt idx="31">
                  <c:v>148120</c:v>
                </c:pt>
                <c:pt idx="32">
                  <c:v>145340</c:v>
                </c:pt>
                <c:pt idx="33">
                  <c:v>142560</c:v>
                </c:pt>
                <c:pt idx="34">
                  <c:v>139780</c:v>
                </c:pt>
                <c:pt idx="35">
                  <c:v>137000</c:v>
                </c:pt>
                <c:pt idx="36">
                  <c:v>135577.11596</c:v>
                </c:pt>
                <c:pt idx="37">
                  <c:v>134154.23192000002</c:v>
                </c:pt>
                <c:pt idx="38">
                  <c:v>132731.34788000002</c:v>
                </c:pt>
                <c:pt idx="39">
                  <c:v>131308.46384000001</c:v>
                </c:pt>
                <c:pt idx="40">
                  <c:v>129885.57979999999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3C-4858-903C-88B33F4995FF}"/>
            </c:ext>
          </c:extLst>
        </c:ser>
        <c:ser>
          <c:idx val="15"/>
          <c:order val="15"/>
          <c:tx>
            <c:strRef>
              <c:f>中情景!$B$17</c:f>
              <c:strCache>
                <c:ptCount val="1"/>
                <c:pt idx="0">
                  <c:v>平板玻璃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中情景!$E$17:$AS$17</c:f>
              <c:numCache>
                <c:formatCode>0</c:formatCode>
                <c:ptCount val="41"/>
                <c:pt idx="0">
                  <c:v>95227.79</c:v>
                </c:pt>
                <c:pt idx="1">
                  <c:v>101727.37</c:v>
                </c:pt>
                <c:pt idx="2">
                  <c:v>101668.65</c:v>
                </c:pt>
                <c:pt idx="3">
                  <c:v>107279.09999999999</c:v>
                </c:pt>
                <c:pt idx="4">
                  <c:v>112889.54999999999</c:v>
                </c:pt>
                <c:pt idx="5">
                  <c:v>118750</c:v>
                </c:pt>
                <c:pt idx="6">
                  <c:v>120550</c:v>
                </c:pt>
                <c:pt idx="7">
                  <c:v>122350</c:v>
                </c:pt>
                <c:pt idx="8">
                  <c:v>124150</c:v>
                </c:pt>
                <c:pt idx="9">
                  <c:v>125704</c:v>
                </c:pt>
                <c:pt idx="10">
                  <c:v>127300</c:v>
                </c:pt>
                <c:pt idx="11">
                  <c:v>126980</c:v>
                </c:pt>
                <c:pt idx="12">
                  <c:v>126464</c:v>
                </c:pt>
                <c:pt idx="13">
                  <c:v>125830</c:v>
                </c:pt>
                <c:pt idx="14">
                  <c:v>124960</c:v>
                </c:pt>
                <c:pt idx="15">
                  <c:v>124050</c:v>
                </c:pt>
                <c:pt idx="16">
                  <c:v>122490</c:v>
                </c:pt>
                <c:pt idx="17">
                  <c:v>120930</c:v>
                </c:pt>
                <c:pt idx="18">
                  <c:v>119370</c:v>
                </c:pt>
                <c:pt idx="19">
                  <c:v>117810</c:v>
                </c:pt>
                <c:pt idx="20">
                  <c:v>116250</c:v>
                </c:pt>
                <c:pt idx="21">
                  <c:v>114510</c:v>
                </c:pt>
                <c:pt idx="22">
                  <c:v>112770</c:v>
                </c:pt>
                <c:pt idx="23">
                  <c:v>111030</c:v>
                </c:pt>
                <c:pt idx="24">
                  <c:v>109290</c:v>
                </c:pt>
                <c:pt idx="25">
                  <c:v>107550</c:v>
                </c:pt>
                <c:pt idx="26">
                  <c:v>105390</c:v>
                </c:pt>
                <c:pt idx="27">
                  <c:v>103230</c:v>
                </c:pt>
                <c:pt idx="28">
                  <c:v>101070</c:v>
                </c:pt>
                <c:pt idx="29">
                  <c:v>98910</c:v>
                </c:pt>
                <c:pt idx="30">
                  <c:v>96750</c:v>
                </c:pt>
                <c:pt idx="31">
                  <c:v>95420</c:v>
                </c:pt>
                <c:pt idx="32">
                  <c:v>94090</c:v>
                </c:pt>
                <c:pt idx="33">
                  <c:v>92760</c:v>
                </c:pt>
                <c:pt idx="34">
                  <c:v>91430</c:v>
                </c:pt>
                <c:pt idx="35">
                  <c:v>90100</c:v>
                </c:pt>
                <c:pt idx="36">
                  <c:v>88550</c:v>
                </c:pt>
                <c:pt idx="37">
                  <c:v>87000</c:v>
                </c:pt>
                <c:pt idx="38">
                  <c:v>85450</c:v>
                </c:pt>
                <c:pt idx="39">
                  <c:v>83900</c:v>
                </c:pt>
                <c:pt idx="40">
                  <c:v>82350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A3C-4858-903C-88B33F4995FF}"/>
            </c:ext>
          </c:extLst>
        </c:ser>
        <c:ser>
          <c:idx val="16"/>
          <c:order val="16"/>
          <c:tx>
            <c:strRef>
              <c:f>中情景!$B$18</c:f>
              <c:strCache>
                <c:ptCount val="1"/>
                <c:pt idx="0">
                  <c:v>钢铁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中情景!$E$18:$AS$18</c:f>
              <c:numCache>
                <c:formatCode>0</c:formatCode>
                <c:ptCount val="41"/>
                <c:pt idx="0">
                  <c:v>106476.68</c:v>
                </c:pt>
                <c:pt idx="1">
                  <c:v>103524.26</c:v>
                </c:pt>
                <c:pt idx="2">
                  <c:v>101795.9</c:v>
                </c:pt>
                <c:pt idx="3">
                  <c:v>108463.93333333332</c:v>
                </c:pt>
                <c:pt idx="4">
                  <c:v>115131.96666666666</c:v>
                </c:pt>
                <c:pt idx="5">
                  <c:v>122500</c:v>
                </c:pt>
                <c:pt idx="6">
                  <c:v>124800</c:v>
                </c:pt>
                <c:pt idx="7">
                  <c:v>127100</c:v>
                </c:pt>
                <c:pt idx="8">
                  <c:v>129400</c:v>
                </c:pt>
                <c:pt idx="9">
                  <c:v>131040</c:v>
                </c:pt>
                <c:pt idx="10">
                  <c:v>132800</c:v>
                </c:pt>
                <c:pt idx="11">
                  <c:v>132520</c:v>
                </c:pt>
                <c:pt idx="12">
                  <c:v>131696</c:v>
                </c:pt>
                <c:pt idx="13">
                  <c:v>130520</c:v>
                </c:pt>
                <c:pt idx="14">
                  <c:v>128640</c:v>
                </c:pt>
                <c:pt idx="15">
                  <c:v>126600</c:v>
                </c:pt>
                <c:pt idx="16">
                  <c:v>124910</c:v>
                </c:pt>
                <c:pt idx="17">
                  <c:v>123220</c:v>
                </c:pt>
                <c:pt idx="18">
                  <c:v>121530</c:v>
                </c:pt>
                <c:pt idx="19">
                  <c:v>119840</c:v>
                </c:pt>
                <c:pt idx="20">
                  <c:v>118150</c:v>
                </c:pt>
                <c:pt idx="21">
                  <c:v>115510</c:v>
                </c:pt>
                <c:pt idx="22">
                  <c:v>112870</c:v>
                </c:pt>
                <c:pt idx="23">
                  <c:v>110230</c:v>
                </c:pt>
                <c:pt idx="24">
                  <c:v>107590</c:v>
                </c:pt>
                <c:pt idx="25">
                  <c:v>104950</c:v>
                </c:pt>
                <c:pt idx="26">
                  <c:v>102220</c:v>
                </c:pt>
                <c:pt idx="27">
                  <c:v>99490</c:v>
                </c:pt>
                <c:pt idx="28">
                  <c:v>96760</c:v>
                </c:pt>
                <c:pt idx="29">
                  <c:v>94030</c:v>
                </c:pt>
                <c:pt idx="30">
                  <c:v>91300</c:v>
                </c:pt>
                <c:pt idx="31">
                  <c:v>88880</c:v>
                </c:pt>
                <c:pt idx="32">
                  <c:v>86460</c:v>
                </c:pt>
                <c:pt idx="33">
                  <c:v>84040</c:v>
                </c:pt>
                <c:pt idx="34">
                  <c:v>81620</c:v>
                </c:pt>
                <c:pt idx="35">
                  <c:v>79200</c:v>
                </c:pt>
                <c:pt idx="36">
                  <c:v>76797.058799999999</c:v>
                </c:pt>
                <c:pt idx="37">
                  <c:v>74394.117599999998</c:v>
                </c:pt>
                <c:pt idx="38">
                  <c:v>71991.176399999997</c:v>
                </c:pt>
                <c:pt idx="39">
                  <c:v>69588.235199999996</c:v>
                </c:pt>
                <c:pt idx="40">
                  <c:v>67185.293999999994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A3C-4858-903C-88B33F4995FF}"/>
            </c:ext>
          </c:extLst>
        </c:ser>
        <c:ser>
          <c:idx val="17"/>
          <c:order val="17"/>
          <c:tx>
            <c:strRef>
              <c:f>中情景!$B$19</c:f>
              <c:strCache>
                <c:ptCount val="1"/>
                <c:pt idx="0">
                  <c:v>电解铝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中情景!$E$19:$AS$19</c:f>
              <c:numCache>
                <c:formatCode>0</c:formatCode>
                <c:ptCount val="41"/>
                <c:pt idx="0">
                  <c:v>3708.04</c:v>
                </c:pt>
                <c:pt idx="1">
                  <c:v>3850.32</c:v>
                </c:pt>
                <c:pt idx="2">
                  <c:v>4014.4299999999994</c:v>
                </c:pt>
                <c:pt idx="3">
                  <c:v>4317.9533333333329</c:v>
                </c:pt>
                <c:pt idx="4">
                  <c:v>4621.4766666666656</c:v>
                </c:pt>
                <c:pt idx="5">
                  <c:v>4937.5</c:v>
                </c:pt>
                <c:pt idx="6">
                  <c:v>5167.5</c:v>
                </c:pt>
                <c:pt idx="7">
                  <c:v>5397.5</c:v>
                </c:pt>
                <c:pt idx="8">
                  <c:v>5627.5</c:v>
                </c:pt>
                <c:pt idx="9">
                  <c:v>5835.6</c:v>
                </c:pt>
                <c:pt idx="10">
                  <c:v>6045</c:v>
                </c:pt>
                <c:pt idx="11">
                  <c:v>6167</c:v>
                </c:pt>
                <c:pt idx="12">
                  <c:v>6269.6</c:v>
                </c:pt>
                <c:pt idx="13">
                  <c:v>6359.5</c:v>
                </c:pt>
                <c:pt idx="14">
                  <c:v>6424</c:v>
                </c:pt>
                <c:pt idx="15">
                  <c:v>6482.5</c:v>
                </c:pt>
                <c:pt idx="16">
                  <c:v>6486.5</c:v>
                </c:pt>
                <c:pt idx="17">
                  <c:v>6490.5</c:v>
                </c:pt>
                <c:pt idx="18">
                  <c:v>6494.5</c:v>
                </c:pt>
                <c:pt idx="19">
                  <c:v>6498.5</c:v>
                </c:pt>
                <c:pt idx="20">
                  <c:v>6502.5</c:v>
                </c:pt>
                <c:pt idx="21">
                  <c:v>6451</c:v>
                </c:pt>
                <c:pt idx="22">
                  <c:v>6399.5</c:v>
                </c:pt>
                <c:pt idx="23">
                  <c:v>6348</c:v>
                </c:pt>
                <c:pt idx="24">
                  <c:v>6296.5</c:v>
                </c:pt>
                <c:pt idx="25">
                  <c:v>6245</c:v>
                </c:pt>
                <c:pt idx="26">
                  <c:v>6145</c:v>
                </c:pt>
                <c:pt idx="27">
                  <c:v>6045</c:v>
                </c:pt>
                <c:pt idx="28">
                  <c:v>5945</c:v>
                </c:pt>
                <c:pt idx="29">
                  <c:v>5845</c:v>
                </c:pt>
                <c:pt idx="30">
                  <c:v>5745</c:v>
                </c:pt>
                <c:pt idx="31">
                  <c:v>5621</c:v>
                </c:pt>
                <c:pt idx="32">
                  <c:v>5497</c:v>
                </c:pt>
                <c:pt idx="33">
                  <c:v>5373</c:v>
                </c:pt>
                <c:pt idx="34">
                  <c:v>5249</c:v>
                </c:pt>
                <c:pt idx="35">
                  <c:v>5125</c:v>
                </c:pt>
                <c:pt idx="36">
                  <c:v>4992</c:v>
                </c:pt>
                <c:pt idx="37">
                  <c:v>4859</c:v>
                </c:pt>
                <c:pt idx="38">
                  <c:v>4726</c:v>
                </c:pt>
                <c:pt idx="39">
                  <c:v>4593</c:v>
                </c:pt>
                <c:pt idx="40">
                  <c:v>4460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A3C-4858-903C-88B33F4995FF}"/>
            </c:ext>
          </c:extLst>
        </c:ser>
        <c:ser>
          <c:idx val="18"/>
          <c:order val="18"/>
          <c:tx>
            <c:strRef>
              <c:f>中情景!$B$20</c:f>
              <c:strCache>
                <c:ptCount val="1"/>
                <c:pt idx="0">
                  <c:v>精炼铜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中情景!$E$20:$AS$20</c:f>
              <c:numCache>
                <c:formatCode>0</c:formatCode>
                <c:ptCount val="41"/>
                <c:pt idx="0">
                  <c:v>1002.51</c:v>
                </c:pt>
                <c:pt idx="1">
                  <c:v>1048.67</c:v>
                </c:pt>
                <c:pt idx="2">
                  <c:v>1111.53</c:v>
                </c:pt>
                <c:pt idx="3">
                  <c:v>1257.6866666666667</c:v>
                </c:pt>
                <c:pt idx="4">
                  <c:v>1403.8433333333332</c:v>
                </c:pt>
                <c:pt idx="5">
                  <c:v>1550</c:v>
                </c:pt>
                <c:pt idx="6">
                  <c:v>1625</c:v>
                </c:pt>
                <c:pt idx="7">
                  <c:v>1700</c:v>
                </c:pt>
                <c:pt idx="8">
                  <c:v>1775</c:v>
                </c:pt>
                <c:pt idx="9">
                  <c:v>1852.4</c:v>
                </c:pt>
                <c:pt idx="10">
                  <c:v>1930</c:v>
                </c:pt>
                <c:pt idx="11">
                  <c:v>1976</c:v>
                </c:pt>
                <c:pt idx="12">
                  <c:v>2024.8000000000002</c:v>
                </c:pt>
                <c:pt idx="13">
                  <c:v>2076</c:v>
                </c:pt>
                <c:pt idx="14">
                  <c:v>2132</c:v>
                </c:pt>
                <c:pt idx="15">
                  <c:v>2190</c:v>
                </c:pt>
                <c:pt idx="16">
                  <c:v>2219</c:v>
                </c:pt>
                <c:pt idx="17">
                  <c:v>2248</c:v>
                </c:pt>
                <c:pt idx="18">
                  <c:v>2277</c:v>
                </c:pt>
                <c:pt idx="19">
                  <c:v>2306</c:v>
                </c:pt>
                <c:pt idx="20">
                  <c:v>2335</c:v>
                </c:pt>
                <c:pt idx="21">
                  <c:v>2358.5</c:v>
                </c:pt>
                <c:pt idx="22">
                  <c:v>2382</c:v>
                </c:pt>
                <c:pt idx="23">
                  <c:v>2405.5</c:v>
                </c:pt>
                <c:pt idx="24">
                  <c:v>2429</c:v>
                </c:pt>
                <c:pt idx="25">
                  <c:v>2452.5</c:v>
                </c:pt>
                <c:pt idx="26">
                  <c:v>2471.5</c:v>
                </c:pt>
                <c:pt idx="27">
                  <c:v>2490.5</c:v>
                </c:pt>
                <c:pt idx="28">
                  <c:v>2509.5</c:v>
                </c:pt>
                <c:pt idx="29">
                  <c:v>2528.5</c:v>
                </c:pt>
                <c:pt idx="30">
                  <c:v>2547.5</c:v>
                </c:pt>
                <c:pt idx="31">
                  <c:v>2564.6999999999998</c:v>
                </c:pt>
                <c:pt idx="32">
                  <c:v>2581.9</c:v>
                </c:pt>
                <c:pt idx="33">
                  <c:v>2599.1000000000004</c:v>
                </c:pt>
                <c:pt idx="34">
                  <c:v>2616.3000000000002</c:v>
                </c:pt>
                <c:pt idx="35">
                  <c:v>2633.5</c:v>
                </c:pt>
                <c:pt idx="36">
                  <c:v>2648.7</c:v>
                </c:pt>
                <c:pt idx="37">
                  <c:v>2663.9000000000005</c:v>
                </c:pt>
                <c:pt idx="38">
                  <c:v>2679.1000000000004</c:v>
                </c:pt>
                <c:pt idx="39">
                  <c:v>2694.3</c:v>
                </c:pt>
                <c:pt idx="40">
                  <c:v>2709.5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A3C-4858-903C-88B33F4995FF}"/>
            </c:ext>
          </c:extLst>
        </c:ser>
        <c:ser>
          <c:idx val="19"/>
          <c:order val="19"/>
          <c:tx>
            <c:strRef>
              <c:f>中情景!$B$21</c:f>
              <c:strCache>
                <c:ptCount val="1"/>
                <c:pt idx="0">
                  <c:v>汽车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中情景!$E$1:$AS$1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中情景!$E$21:$AS$21</c:f>
              <c:numCache>
                <c:formatCode>0</c:formatCode>
                <c:ptCount val="41"/>
                <c:pt idx="0">
                  <c:v>2532.4899999999998</c:v>
                </c:pt>
                <c:pt idx="1">
                  <c:v>2625.7</c:v>
                </c:pt>
                <c:pt idx="2">
                  <c:v>2713.63</c:v>
                </c:pt>
                <c:pt idx="3">
                  <c:v>2961.3696166666668</c:v>
                </c:pt>
                <c:pt idx="4">
                  <c:v>3209.1092333333331</c:v>
                </c:pt>
                <c:pt idx="5">
                  <c:v>3450.517625</c:v>
                </c:pt>
                <c:pt idx="6">
                  <c:v>3552.7551842592593</c:v>
                </c:pt>
                <c:pt idx="7">
                  <c:v>3654.9927435185182</c:v>
                </c:pt>
                <c:pt idx="8">
                  <c:v>3757.2303027777771</c:v>
                </c:pt>
                <c:pt idx="9">
                  <c:v>3863.7168174814806</c:v>
                </c:pt>
                <c:pt idx="10">
                  <c:v>3968.9746055555552</c:v>
                </c:pt>
                <c:pt idx="11">
                  <c:v>4020.1871811111105</c:v>
                </c:pt>
                <c:pt idx="12">
                  <c:v>4074.3824671111106</c:v>
                </c:pt>
                <c:pt idx="13">
                  <c:v>4130.1629042592576</c:v>
                </c:pt>
                <c:pt idx="14">
                  <c:v>4189.1136437037021</c:v>
                </c:pt>
                <c:pt idx="15">
                  <c:v>4248.2519749999992</c:v>
                </c:pt>
                <c:pt idx="16">
                  <c:v>4259.0150574999989</c:v>
                </c:pt>
                <c:pt idx="17">
                  <c:v>4269.7781399999994</c:v>
                </c:pt>
                <c:pt idx="18">
                  <c:v>4280.5412225</c:v>
                </c:pt>
                <c:pt idx="19">
                  <c:v>4291.3043049999997</c:v>
                </c:pt>
                <c:pt idx="20">
                  <c:v>4302.0673874999993</c:v>
                </c:pt>
                <c:pt idx="21">
                  <c:v>4301.3758229230762</c:v>
                </c:pt>
                <c:pt idx="22">
                  <c:v>4300.684258346153</c:v>
                </c:pt>
                <c:pt idx="23">
                  <c:v>4299.9926937692308</c:v>
                </c:pt>
                <c:pt idx="24">
                  <c:v>4299.3011291923067</c:v>
                </c:pt>
                <c:pt idx="25">
                  <c:v>4298.6095646153844</c:v>
                </c:pt>
                <c:pt idx="26">
                  <c:v>4285.1764097259611</c:v>
                </c:pt>
                <c:pt idx="27">
                  <c:v>4271.7432548365377</c:v>
                </c:pt>
                <c:pt idx="28">
                  <c:v>4258.3100999471153</c:v>
                </c:pt>
                <c:pt idx="29">
                  <c:v>4244.8769450576929</c:v>
                </c:pt>
                <c:pt idx="30">
                  <c:v>4231.4437901682686</c:v>
                </c:pt>
                <c:pt idx="31">
                  <c:v>4226.0705282125</c:v>
                </c:pt>
                <c:pt idx="32">
                  <c:v>4220.6972662567305</c:v>
                </c:pt>
                <c:pt idx="33">
                  <c:v>4215.324004300961</c:v>
                </c:pt>
                <c:pt idx="34">
                  <c:v>4209.9507423451923</c:v>
                </c:pt>
                <c:pt idx="35">
                  <c:v>4204.5774803894228</c:v>
                </c:pt>
                <c:pt idx="36">
                  <c:v>4196.517587455769</c:v>
                </c:pt>
                <c:pt idx="37">
                  <c:v>4188.4576945221152</c:v>
                </c:pt>
                <c:pt idx="38">
                  <c:v>4180.3978015884613</c:v>
                </c:pt>
                <c:pt idx="39">
                  <c:v>4172.3379086548066</c:v>
                </c:pt>
                <c:pt idx="40">
                  <c:v>4164.2780157211537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A3C-4858-903C-88B33F499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626687"/>
        <c:axId val="501633407"/>
      </c:lineChart>
      <c:catAx>
        <c:axId val="50162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1633407"/>
        <c:crosses val="autoZero"/>
        <c:auto val="1"/>
        <c:lblAlgn val="ctr"/>
        <c:lblOffset val="100"/>
        <c:noMultiLvlLbl val="0"/>
      </c:catAx>
      <c:valAx>
        <c:axId val="5016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162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236190477429427E-2"/>
          <c:y val="0.83124546016777145"/>
          <c:w val="0.9499837305935902"/>
          <c:h val="0.150079278441659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40</xdr:row>
      <xdr:rowOff>169333</xdr:rowOff>
    </xdr:from>
    <xdr:to>
      <xdr:col>5</xdr:col>
      <xdr:colOff>508000</xdr:colOff>
      <xdr:row>59</xdr:row>
      <xdr:rowOff>137583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61C7A20-B491-DB7C-4E26-6DFDAD040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40</xdr:row>
      <xdr:rowOff>141815</xdr:rowOff>
    </xdr:from>
    <xdr:to>
      <xdr:col>14</xdr:col>
      <xdr:colOff>63500</xdr:colOff>
      <xdr:row>58</xdr:row>
      <xdr:rowOff>137582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EB51766-6B82-E7DF-1696-6FEC68368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5951</xdr:colOff>
      <xdr:row>41</xdr:row>
      <xdr:rowOff>134540</xdr:rowOff>
    </xdr:from>
    <xdr:to>
      <xdr:col>11</xdr:col>
      <xdr:colOff>654844</xdr:colOff>
      <xdr:row>68</xdr:row>
      <xdr:rowOff>71438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4F94104-7556-3EB3-AAA6-B73E56EB8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ohu.com/a/716515038_12138809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sohu.com/a/716515038_12138809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hu.com/a/716515038_121388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E933-A4CA-459F-A59D-88449EAE4437}">
  <dimension ref="A1:AV47"/>
  <sheetViews>
    <sheetView topLeftCell="Y1" zoomScale="90" zoomScaleNormal="90" workbookViewId="0">
      <selection sqref="A1:AS21"/>
    </sheetView>
  </sheetViews>
  <sheetFormatPr defaultRowHeight="14.25" x14ac:dyDescent="0.2"/>
  <cols>
    <col min="1" max="1" width="22.5" customWidth="1"/>
    <col min="4" max="4" width="20.375" customWidth="1"/>
    <col min="5" max="5" width="11.125" customWidth="1"/>
  </cols>
  <sheetData>
    <row r="1" spans="1:45" x14ac:dyDescent="0.2">
      <c r="A1" s="1" t="s">
        <v>0</v>
      </c>
      <c r="B1" s="1" t="s">
        <v>1</v>
      </c>
      <c r="C1" s="2" t="s">
        <v>2</v>
      </c>
      <c r="D1" s="1" t="s">
        <v>3</v>
      </c>
      <c r="E1" s="3">
        <v>2020</v>
      </c>
      <c r="F1" s="2">
        <v>2021</v>
      </c>
      <c r="G1" s="4">
        <v>2022</v>
      </c>
      <c r="H1" s="4">
        <v>2023</v>
      </c>
      <c r="I1" s="4">
        <v>2024</v>
      </c>
      <c r="J1" s="3">
        <v>2025</v>
      </c>
      <c r="K1" s="5">
        <v>2026</v>
      </c>
      <c r="L1" s="6">
        <v>2027</v>
      </c>
      <c r="M1" s="6">
        <v>2028</v>
      </c>
      <c r="N1" s="6">
        <v>2029</v>
      </c>
      <c r="O1" s="3">
        <v>2030</v>
      </c>
      <c r="P1" s="2">
        <v>2031</v>
      </c>
      <c r="Q1" s="4">
        <v>2032</v>
      </c>
      <c r="R1" s="4">
        <v>2033</v>
      </c>
      <c r="S1" s="4">
        <v>2034</v>
      </c>
      <c r="T1" s="3">
        <v>2035</v>
      </c>
      <c r="U1" s="2">
        <v>2036</v>
      </c>
      <c r="V1" s="4">
        <v>2037</v>
      </c>
      <c r="W1" s="4">
        <v>2038</v>
      </c>
      <c r="X1" s="4">
        <v>2039</v>
      </c>
      <c r="Y1" s="3">
        <v>2040</v>
      </c>
      <c r="Z1" s="2">
        <v>2041</v>
      </c>
      <c r="AA1" s="4">
        <v>2042</v>
      </c>
      <c r="AB1" s="4">
        <v>2043</v>
      </c>
      <c r="AC1" s="4">
        <v>2044</v>
      </c>
      <c r="AD1" s="3">
        <v>2045</v>
      </c>
      <c r="AE1" s="2">
        <v>2046</v>
      </c>
      <c r="AF1" s="4">
        <v>2047</v>
      </c>
      <c r="AG1" s="4">
        <v>2048</v>
      </c>
      <c r="AH1" s="4">
        <v>2049</v>
      </c>
      <c r="AI1" s="3">
        <v>2050</v>
      </c>
      <c r="AJ1" s="2">
        <v>2051</v>
      </c>
      <c r="AK1" s="4">
        <v>2052</v>
      </c>
      <c r="AL1" s="4">
        <v>2053</v>
      </c>
      <c r="AM1" s="4">
        <v>2054</v>
      </c>
      <c r="AN1" s="3">
        <v>2055</v>
      </c>
      <c r="AO1" s="2">
        <v>2056</v>
      </c>
      <c r="AP1" s="4">
        <v>2057</v>
      </c>
      <c r="AQ1" s="4">
        <v>2058</v>
      </c>
      <c r="AR1" s="4">
        <v>2059</v>
      </c>
      <c r="AS1" s="3">
        <v>2060</v>
      </c>
    </row>
    <row r="2" spans="1:45" x14ac:dyDescent="0.2">
      <c r="A2" s="7" t="s">
        <v>4</v>
      </c>
      <c r="B2" s="8" t="s">
        <v>5</v>
      </c>
      <c r="C2" s="9" t="s">
        <v>6</v>
      </c>
      <c r="D2" s="8" t="s">
        <v>7</v>
      </c>
      <c r="E2" s="33">
        <v>39.020000000000003</v>
      </c>
      <c r="F2" s="31">
        <v>41.26</v>
      </c>
      <c r="G2" s="27">
        <v>45.59</v>
      </c>
      <c r="H2" s="37">
        <f>G2+($J2-$G2)/3</f>
        <v>46.726666666666667</v>
      </c>
      <c r="I2" s="12">
        <f>H2+($J2-$G2)/3</f>
        <v>47.86333333333333</v>
      </c>
      <c r="J2" s="10">
        <v>49</v>
      </c>
      <c r="K2" s="11">
        <f>J2+($O2-$J2)/5</f>
        <v>49.8</v>
      </c>
      <c r="L2" s="12">
        <f>K2+($O2-$J2)/5</f>
        <v>50.599999999999994</v>
      </c>
      <c r="M2" s="12">
        <f t="shared" ref="M2:N2" si="0">L2+($O2-$J2)/5</f>
        <v>51.399999999999991</v>
      </c>
      <c r="N2" s="12">
        <f t="shared" si="0"/>
        <v>52.199999999999989</v>
      </c>
      <c r="O2" s="13">
        <v>53</v>
      </c>
      <c r="P2" s="11">
        <f>O2+($T2-$O2)/5</f>
        <v>53.3</v>
      </c>
      <c r="Q2" s="12">
        <f t="shared" ref="Q2:S2" si="1">P2+($T2-$O2)/5</f>
        <v>53.599999999999994</v>
      </c>
      <c r="R2" s="12">
        <f t="shared" si="1"/>
        <v>53.899999999999991</v>
      </c>
      <c r="S2" s="12">
        <f t="shared" si="1"/>
        <v>54.199999999999989</v>
      </c>
      <c r="T2" s="14">
        <f>54.5</f>
        <v>54.5</v>
      </c>
      <c r="U2" s="11">
        <f>T2+($Y2-$T2)/5</f>
        <v>54</v>
      </c>
      <c r="V2" s="12">
        <f t="shared" ref="V2:X2" si="2">U2+($Y2-$T2)/5</f>
        <v>53.5</v>
      </c>
      <c r="W2" s="12">
        <f t="shared" si="2"/>
        <v>53</v>
      </c>
      <c r="X2" s="12">
        <f t="shared" si="2"/>
        <v>52.5</v>
      </c>
      <c r="Y2" s="15">
        <v>52</v>
      </c>
      <c r="Z2" s="11">
        <f>Y2+($AD2-$Y2)/5</f>
        <v>51.2</v>
      </c>
      <c r="AA2" s="12">
        <f t="shared" ref="AA2:AC2" si="3">Z2+($AD2-$Y2)/5</f>
        <v>50.400000000000006</v>
      </c>
      <c r="AB2" s="12">
        <f t="shared" si="3"/>
        <v>49.600000000000009</v>
      </c>
      <c r="AC2" s="12">
        <f t="shared" si="3"/>
        <v>48.800000000000011</v>
      </c>
      <c r="AD2" s="16">
        <v>48</v>
      </c>
      <c r="AE2" s="11">
        <f>AD2+($AI2-$AD2)/5</f>
        <v>47.2</v>
      </c>
      <c r="AF2" s="12">
        <f t="shared" ref="AF2:AH2" si="4">AE2+($AI2-$AD2)/5</f>
        <v>46.400000000000006</v>
      </c>
      <c r="AG2" s="12">
        <f t="shared" si="4"/>
        <v>45.600000000000009</v>
      </c>
      <c r="AH2" s="12">
        <f t="shared" si="4"/>
        <v>44.800000000000011</v>
      </c>
      <c r="AI2" s="16">
        <v>44</v>
      </c>
      <c r="AJ2" s="11">
        <f>AI2+($AN2-$AI2)/5</f>
        <v>43</v>
      </c>
      <c r="AK2" s="12">
        <f t="shared" ref="AK2:AM2" si="5">AJ2+($AN2-$AI2)/5</f>
        <v>42</v>
      </c>
      <c r="AL2" s="12">
        <f t="shared" si="5"/>
        <v>41</v>
      </c>
      <c r="AM2" s="12">
        <f t="shared" si="5"/>
        <v>40</v>
      </c>
      <c r="AN2" s="16">
        <v>39</v>
      </c>
      <c r="AO2" s="11">
        <f>AN2+($AS2-$AN2)/5</f>
        <v>38.200000000000003</v>
      </c>
      <c r="AP2" s="12">
        <f t="shared" ref="AP2:AR2" si="6">AO2+($AS2-$AN2)/5</f>
        <v>37.400000000000006</v>
      </c>
      <c r="AQ2" s="12">
        <f t="shared" si="6"/>
        <v>36.600000000000009</v>
      </c>
      <c r="AR2" s="12">
        <f t="shared" si="6"/>
        <v>35.800000000000011</v>
      </c>
      <c r="AS2" s="16">
        <v>35</v>
      </c>
    </row>
    <row r="3" spans="1:45" x14ac:dyDescent="0.2">
      <c r="A3" s="17" t="s">
        <v>8</v>
      </c>
      <c r="B3" s="8" t="s">
        <v>9</v>
      </c>
      <c r="C3" s="9" t="s">
        <v>6</v>
      </c>
      <c r="D3" s="8" t="s">
        <v>10</v>
      </c>
      <c r="E3" s="34">
        <v>1.9477</v>
      </c>
      <c r="F3" s="32">
        <v>1.9887999999999999</v>
      </c>
      <c r="G3" s="28">
        <v>2.0472000000000001</v>
      </c>
      <c r="H3" s="38">
        <f t="shared" ref="H3:I21" si="7">G3+($J3-$G3)/3</f>
        <v>2.0881333333333334</v>
      </c>
      <c r="I3" s="38">
        <f t="shared" si="7"/>
        <v>2.1290666666666667</v>
      </c>
      <c r="J3" s="10">
        <v>2.17</v>
      </c>
      <c r="K3" s="11">
        <f t="shared" ref="K3:N18" si="8">J3+($O3-$J3)/5</f>
        <v>2.1760000000000002</v>
      </c>
      <c r="L3" s="12">
        <f t="shared" si="8"/>
        <v>2.1820000000000004</v>
      </c>
      <c r="M3" s="12">
        <f t="shared" si="8"/>
        <v>2.1880000000000006</v>
      </c>
      <c r="N3" s="12">
        <f t="shared" si="8"/>
        <v>2.1940000000000008</v>
      </c>
      <c r="O3" s="10">
        <v>2.2000000000000002</v>
      </c>
      <c r="P3" s="11">
        <f t="shared" ref="P3:S18" si="9">O3+($T3-$O3)/5</f>
        <v>2.2160000000000002</v>
      </c>
      <c r="Q3" s="12">
        <f t="shared" si="9"/>
        <v>2.2320000000000002</v>
      </c>
      <c r="R3" s="12">
        <f t="shared" si="9"/>
        <v>2.2480000000000002</v>
      </c>
      <c r="S3" s="12">
        <f t="shared" si="9"/>
        <v>2.2640000000000002</v>
      </c>
      <c r="T3" s="10">
        <v>2.2799999999999998</v>
      </c>
      <c r="U3" s="11">
        <f t="shared" ref="U3:X18" si="10">T3+($Y3-$T3)/5</f>
        <v>2.2839999999999998</v>
      </c>
      <c r="V3" s="12">
        <f t="shared" si="10"/>
        <v>2.2879999999999998</v>
      </c>
      <c r="W3" s="12">
        <f t="shared" si="10"/>
        <v>2.2919999999999998</v>
      </c>
      <c r="X3" s="12">
        <f t="shared" si="10"/>
        <v>2.2959999999999998</v>
      </c>
      <c r="Y3" s="10">
        <v>2.2999999999999998</v>
      </c>
      <c r="Z3" s="11">
        <f t="shared" ref="Z3:AC18" si="11">Y3+($AD3-$Y3)/5</f>
        <v>2.2799999999999998</v>
      </c>
      <c r="AA3" s="12">
        <f t="shared" si="11"/>
        <v>2.2599999999999998</v>
      </c>
      <c r="AB3" s="12">
        <f t="shared" si="11"/>
        <v>2.2399999999999998</v>
      </c>
      <c r="AC3" s="12">
        <f t="shared" si="11"/>
        <v>2.2199999999999998</v>
      </c>
      <c r="AD3" s="10">
        <v>2.2000000000000002</v>
      </c>
      <c r="AE3" s="11">
        <f t="shared" ref="AE3:AH18" si="12">AD3+($AI3-$AD3)/5</f>
        <v>2.1800000000000002</v>
      </c>
      <c r="AF3" s="12">
        <f t="shared" si="12"/>
        <v>2.16</v>
      </c>
      <c r="AG3" s="12">
        <f t="shared" si="12"/>
        <v>2.14</v>
      </c>
      <c r="AH3" s="12">
        <f t="shared" si="12"/>
        <v>2.12</v>
      </c>
      <c r="AI3" s="10">
        <v>2.1</v>
      </c>
      <c r="AJ3" s="11">
        <f t="shared" ref="AJ3:AM18" si="13">AI3+($AN3-$AI3)/5</f>
        <v>2.0700000000000003</v>
      </c>
      <c r="AK3" s="12">
        <f t="shared" si="13"/>
        <v>2.04</v>
      </c>
      <c r="AL3" s="12">
        <f t="shared" si="13"/>
        <v>2.0099999999999998</v>
      </c>
      <c r="AM3" s="12">
        <f t="shared" si="13"/>
        <v>1.9799999999999998</v>
      </c>
      <c r="AN3" s="10">
        <v>1.95</v>
      </c>
      <c r="AO3" s="11">
        <f t="shared" ref="AO3:AR18" si="14">AN3+($AS3-$AN3)/5</f>
        <v>1.9379999999999999</v>
      </c>
      <c r="AP3" s="12">
        <f t="shared" si="14"/>
        <v>1.9259999999999999</v>
      </c>
      <c r="AQ3" s="12">
        <f t="shared" si="14"/>
        <v>1.9139999999999999</v>
      </c>
      <c r="AR3" s="12">
        <f t="shared" si="14"/>
        <v>1.9019999999999999</v>
      </c>
      <c r="AS3" s="10">
        <v>1.89</v>
      </c>
    </row>
    <row r="4" spans="1:45" x14ac:dyDescent="0.2">
      <c r="A4" s="17" t="s">
        <v>8</v>
      </c>
      <c r="B4" s="8" t="s">
        <v>11</v>
      </c>
      <c r="C4" s="9" t="s">
        <v>12</v>
      </c>
      <c r="D4" s="8" t="s">
        <v>10</v>
      </c>
      <c r="E4" s="35">
        <v>1924.95</v>
      </c>
      <c r="F4" s="11">
        <v>2075.84</v>
      </c>
      <c r="G4" s="29">
        <v>2201.1</v>
      </c>
      <c r="H4" s="12">
        <f t="shared" si="7"/>
        <v>2298.4</v>
      </c>
      <c r="I4" s="12">
        <f t="shared" si="7"/>
        <v>2395.7000000000003</v>
      </c>
      <c r="J4" s="10">
        <v>2493</v>
      </c>
      <c r="K4" s="11">
        <f t="shared" si="8"/>
        <v>2554.4</v>
      </c>
      <c r="L4" s="12">
        <f t="shared" si="8"/>
        <v>2615.8000000000002</v>
      </c>
      <c r="M4" s="12">
        <f t="shared" si="8"/>
        <v>2677.2000000000003</v>
      </c>
      <c r="N4" s="12">
        <f t="shared" si="8"/>
        <v>2738.6000000000004</v>
      </c>
      <c r="O4" s="10">
        <v>2800</v>
      </c>
      <c r="P4" s="11">
        <f t="shared" si="9"/>
        <v>2840</v>
      </c>
      <c r="Q4" s="12">
        <f t="shared" si="9"/>
        <v>2880</v>
      </c>
      <c r="R4" s="12">
        <f t="shared" si="9"/>
        <v>2920</v>
      </c>
      <c r="S4" s="12">
        <f t="shared" si="9"/>
        <v>2960</v>
      </c>
      <c r="T4" s="10">
        <v>3000</v>
      </c>
      <c r="U4" s="11">
        <f t="shared" si="10"/>
        <v>3040</v>
      </c>
      <c r="V4" s="12">
        <f t="shared" si="10"/>
        <v>3080</v>
      </c>
      <c r="W4" s="12">
        <f t="shared" si="10"/>
        <v>3120</v>
      </c>
      <c r="X4" s="12">
        <f t="shared" si="10"/>
        <v>3160</v>
      </c>
      <c r="Y4" s="10">
        <v>3200</v>
      </c>
      <c r="Z4" s="11">
        <f t="shared" si="11"/>
        <v>3220</v>
      </c>
      <c r="AA4" s="12">
        <f t="shared" si="11"/>
        <v>3240</v>
      </c>
      <c r="AB4" s="12">
        <f t="shared" si="11"/>
        <v>3260</v>
      </c>
      <c r="AC4" s="12">
        <f t="shared" si="11"/>
        <v>3280</v>
      </c>
      <c r="AD4" s="10">
        <v>3300</v>
      </c>
      <c r="AE4" s="11">
        <f t="shared" si="12"/>
        <v>3320</v>
      </c>
      <c r="AF4" s="12">
        <f t="shared" si="12"/>
        <v>3340</v>
      </c>
      <c r="AG4" s="12">
        <f t="shared" si="12"/>
        <v>3360</v>
      </c>
      <c r="AH4" s="12">
        <f t="shared" si="12"/>
        <v>3380</v>
      </c>
      <c r="AI4" s="10">
        <v>3400</v>
      </c>
      <c r="AJ4" s="11">
        <f t="shared" si="13"/>
        <v>3420</v>
      </c>
      <c r="AK4" s="12">
        <f t="shared" si="13"/>
        <v>3440</v>
      </c>
      <c r="AL4" s="12">
        <f t="shared" si="13"/>
        <v>3460</v>
      </c>
      <c r="AM4" s="12">
        <f t="shared" si="13"/>
        <v>3480</v>
      </c>
      <c r="AN4" s="10">
        <v>3500</v>
      </c>
      <c r="AO4" s="11">
        <f t="shared" si="14"/>
        <v>3500</v>
      </c>
      <c r="AP4" s="12">
        <f t="shared" si="14"/>
        <v>3500</v>
      </c>
      <c r="AQ4" s="12">
        <f t="shared" si="14"/>
        <v>3500</v>
      </c>
      <c r="AR4" s="12">
        <f t="shared" si="14"/>
        <v>3500</v>
      </c>
      <c r="AS4" s="10">
        <v>3500</v>
      </c>
    </row>
    <row r="5" spans="1:45" x14ac:dyDescent="0.2">
      <c r="A5" s="18" t="s">
        <v>13</v>
      </c>
      <c r="B5" s="8" t="s">
        <v>14</v>
      </c>
      <c r="C5" s="9" t="s">
        <v>6</v>
      </c>
      <c r="D5" s="8" t="s">
        <v>15</v>
      </c>
      <c r="E5" s="34">
        <v>8.6671999999999993</v>
      </c>
      <c r="F5" s="32">
        <v>9.8053000000000008</v>
      </c>
      <c r="G5" s="28">
        <v>9.6786999999999992</v>
      </c>
      <c r="H5" s="12">
        <f t="shared" si="7"/>
        <v>10.445804315825423</v>
      </c>
      <c r="I5" s="12">
        <f t="shared" si="7"/>
        <v>11.212908631650848</v>
      </c>
      <c r="J5" s="16">
        <f>J18/G18*G5</f>
        <v>11.980012947476272</v>
      </c>
      <c r="K5" s="11">
        <f t="shared" si="8"/>
        <v>12.246235457420189</v>
      </c>
      <c r="L5" s="12">
        <f t="shared" si="8"/>
        <v>12.512457967364107</v>
      </c>
      <c r="M5" s="12">
        <f t="shared" si="8"/>
        <v>12.778680477308024</v>
      </c>
      <c r="N5" s="12">
        <f t="shared" si="8"/>
        <v>13.044902987251941</v>
      </c>
      <c r="O5" s="16">
        <f>O18/J18*J5</f>
        <v>13.311125497195858</v>
      </c>
      <c r="P5" s="11">
        <f t="shared" si="9"/>
        <v>13.330141390763281</v>
      </c>
      <c r="Q5" s="12">
        <f t="shared" si="9"/>
        <v>13.349157284330703</v>
      </c>
      <c r="R5" s="12">
        <f t="shared" si="9"/>
        <v>13.368173177898125</v>
      </c>
      <c r="S5" s="12">
        <f t="shared" si="9"/>
        <v>13.387189071465547</v>
      </c>
      <c r="T5" s="16">
        <f>T18/O18*O5</f>
        <v>13.406204965032972</v>
      </c>
      <c r="U5" s="11">
        <f t="shared" si="10"/>
        <v>13.25407781649359</v>
      </c>
      <c r="V5" s="12">
        <f t="shared" si="10"/>
        <v>13.101950667954208</v>
      </c>
      <c r="W5" s="12">
        <f t="shared" si="10"/>
        <v>12.949823519414826</v>
      </c>
      <c r="X5" s="12">
        <f t="shared" si="10"/>
        <v>12.797696370875444</v>
      </c>
      <c r="Y5" s="16">
        <f>Y18/T18*T5</f>
        <v>12.645569222336066</v>
      </c>
      <c r="Z5" s="11">
        <f t="shared" si="11"/>
        <v>12.360330818824727</v>
      </c>
      <c r="AA5" s="12">
        <f t="shared" si="11"/>
        <v>12.075092415313387</v>
      </c>
      <c r="AB5" s="12">
        <f t="shared" si="11"/>
        <v>11.789854011802047</v>
      </c>
      <c r="AC5" s="12">
        <f t="shared" si="11"/>
        <v>11.504615608290708</v>
      </c>
      <c r="AD5" s="16">
        <f>AD18/Y18*Y5</f>
        <v>11.219377204779367</v>
      </c>
      <c r="AE5" s="11">
        <f t="shared" si="12"/>
        <v>10.934138801268027</v>
      </c>
      <c r="AF5" s="12">
        <f t="shared" si="12"/>
        <v>10.648900397756687</v>
      </c>
      <c r="AG5" s="12">
        <f t="shared" si="12"/>
        <v>10.363661994245348</v>
      </c>
      <c r="AH5" s="12">
        <f t="shared" si="12"/>
        <v>10.078423590734008</v>
      </c>
      <c r="AI5" s="16">
        <f>AI18/AD18*AD5</f>
        <v>9.793185187222667</v>
      </c>
      <c r="AJ5" s="11">
        <f t="shared" si="13"/>
        <v>9.545978570846172</v>
      </c>
      <c r="AK5" s="12">
        <f t="shared" si="13"/>
        <v>9.298771954469677</v>
      </c>
      <c r="AL5" s="12">
        <f t="shared" si="13"/>
        <v>9.051565338093182</v>
      </c>
      <c r="AM5" s="12">
        <f t="shared" si="13"/>
        <v>8.804358721716687</v>
      </c>
      <c r="AN5" s="16">
        <f>AN18/AI18*AI5</f>
        <v>8.5571521053401938</v>
      </c>
      <c r="AO5" s="11">
        <f t="shared" si="14"/>
        <v>8.2975266842721549</v>
      </c>
      <c r="AP5" s="12">
        <f t="shared" si="14"/>
        <v>8.037901263204116</v>
      </c>
      <c r="AQ5" s="12">
        <f t="shared" si="14"/>
        <v>7.7782758421360763</v>
      </c>
      <c r="AR5" s="12">
        <f t="shared" si="14"/>
        <v>7.5186504210680365</v>
      </c>
      <c r="AS5" s="16">
        <f>AS18/AN18*AN5</f>
        <v>7.2590249999999967</v>
      </c>
    </row>
    <row r="6" spans="1:45" x14ac:dyDescent="0.2">
      <c r="A6" s="17" t="s">
        <v>16</v>
      </c>
      <c r="B6" s="39" t="s">
        <v>17</v>
      </c>
      <c r="C6" s="9" t="s">
        <v>18</v>
      </c>
      <c r="D6" s="8" t="s">
        <v>52</v>
      </c>
      <c r="E6" s="33">
        <v>172</v>
      </c>
      <c r="F6" s="11">
        <v>191</v>
      </c>
      <c r="G6" s="29">
        <v>194</v>
      </c>
      <c r="H6" s="12">
        <f t="shared" si="7"/>
        <v>219.50933697995856</v>
      </c>
      <c r="I6" s="12">
        <f t="shared" si="7"/>
        <v>245.01867395991712</v>
      </c>
      <c r="J6" s="19">
        <f>J20/G20*G6</f>
        <v>270.52801093987568</v>
      </c>
      <c r="K6" s="11">
        <f t="shared" si="8"/>
        <v>282.7454049823217</v>
      </c>
      <c r="L6" s="12">
        <f t="shared" si="8"/>
        <v>294.96279902476772</v>
      </c>
      <c r="M6" s="12">
        <f t="shared" si="8"/>
        <v>307.18019306721374</v>
      </c>
      <c r="N6" s="12">
        <f t="shared" si="8"/>
        <v>319.39758710965975</v>
      </c>
      <c r="O6" s="19">
        <f>O20/J20*J6</f>
        <v>331.61498115210566</v>
      </c>
      <c r="P6" s="11">
        <f t="shared" si="9"/>
        <v>338.59634917636055</v>
      </c>
      <c r="Q6" s="12">
        <f t="shared" si="9"/>
        <v>345.57771720061544</v>
      </c>
      <c r="R6" s="12">
        <f t="shared" si="9"/>
        <v>352.55908522487033</v>
      </c>
      <c r="S6" s="12">
        <f t="shared" si="9"/>
        <v>359.54045324912522</v>
      </c>
      <c r="T6" s="19">
        <f>T20/O20*O6</f>
        <v>366.52182127338</v>
      </c>
      <c r="U6" s="11">
        <f t="shared" si="10"/>
        <v>370.01250528550742</v>
      </c>
      <c r="V6" s="12">
        <f t="shared" si="10"/>
        <v>373.50318929763483</v>
      </c>
      <c r="W6" s="12">
        <f t="shared" si="10"/>
        <v>376.99387330976225</v>
      </c>
      <c r="X6" s="12">
        <f t="shared" si="10"/>
        <v>380.48455732188967</v>
      </c>
      <c r="Y6" s="19">
        <f>Y20/T20*T6</f>
        <v>383.97524133401714</v>
      </c>
      <c r="Z6" s="11">
        <f t="shared" si="11"/>
        <v>385.72058334008085</v>
      </c>
      <c r="AA6" s="12">
        <f t="shared" si="11"/>
        <v>387.46592534614456</v>
      </c>
      <c r="AB6" s="12">
        <f t="shared" si="11"/>
        <v>389.21126735220827</v>
      </c>
      <c r="AC6" s="12">
        <f t="shared" si="11"/>
        <v>390.95660935827198</v>
      </c>
      <c r="AD6" s="19">
        <f>AD20/Y20*Y6</f>
        <v>392.70195136433568</v>
      </c>
      <c r="AE6" s="11">
        <f t="shared" si="12"/>
        <v>394.44729337039939</v>
      </c>
      <c r="AF6" s="12">
        <f t="shared" si="12"/>
        <v>396.1926353764631</v>
      </c>
      <c r="AG6" s="12">
        <f t="shared" si="12"/>
        <v>397.93797738252681</v>
      </c>
      <c r="AH6" s="12">
        <f t="shared" si="12"/>
        <v>399.68331938859052</v>
      </c>
      <c r="AI6" s="19">
        <f>AI20/AD20*AD6</f>
        <v>401.42866139465423</v>
      </c>
      <c r="AJ6" s="11">
        <f t="shared" si="13"/>
        <v>403.17400340071794</v>
      </c>
      <c r="AK6" s="12">
        <f t="shared" si="13"/>
        <v>404.91934540678164</v>
      </c>
      <c r="AL6" s="12">
        <f t="shared" si="13"/>
        <v>406.66468741284535</v>
      </c>
      <c r="AM6" s="12">
        <f t="shared" si="13"/>
        <v>408.41002941890906</v>
      </c>
      <c r="AN6" s="19">
        <f>AN20/AI20*AI6</f>
        <v>410.15537142497283</v>
      </c>
      <c r="AO6" s="11">
        <f t="shared" si="14"/>
        <v>411.55164502982382</v>
      </c>
      <c r="AP6" s="12">
        <f t="shared" si="14"/>
        <v>412.94791863467481</v>
      </c>
      <c r="AQ6" s="12">
        <f t="shared" si="14"/>
        <v>414.3441922395258</v>
      </c>
      <c r="AR6" s="12">
        <f t="shared" si="14"/>
        <v>415.74046584437679</v>
      </c>
      <c r="AS6" s="19">
        <f>AS20/AN20*AN6</f>
        <v>417.13673944922772</v>
      </c>
    </row>
    <row r="7" spans="1:45" x14ac:dyDescent="0.2">
      <c r="A7" s="17" t="s">
        <v>16</v>
      </c>
      <c r="B7" s="8" t="s">
        <v>20</v>
      </c>
      <c r="C7" s="9" t="s">
        <v>18</v>
      </c>
      <c r="D7" s="8" t="s">
        <v>51</v>
      </c>
      <c r="E7" s="33">
        <v>9269</v>
      </c>
      <c r="F7" s="11">
        <v>8500</v>
      </c>
      <c r="G7" s="29">
        <v>9000</v>
      </c>
      <c r="H7" s="12">
        <f t="shared" si="7"/>
        <v>9736.5205022879964</v>
      </c>
      <c r="I7" s="12">
        <f t="shared" si="7"/>
        <v>10473.041004575993</v>
      </c>
      <c r="J7" s="19">
        <f>J19/G19*G7</f>
        <v>11209.561506863989</v>
      </c>
      <c r="K7" s="11">
        <f t="shared" si="8"/>
        <v>11792.458705220917</v>
      </c>
      <c r="L7" s="12">
        <f t="shared" si="8"/>
        <v>12375.355903577845</v>
      </c>
      <c r="M7" s="12">
        <f t="shared" si="8"/>
        <v>12958.253101934773</v>
      </c>
      <c r="N7" s="12">
        <f t="shared" si="8"/>
        <v>13541.150300291702</v>
      </c>
      <c r="O7" s="19">
        <f>O19/J19*J7</f>
        <v>14124.047498648626</v>
      </c>
      <c r="P7" s="11">
        <f t="shared" si="9"/>
        <v>14437.915220840818</v>
      </c>
      <c r="Q7" s="12">
        <f t="shared" si="9"/>
        <v>14751.782943033009</v>
      </c>
      <c r="R7" s="12">
        <f t="shared" si="9"/>
        <v>15065.650665225201</v>
      </c>
      <c r="S7" s="12">
        <f t="shared" si="9"/>
        <v>15379.518387417393</v>
      </c>
      <c r="T7" s="19">
        <f>T19/O19*O7</f>
        <v>15693.386109609584</v>
      </c>
      <c r="U7" s="11">
        <f t="shared" si="10"/>
        <v>15783.062601664496</v>
      </c>
      <c r="V7" s="12">
        <f t="shared" si="10"/>
        <v>15872.739093719409</v>
      </c>
      <c r="W7" s="12">
        <f t="shared" si="10"/>
        <v>15962.415585774321</v>
      </c>
      <c r="X7" s="12">
        <f t="shared" si="10"/>
        <v>16052.092077829233</v>
      </c>
      <c r="Y7" s="19">
        <f>Y19/T19*T7</f>
        <v>16141.768569884141</v>
      </c>
      <c r="Z7" s="11">
        <f t="shared" si="11"/>
        <v>16096.930323856686</v>
      </c>
      <c r="AA7" s="12">
        <f t="shared" si="11"/>
        <v>16052.092077829231</v>
      </c>
      <c r="AB7" s="12">
        <f t="shared" si="11"/>
        <v>16007.253831801776</v>
      </c>
      <c r="AC7" s="12">
        <f t="shared" si="11"/>
        <v>15962.415585774321</v>
      </c>
      <c r="AD7" s="19">
        <f>AD19/Y19*Y7</f>
        <v>15917.577339746862</v>
      </c>
      <c r="AE7" s="11">
        <f t="shared" si="12"/>
        <v>15693.386109609582</v>
      </c>
      <c r="AF7" s="12">
        <f t="shared" si="12"/>
        <v>15469.194879472303</v>
      </c>
      <c r="AG7" s="12">
        <f t="shared" si="12"/>
        <v>15245.003649335024</v>
      </c>
      <c r="AH7" s="12">
        <f t="shared" si="12"/>
        <v>15020.812419197744</v>
      </c>
      <c r="AI7" s="19">
        <f>AI19/AD19*AD7</f>
        <v>14796.621189060463</v>
      </c>
      <c r="AJ7" s="11">
        <f t="shared" si="13"/>
        <v>14437.915220840816</v>
      </c>
      <c r="AK7" s="12">
        <f t="shared" si="13"/>
        <v>14079.209252621169</v>
      </c>
      <c r="AL7" s="12">
        <f t="shared" si="13"/>
        <v>13720.503284401522</v>
      </c>
      <c r="AM7" s="12">
        <f t="shared" si="13"/>
        <v>13361.797316181875</v>
      </c>
      <c r="AN7" s="19">
        <f>AN19/AI19*AI7</f>
        <v>13003.091347962225</v>
      </c>
      <c r="AO7" s="11">
        <f t="shared" si="14"/>
        <v>12644.385379742578</v>
      </c>
      <c r="AP7" s="12">
        <f t="shared" si="14"/>
        <v>12285.679411522931</v>
      </c>
      <c r="AQ7" s="12">
        <f t="shared" si="14"/>
        <v>11926.973443303285</v>
      </c>
      <c r="AR7" s="12">
        <f t="shared" si="14"/>
        <v>11568.267475083638</v>
      </c>
      <c r="AS7" s="19">
        <f>AS19/AN19*AN7</f>
        <v>11209.561506863987</v>
      </c>
    </row>
    <row r="8" spans="1:45" x14ac:dyDescent="0.2">
      <c r="A8" s="18" t="s">
        <v>21</v>
      </c>
      <c r="B8" s="8" t="s">
        <v>22</v>
      </c>
      <c r="C8" s="9" t="s">
        <v>6</v>
      </c>
      <c r="D8" s="26" t="s">
        <v>23</v>
      </c>
      <c r="E8" s="34">
        <v>31.55</v>
      </c>
      <c r="F8" s="11">
        <v>31.4</v>
      </c>
      <c r="G8" s="27">
        <v>28.79</v>
      </c>
      <c r="H8" s="12">
        <f t="shared" si="7"/>
        <v>29.733239174892407</v>
      </c>
      <c r="I8" s="12">
        <f t="shared" si="7"/>
        <v>30.676478349784816</v>
      </c>
      <c r="J8" s="16">
        <f>J16/E16*E8</f>
        <v>31.619717524677224</v>
      </c>
      <c r="K8" s="11">
        <f t="shared" si="8"/>
        <v>32.014963993735691</v>
      </c>
      <c r="L8" s="12">
        <f t="shared" si="8"/>
        <v>32.410210462794154</v>
      </c>
      <c r="M8" s="12">
        <f t="shared" si="8"/>
        <v>32.805456931852618</v>
      </c>
      <c r="N8" s="12">
        <f t="shared" si="8"/>
        <v>33.200703400911081</v>
      </c>
      <c r="O8" s="16">
        <f>O16/J16*J8</f>
        <v>33.595949869969552</v>
      </c>
      <c r="P8" s="11">
        <f t="shared" si="9"/>
        <v>33.200703400911088</v>
      </c>
      <c r="Q8" s="12">
        <f t="shared" si="9"/>
        <v>32.805456931852625</v>
      </c>
      <c r="R8" s="12">
        <f t="shared" si="9"/>
        <v>32.410210462794161</v>
      </c>
      <c r="S8" s="12">
        <f t="shared" si="9"/>
        <v>32.014963993735698</v>
      </c>
      <c r="T8" s="16">
        <f>T16/O16*O8</f>
        <v>31.619717524677224</v>
      </c>
      <c r="U8" s="11">
        <f t="shared" si="10"/>
        <v>31.066372467995372</v>
      </c>
      <c r="V8" s="12">
        <f t="shared" si="10"/>
        <v>30.513027411313519</v>
      </c>
      <c r="W8" s="12">
        <f t="shared" si="10"/>
        <v>29.959682354631667</v>
      </c>
      <c r="X8" s="12">
        <f t="shared" si="10"/>
        <v>29.406337297949815</v>
      </c>
      <c r="Y8" s="16">
        <f>Y16/T16*T8</f>
        <v>28.852992241267966</v>
      </c>
      <c r="Z8" s="11">
        <f t="shared" si="11"/>
        <v>28.088849067754932</v>
      </c>
      <c r="AA8" s="12">
        <f t="shared" si="11"/>
        <v>27.324705894241898</v>
      </c>
      <c r="AB8" s="12">
        <f t="shared" si="11"/>
        <v>26.560562720728864</v>
      </c>
      <c r="AC8" s="12">
        <f t="shared" si="11"/>
        <v>25.79641954721583</v>
      </c>
      <c r="AD8" s="16">
        <f>AD16/Y16*Y8</f>
        <v>25.0322763737028</v>
      </c>
      <c r="AE8" s="11">
        <f t="shared" si="12"/>
        <v>24.452581552417051</v>
      </c>
      <c r="AF8" s="12">
        <f t="shared" si="12"/>
        <v>23.872886731131302</v>
      </c>
      <c r="AG8" s="12">
        <f t="shared" si="12"/>
        <v>23.293191909845554</v>
      </c>
      <c r="AH8" s="12">
        <f t="shared" si="12"/>
        <v>22.713497088559805</v>
      </c>
      <c r="AI8" s="16">
        <f>AI16/AD16*AD8</f>
        <v>22.133802267274053</v>
      </c>
      <c r="AJ8" s="11">
        <f t="shared" si="13"/>
        <v>21.791255327423382</v>
      </c>
      <c r="AK8" s="12">
        <f t="shared" si="13"/>
        <v>21.448708387572712</v>
      </c>
      <c r="AL8" s="12">
        <f t="shared" si="13"/>
        <v>21.106161447722041</v>
      </c>
      <c r="AM8" s="12">
        <f t="shared" si="13"/>
        <v>20.76361450787137</v>
      </c>
      <c r="AN8" s="16">
        <f>AN16/AI16*AI8</f>
        <v>20.421067568020703</v>
      </c>
      <c r="AO8" s="11">
        <f t="shared" si="14"/>
        <v>20.264260803956788</v>
      </c>
      <c r="AP8" s="12">
        <f t="shared" si="14"/>
        <v>20.107454039892872</v>
      </c>
      <c r="AQ8" s="12">
        <f t="shared" si="14"/>
        <v>19.950647275828956</v>
      </c>
      <c r="AR8" s="12">
        <f t="shared" si="14"/>
        <v>19.79384051176504</v>
      </c>
      <c r="AS8" s="16">
        <f>AS16/AN16*AN8</f>
        <v>19.637033747701125</v>
      </c>
    </row>
    <row r="9" spans="1:45" x14ac:dyDescent="0.2">
      <c r="A9" s="18" t="s">
        <v>24</v>
      </c>
      <c r="B9" s="8" t="s">
        <v>25</v>
      </c>
      <c r="C9" s="9" t="s">
        <v>18</v>
      </c>
      <c r="D9" s="8" t="s">
        <v>26</v>
      </c>
      <c r="E9" s="35">
        <v>12700.63</v>
      </c>
      <c r="F9" s="11">
        <v>13583.87</v>
      </c>
      <c r="G9" s="29">
        <v>13691.4</v>
      </c>
      <c r="H9" s="12">
        <f t="shared" si="7"/>
        <v>14460.933333333332</v>
      </c>
      <c r="I9" s="12">
        <f t="shared" si="7"/>
        <v>15230.466666666665</v>
      </c>
      <c r="J9" s="10">
        <v>16000</v>
      </c>
      <c r="K9" s="11">
        <f t="shared" si="8"/>
        <v>16400</v>
      </c>
      <c r="L9" s="12">
        <f t="shared" si="8"/>
        <v>16800</v>
      </c>
      <c r="M9" s="12">
        <f t="shared" si="8"/>
        <v>17200</v>
      </c>
      <c r="N9" s="12">
        <f t="shared" si="8"/>
        <v>17600</v>
      </c>
      <c r="O9" s="10">
        <v>18000</v>
      </c>
      <c r="P9" s="11">
        <f t="shared" si="9"/>
        <v>18200</v>
      </c>
      <c r="Q9" s="12">
        <f t="shared" si="9"/>
        <v>18400</v>
      </c>
      <c r="R9" s="12">
        <f t="shared" si="9"/>
        <v>18600</v>
      </c>
      <c r="S9" s="12">
        <f t="shared" si="9"/>
        <v>18800</v>
      </c>
      <c r="T9" s="10">
        <v>19000</v>
      </c>
      <c r="U9" s="11">
        <f t="shared" si="10"/>
        <v>19100</v>
      </c>
      <c r="V9" s="12">
        <f t="shared" si="10"/>
        <v>19200</v>
      </c>
      <c r="W9" s="12">
        <f t="shared" si="10"/>
        <v>19300</v>
      </c>
      <c r="X9" s="12">
        <f t="shared" si="10"/>
        <v>19400</v>
      </c>
      <c r="Y9" s="10">
        <v>19500</v>
      </c>
      <c r="Z9" s="11">
        <f t="shared" si="11"/>
        <v>19400</v>
      </c>
      <c r="AA9" s="12">
        <f t="shared" si="11"/>
        <v>19300</v>
      </c>
      <c r="AB9" s="12">
        <f t="shared" si="11"/>
        <v>19200</v>
      </c>
      <c r="AC9" s="12">
        <f t="shared" si="11"/>
        <v>19100</v>
      </c>
      <c r="AD9" s="10">
        <v>19000</v>
      </c>
      <c r="AE9" s="11">
        <f t="shared" si="12"/>
        <v>18760</v>
      </c>
      <c r="AF9" s="12">
        <f t="shared" si="12"/>
        <v>18520</v>
      </c>
      <c r="AG9" s="12">
        <f t="shared" si="12"/>
        <v>18280</v>
      </c>
      <c r="AH9" s="12">
        <f t="shared" si="12"/>
        <v>18040</v>
      </c>
      <c r="AI9" s="10">
        <v>17800</v>
      </c>
      <c r="AJ9" s="11">
        <f t="shared" si="13"/>
        <v>17540</v>
      </c>
      <c r="AK9" s="12">
        <f t="shared" si="13"/>
        <v>17280</v>
      </c>
      <c r="AL9" s="12">
        <f t="shared" si="13"/>
        <v>17020</v>
      </c>
      <c r="AM9" s="12">
        <f t="shared" si="13"/>
        <v>16760</v>
      </c>
      <c r="AN9" s="10">
        <v>16500</v>
      </c>
      <c r="AO9" s="11">
        <f t="shared" si="14"/>
        <v>16200</v>
      </c>
      <c r="AP9" s="12">
        <f t="shared" si="14"/>
        <v>15900</v>
      </c>
      <c r="AQ9" s="12">
        <f t="shared" si="14"/>
        <v>15600</v>
      </c>
      <c r="AR9" s="12">
        <f t="shared" si="14"/>
        <v>15300</v>
      </c>
      <c r="AS9" s="10">
        <v>15000</v>
      </c>
    </row>
    <row r="10" spans="1:45" x14ac:dyDescent="0.2">
      <c r="A10" s="17" t="s">
        <v>27</v>
      </c>
      <c r="B10" s="8" t="s">
        <v>28</v>
      </c>
      <c r="C10" s="9" t="s">
        <v>6</v>
      </c>
      <c r="D10" s="8" t="s">
        <v>29</v>
      </c>
      <c r="E10" s="34">
        <v>6.7441000000000004</v>
      </c>
      <c r="F10" s="11">
        <v>7</v>
      </c>
      <c r="G10" s="28">
        <v>6.7590000000000003</v>
      </c>
      <c r="H10" s="12">
        <f t="shared" si="7"/>
        <v>6.8941447831184055</v>
      </c>
      <c r="I10" s="12">
        <f t="shared" si="7"/>
        <v>7.0292895662368107</v>
      </c>
      <c r="J10" s="16">
        <f>J3/G3*G10</f>
        <v>7.1644343493552158</v>
      </c>
      <c r="K10" s="11">
        <f t="shared" si="8"/>
        <v>7.184243845252051</v>
      </c>
      <c r="L10" s="12">
        <f t="shared" si="8"/>
        <v>7.2040533411488861</v>
      </c>
      <c r="M10" s="12">
        <f t="shared" si="8"/>
        <v>7.2238628370457212</v>
      </c>
      <c r="N10" s="12">
        <f t="shared" si="8"/>
        <v>7.2436723329425563</v>
      </c>
      <c r="O10" s="16">
        <f>O3/J3*J10</f>
        <v>7.2634818288393896</v>
      </c>
      <c r="P10" s="11">
        <f t="shared" si="9"/>
        <v>7.3163071512309488</v>
      </c>
      <c r="Q10" s="12">
        <f t="shared" si="9"/>
        <v>7.3691324736225079</v>
      </c>
      <c r="R10" s="12">
        <f t="shared" si="9"/>
        <v>7.421957796014067</v>
      </c>
      <c r="S10" s="12">
        <f t="shared" si="9"/>
        <v>7.4747831184056261</v>
      </c>
      <c r="T10" s="16">
        <f>T3/O3*O10</f>
        <v>7.5276084407971844</v>
      </c>
      <c r="U10" s="11">
        <f t="shared" si="10"/>
        <v>7.5408147713950742</v>
      </c>
      <c r="V10" s="12">
        <f t="shared" si="10"/>
        <v>7.5540211019929639</v>
      </c>
      <c r="W10" s="12">
        <f t="shared" si="10"/>
        <v>7.5672274325908537</v>
      </c>
      <c r="X10" s="12">
        <f t="shared" si="10"/>
        <v>7.5804337631887435</v>
      </c>
      <c r="Y10" s="16">
        <f>Y3/T3*T10</f>
        <v>7.5936400937866333</v>
      </c>
      <c r="Z10" s="11">
        <f t="shared" si="11"/>
        <v>7.5276084407971844</v>
      </c>
      <c r="AA10" s="12">
        <f t="shared" si="11"/>
        <v>7.4615767878077355</v>
      </c>
      <c r="AB10" s="12">
        <f t="shared" si="11"/>
        <v>7.3955451348182866</v>
      </c>
      <c r="AC10" s="12">
        <f t="shared" si="11"/>
        <v>7.3295134818288377</v>
      </c>
      <c r="AD10" s="16">
        <f>AD3/Y3*Y10</f>
        <v>7.2634818288393896</v>
      </c>
      <c r="AE10" s="11">
        <f t="shared" si="12"/>
        <v>7.1974501758499407</v>
      </c>
      <c r="AF10" s="12">
        <f t="shared" si="12"/>
        <v>7.1314185228604918</v>
      </c>
      <c r="AG10" s="12">
        <f t="shared" si="12"/>
        <v>7.0653868698710429</v>
      </c>
      <c r="AH10" s="12">
        <f t="shared" si="12"/>
        <v>6.999355216881594</v>
      </c>
      <c r="AI10" s="16">
        <f>AI3/AD3*AD10</f>
        <v>6.9333235638921442</v>
      </c>
      <c r="AJ10" s="11">
        <f t="shared" si="13"/>
        <v>6.8342760844079704</v>
      </c>
      <c r="AK10" s="12">
        <f t="shared" si="13"/>
        <v>6.7352286049237966</v>
      </c>
      <c r="AL10" s="12">
        <f t="shared" si="13"/>
        <v>6.6361811254396228</v>
      </c>
      <c r="AM10" s="12">
        <f t="shared" si="13"/>
        <v>6.537133645955449</v>
      </c>
      <c r="AN10" s="16">
        <f>AN3/AI3*AI10</f>
        <v>6.4380861664712761</v>
      </c>
      <c r="AO10" s="11">
        <f t="shared" si="14"/>
        <v>6.3984671746776067</v>
      </c>
      <c r="AP10" s="12">
        <f t="shared" si="14"/>
        <v>6.3588481828839374</v>
      </c>
      <c r="AQ10" s="12">
        <f t="shared" si="14"/>
        <v>6.319229191090268</v>
      </c>
      <c r="AR10" s="12">
        <f t="shared" si="14"/>
        <v>6.2796101992965987</v>
      </c>
      <c r="AS10" s="16">
        <f>AS3/AN3*AN10</f>
        <v>6.2399912075029293</v>
      </c>
    </row>
    <row r="11" spans="1:45" x14ac:dyDescent="0.2">
      <c r="A11" s="17" t="s">
        <v>27</v>
      </c>
      <c r="B11" s="8" t="s">
        <v>30</v>
      </c>
      <c r="C11" s="9" t="s">
        <v>18</v>
      </c>
      <c r="D11" s="8" t="s">
        <v>31</v>
      </c>
      <c r="E11" s="33">
        <v>47116</v>
      </c>
      <c r="F11" s="11">
        <v>46400</v>
      </c>
      <c r="G11" s="29">
        <v>47300</v>
      </c>
      <c r="H11" s="12">
        <f t="shared" si="7"/>
        <v>51048.854095957366</v>
      </c>
      <c r="I11" s="12">
        <f t="shared" si="7"/>
        <v>54797.708191914731</v>
      </c>
      <c r="J11" s="19">
        <f>J18/G18*G11</f>
        <v>58546.562287872104</v>
      </c>
      <c r="K11" s="11">
        <f t="shared" si="8"/>
        <v>59847.597005380376</v>
      </c>
      <c r="L11" s="12">
        <f t="shared" si="8"/>
        <v>61148.631722888647</v>
      </c>
      <c r="M11" s="12">
        <f t="shared" si="8"/>
        <v>62449.666440396919</v>
      </c>
      <c r="N11" s="12">
        <f t="shared" si="8"/>
        <v>63750.70115790519</v>
      </c>
      <c r="O11" s="19">
        <f>O18/J18*J11</f>
        <v>65051.735875413455</v>
      </c>
      <c r="P11" s="11">
        <f t="shared" si="9"/>
        <v>65144.666926664046</v>
      </c>
      <c r="Q11" s="12">
        <f t="shared" si="9"/>
        <v>65237.597977914636</v>
      </c>
      <c r="R11" s="12">
        <f t="shared" si="9"/>
        <v>65330.529029165227</v>
      </c>
      <c r="S11" s="12">
        <f t="shared" si="9"/>
        <v>65423.460080415818</v>
      </c>
      <c r="T11" s="19">
        <f>T18/O18*O11</f>
        <v>65516.391131666409</v>
      </c>
      <c r="U11" s="11">
        <f t="shared" si="10"/>
        <v>64772.942721661682</v>
      </c>
      <c r="V11" s="12">
        <f t="shared" si="10"/>
        <v>64029.494311656956</v>
      </c>
      <c r="W11" s="12">
        <f t="shared" si="10"/>
        <v>63286.045901652229</v>
      </c>
      <c r="X11" s="12">
        <f t="shared" si="10"/>
        <v>62542.597491647502</v>
      </c>
      <c r="Y11" s="19">
        <f>Y18/T18*T11</f>
        <v>61799.149081642783</v>
      </c>
      <c r="Z11" s="11">
        <f t="shared" si="11"/>
        <v>60405.183312883921</v>
      </c>
      <c r="AA11" s="12">
        <f t="shared" si="11"/>
        <v>59011.217544125058</v>
      </c>
      <c r="AB11" s="12">
        <f t="shared" si="11"/>
        <v>57617.251775366196</v>
      </c>
      <c r="AC11" s="12">
        <f t="shared" si="11"/>
        <v>56223.286006607334</v>
      </c>
      <c r="AD11" s="19">
        <f>AD18/Y18*Y11</f>
        <v>54829.320237848478</v>
      </c>
      <c r="AE11" s="11">
        <f t="shared" si="12"/>
        <v>53435.354469089616</v>
      </c>
      <c r="AF11" s="12">
        <f t="shared" si="12"/>
        <v>52041.388700330754</v>
      </c>
      <c r="AG11" s="12">
        <f t="shared" si="12"/>
        <v>50647.422931571891</v>
      </c>
      <c r="AH11" s="12">
        <f t="shared" si="12"/>
        <v>49253.457162813029</v>
      </c>
      <c r="AI11" s="19">
        <f>AI18/AD18*AD11</f>
        <v>47859.491394054181</v>
      </c>
      <c r="AJ11" s="11">
        <f t="shared" si="13"/>
        <v>46651.3877277965</v>
      </c>
      <c r="AK11" s="12">
        <f t="shared" si="13"/>
        <v>45443.28406153882</v>
      </c>
      <c r="AL11" s="12">
        <f t="shared" si="13"/>
        <v>44235.180395281139</v>
      </c>
      <c r="AM11" s="12">
        <f t="shared" si="13"/>
        <v>43027.076729023458</v>
      </c>
      <c r="AN11" s="19">
        <f>AN18/AI18*AI11</f>
        <v>41818.973062765785</v>
      </c>
      <c r="AO11" s="11">
        <f t="shared" si="14"/>
        <v>40550.178450212625</v>
      </c>
      <c r="AP11" s="12">
        <f t="shared" si="14"/>
        <v>39281.383837659465</v>
      </c>
      <c r="AQ11" s="12">
        <f t="shared" si="14"/>
        <v>38012.589225106305</v>
      </c>
      <c r="AR11" s="12">
        <f t="shared" si="14"/>
        <v>36743.794612553145</v>
      </c>
      <c r="AS11" s="19">
        <f>AS18/AN18*AN11</f>
        <v>35474.999999999985</v>
      </c>
    </row>
    <row r="12" spans="1:45" x14ac:dyDescent="0.2">
      <c r="A12" s="17" t="s">
        <v>32</v>
      </c>
      <c r="B12" s="8" t="s">
        <v>33</v>
      </c>
      <c r="C12" s="9" t="s">
        <v>18</v>
      </c>
      <c r="D12" s="8" t="s">
        <v>26</v>
      </c>
      <c r="E12" s="35">
        <v>3673.87</v>
      </c>
      <c r="F12" s="11">
        <v>3891.31</v>
      </c>
      <c r="G12" s="29">
        <v>3463.08</v>
      </c>
      <c r="H12" s="12">
        <f>G12+($J12-$G12)/3</f>
        <v>3842.0533333333333</v>
      </c>
      <c r="I12" s="12">
        <f t="shared" si="7"/>
        <v>4221.0266666666666</v>
      </c>
      <c r="J12" s="10">
        <v>4600</v>
      </c>
      <c r="K12" s="11">
        <f t="shared" si="8"/>
        <v>4800</v>
      </c>
      <c r="L12" s="12">
        <f t="shared" si="8"/>
        <v>5000</v>
      </c>
      <c r="M12" s="12">
        <f t="shared" si="8"/>
        <v>5200</v>
      </c>
      <c r="N12" s="12">
        <f t="shared" si="8"/>
        <v>5400</v>
      </c>
      <c r="O12" s="10">
        <v>5600</v>
      </c>
      <c r="P12" s="11">
        <f t="shared" si="9"/>
        <v>5720</v>
      </c>
      <c r="Q12" s="12">
        <f t="shared" si="9"/>
        <v>5840</v>
      </c>
      <c r="R12" s="12">
        <f t="shared" si="9"/>
        <v>5960</v>
      </c>
      <c r="S12" s="12">
        <f t="shared" si="9"/>
        <v>6080</v>
      </c>
      <c r="T12" s="10">
        <v>6200</v>
      </c>
      <c r="U12" s="11">
        <f t="shared" si="10"/>
        <v>6260</v>
      </c>
      <c r="V12" s="12">
        <f t="shared" si="10"/>
        <v>6320</v>
      </c>
      <c r="W12" s="12">
        <f t="shared" si="10"/>
        <v>6380</v>
      </c>
      <c r="X12" s="12">
        <f t="shared" si="10"/>
        <v>6440</v>
      </c>
      <c r="Y12" s="10">
        <v>6500</v>
      </c>
      <c r="Z12" s="11">
        <f t="shared" si="11"/>
        <v>6520</v>
      </c>
      <c r="AA12" s="12">
        <f t="shared" si="11"/>
        <v>6540</v>
      </c>
      <c r="AB12" s="12">
        <f t="shared" si="11"/>
        <v>6560</v>
      </c>
      <c r="AC12" s="12">
        <f t="shared" si="11"/>
        <v>6580</v>
      </c>
      <c r="AD12" s="10">
        <v>6600</v>
      </c>
      <c r="AE12" s="11">
        <f t="shared" si="12"/>
        <v>6580</v>
      </c>
      <c r="AF12" s="12">
        <f t="shared" si="12"/>
        <v>6560</v>
      </c>
      <c r="AG12" s="12">
        <f t="shared" si="12"/>
        <v>6540</v>
      </c>
      <c r="AH12" s="12">
        <f t="shared" si="12"/>
        <v>6520</v>
      </c>
      <c r="AI12" s="10">
        <v>6500</v>
      </c>
      <c r="AJ12" s="11">
        <f t="shared" si="13"/>
        <v>6440</v>
      </c>
      <c r="AK12" s="12">
        <f t="shared" si="13"/>
        <v>6380</v>
      </c>
      <c r="AL12" s="12">
        <f t="shared" si="13"/>
        <v>6320</v>
      </c>
      <c r="AM12" s="12">
        <f t="shared" si="13"/>
        <v>6260</v>
      </c>
      <c r="AN12" s="10">
        <v>6200</v>
      </c>
      <c r="AO12" s="11">
        <f t="shared" si="14"/>
        <v>6120</v>
      </c>
      <c r="AP12" s="12">
        <f t="shared" si="14"/>
        <v>6040</v>
      </c>
      <c r="AQ12" s="12">
        <f t="shared" si="14"/>
        <v>5960</v>
      </c>
      <c r="AR12" s="12">
        <f t="shared" si="14"/>
        <v>5880</v>
      </c>
      <c r="AS12" s="10">
        <v>5800</v>
      </c>
    </row>
    <row r="13" spans="1:45" x14ac:dyDescent="0.2">
      <c r="A13" s="17" t="s">
        <v>32</v>
      </c>
      <c r="B13" s="8" t="s">
        <v>34</v>
      </c>
      <c r="C13" s="9" t="s">
        <v>18</v>
      </c>
      <c r="D13" s="8" t="s">
        <v>26</v>
      </c>
      <c r="E13" s="35">
        <v>2812.37</v>
      </c>
      <c r="F13" s="11">
        <v>2913.25</v>
      </c>
      <c r="G13" s="29">
        <v>2920.2</v>
      </c>
      <c r="H13" s="12">
        <f t="shared" si="7"/>
        <v>3146.7999999999997</v>
      </c>
      <c r="I13" s="12">
        <f t="shared" si="7"/>
        <v>3373.3999999999996</v>
      </c>
      <c r="J13" s="10">
        <v>3600</v>
      </c>
      <c r="K13" s="11">
        <f t="shared" si="8"/>
        <v>3760</v>
      </c>
      <c r="L13" s="12">
        <f t="shared" si="8"/>
        <v>3920</v>
      </c>
      <c r="M13" s="12">
        <f t="shared" si="8"/>
        <v>4080</v>
      </c>
      <c r="N13" s="12">
        <f t="shared" si="8"/>
        <v>4240</v>
      </c>
      <c r="O13" s="10">
        <v>4400</v>
      </c>
      <c r="P13" s="11">
        <f t="shared" si="9"/>
        <v>4480</v>
      </c>
      <c r="Q13" s="12">
        <f t="shared" si="9"/>
        <v>4560</v>
      </c>
      <c r="R13" s="12">
        <f t="shared" si="9"/>
        <v>4640</v>
      </c>
      <c r="S13" s="12">
        <f t="shared" si="9"/>
        <v>4720</v>
      </c>
      <c r="T13" s="10">
        <v>4800</v>
      </c>
      <c r="U13" s="11">
        <f t="shared" si="10"/>
        <v>4820</v>
      </c>
      <c r="V13" s="12">
        <f t="shared" si="10"/>
        <v>4840</v>
      </c>
      <c r="W13" s="12">
        <f t="shared" si="10"/>
        <v>4860</v>
      </c>
      <c r="X13" s="12">
        <f t="shared" si="10"/>
        <v>4880</v>
      </c>
      <c r="Y13" s="10">
        <v>4900</v>
      </c>
      <c r="Z13" s="11">
        <f t="shared" si="11"/>
        <v>4890</v>
      </c>
      <c r="AA13" s="12">
        <f t="shared" si="11"/>
        <v>4880</v>
      </c>
      <c r="AB13" s="12">
        <f t="shared" si="11"/>
        <v>4870</v>
      </c>
      <c r="AC13" s="12">
        <f t="shared" si="11"/>
        <v>4860</v>
      </c>
      <c r="AD13" s="10">
        <v>4850</v>
      </c>
      <c r="AE13" s="11">
        <f t="shared" si="12"/>
        <v>4820</v>
      </c>
      <c r="AF13" s="12">
        <f t="shared" si="12"/>
        <v>4790</v>
      </c>
      <c r="AG13" s="12">
        <f t="shared" si="12"/>
        <v>4760</v>
      </c>
      <c r="AH13" s="12">
        <f t="shared" si="12"/>
        <v>4730</v>
      </c>
      <c r="AI13" s="10">
        <v>4700</v>
      </c>
      <c r="AJ13" s="11">
        <f t="shared" si="13"/>
        <v>4660</v>
      </c>
      <c r="AK13" s="12">
        <f t="shared" si="13"/>
        <v>4620</v>
      </c>
      <c r="AL13" s="12">
        <f t="shared" si="13"/>
        <v>4580</v>
      </c>
      <c r="AM13" s="12">
        <f t="shared" si="13"/>
        <v>4540</v>
      </c>
      <c r="AN13" s="10">
        <v>4500</v>
      </c>
      <c r="AO13" s="11">
        <f t="shared" si="14"/>
        <v>4440</v>
      </c>
      <c r="AP13" s="12">
        <f t="shared" si="14"/>
        <v>4380</v>
      </c>
      <c r="AQ13" s="12">
        <f t="shared" si="14"/>
        <v>4320</v>
      </c>
      <c r="AR13" s="12">
        <f t="shared" si="14"/>
        <v>4260</v>
      </c>
      <c r="AS13" s="10">
        <v>4200</v>
      </c>
    </row>
    <row r="14" spans="1:45" x14ac:dyDescent="0.2">
      <c r="A14" s="17" t="s">
        <v>32</v>
      </c>
      <c r="B14" s="8" t="s">
        <v>35</v>
      </c>
      <c r="C14" s="9" t="s">
        <v>18</v>
      </c>
      <c r="D14" s="8" t="s">
        <v>26</v>
      </c>
      <c r="E14" s="35">
        <v>2159.96</v>
      </c>
      <c r="F14" s="11">
        <v>2825.67</v>
      </c>
      <c r="G14" s="29">
        <v>2897.51</v>
      </c>
      <c r="H14" s="12">
        <f t="shared" si="7"/>
        <v>3398.34</v>
      </c>
      <c r="I14" s="12">
        <f t="shared" si="7"/>
        <v>3899.17</v>
      </c>
      <c r="J14" s="10">
        <v>4400</v>
      </c>
      <c r="K14" s="11">
        <f t="shared" si="8"/>
        <v>4600</v>
      </c>
      <c r="L14" s="12">
        <f t="shared" si="8"/>
        <v>4800</v>
      </c>
      <c r="M14" s="12">
        <f t="shared" si="8"/>
        <v>5000</v>
      </c>
      <c r="N14" s="12">
        <f t="shared" si="8"/>
        <v>5200</v>
      </c>
      <c r="O14" s="10">
        <v>5400</v>
      </c>
      <c r="P14" s="11">
        <f t="shared" si="9"/>
        <v>5520</v>
      </c>
      <c r="Q14" s="12">
        <f t="shared" si="9"/>
        <v>5640</v>
      </c>
      <c r="R14" s="12">
        <f t="shared" si="9"/>
        <v>5760</v>
      </c>
      <c r="S14" s="12">
        <f t="shared" si="9"/>
        <v>5880</v>
      </c>
      <c r="T14" s="10">
        <v>6000</v>
      </c>
      <c r="U14" s="11">
        <f t="shared" si="10"/>
        <v>6060</v>
      </c>
      <c r="V14" s="12">
        <f t="shared" si="10"/>
        <v>6120</v>
      </c>
      <c r="W14" s="12">
        <f t="shared" si="10"/>
        <v>6180</v>
      </c>
      <c r="X14" s="12">
        <f t="shared" si="10"/>
        <v>6240</v>
      </c>
      <c r="Y14" s="10">
        <v>6300</v>
      </c>
      <c r="Z14" s="11">
        <f t="shared" si="11"/>
        <v>6320</v>
      </c>
      <c r="AA14" s="12">
        <f t="shared" si="11"/>
        <v>6340</v>
      </c>
      <c r="AB14" s="12">
        <f t="shared" si="11"/>
        <v>6360</v>
      </c>
      <c r="AC14" s="12">
        <f t="shared" si="11"/>
        <v>6380</v>
      </c>
      <c r="AD14" s="10">
        <v>6400</v>
      </c>
      <c r="AE14" s="11">
        <f t="shared" si="12"/>
        <v>6360</v>
      </c>
      <c r="AF14" s="12">
        <f t="shared" si="12"/>
        <v>6320</v>
      </c>
      <c r="AG14" s="12">
        <f t="shared" si="12"/>
        <v>6280</v>
      </c>
      <c r="AH14" s="12">
        <f t="shared" si="12"/>
        <v>6240</v>
      </c>
      <c r="AI14" s="10">
        <v>6200</v>
      </c>
      <c r="AJ14" s="11">
        <f t="shared" si="13"/>
        <v>6140</v>
      </c>
      <c r="AK14" s="12">
        <f t="shared" si="13"/>
        <v>6080</v>
      </c>
      <c r="AL14" s="12">
        <f t="shared" si="13"/>
        <v>6020</v>
      </c>
      <c r="AM14" s="12">
        <f t="shared" si="13"/>
        <v>5960</v>
      </c>
      <c r="AN14" s="10">
        <v>5900</v>
      </c>
      <c r="AO14" s="11">
        <f t="shared" si="14"/>
        <v>5850</v>
      </c>
      <c r="AP14" s="12">
        <f t="shared" si="14"/>
        <v>5800</v>
      </c>
      <c r="AQ14" s="12">
        <f t="shared" si="14"/>
        <v>5750</v>
      </c>
      <c r="AR14" s="12">
        <f t="shared" si="14"/>
        <v>5700</v>
      </c>
      <c r="AS14" s="10">
        <v>5650</v>
      </c>
    </row>
    <row r="15" spans="1:45" x14ac:dyDescent="0.2">
      <c r="A15" s="17" t="s">
        <v>32</v>
      </c>
      <c r="B15" s="8" t="s">
        <v>36</v>
      </c>
      <c r="C15" s="9" t="s">
        <v>18</v>
      </c>
      <c r="D15" s="8" t="s">
        <v>26</v>
      </c>
      <c r="E15" s="35">
        <v>5117.13</v>
      </c>
      <c r="F15" s="11">
        <v>5189.38</v>
      </c>
      <c r="G15" s="29">
        <v>5321.01</v>
      </c>
      <c r="H15" s="12">
        <f t="shared" si="7"/>
        <v>5647.34</v>
      </c>
      <c r="I15" s="12">
        <f t="shared" si="7"/>
        <v>5973.67</v>
      </c>
      <c r="J15" s="10">
        <v>6300</v>
      </c>
      <c r="K15" s="11">
        <f t="shared" si="8"/>
        <v>6480</v>
      </c>
      <c r="L15" s="12">
        <f t="shared" si="8"/>
        <v>6660</v>
      </c>
      <c r="M15" s="12">
        <f t="shared" si="8"/>
        <v>6840</v>
      </c>
      <c r="N15" s="12">
        <f t="shared" si="8"/>
        <v>7020</v>
      </c>
      <c r="O15" s="10">
        <v>7200</v>
      </c>
      <c r="P15" s="11">
        <f t="shared" si="9"/>
        <v>7300</v>
      </c>
      <c r="Q15" s="12">
        <f t="shared" si="9"/>
        <v>7400</v>
      </c>
      <c r="R15" s="12">
        <f t="shared" si="9"/>
        <v>7500</v>
      </c>
      <c r="S15" s="12">
        <f t="shared" si="9"/>
        <v>7600</v>
      </c>
      <c r="T15" s="10">
        <v>7700</v>
      </c>
      <c r="U15" s="11">
        <f t="shared" si="10"/>
        <v>7760</v>
      </c>
      <c r="V15" s="12">
        <f t="shared" si="10"/>
        <v>7820</v>
      </c>
      <c r="W15" s="12">
        <f t="shared" si="10"/>
        <v>7880</v>
      </c>
      <c r="X15" s="12">
        <f t="shared" si="10"/>
        <v>7940</v>
      </c>
      <c r="Y15" s="10">
        <v>8000</v>
      </c>
      <c r="Z15" s="11">
        <f t="shared" si="11"/>
        <v>8040</v>
      </c>
      <c r="AA15" s="12">
        <f t="shared" si="11"/>
        <v>8080</v>
      </c>
      <c r="AB15" s="12">
        <f t="shared" si="11"/>
        <v>8120</v>
      </c>
      <c r="AC15" s="12">
        <f t="shared" si="11"/>
        <v>8160</v>
      </c>
      <c r="AD15" s="10">
        <v>8200</v>
      </c>
      <c r="AE15" s="11">
        <f t="shared" si="12"/>
        <v>8240</v>
      </c>
      <c r="AF15" s="12">
        <f t="shared" si="12"/>
        <v>8280</v>
      </c>
      <c r="AG15" s="12">
        <f t="shared" si="12"/>
        <v>8320</v>
      </c>
      <c r="AH15" s="12">
        <f t="shared" si="12"/>
        <v>8360</v>
      </c>
      <c r="AI15" s="10">
        <v>8400</v>
      </c>
      <c r="AJ15" s="11">
        <f t="shared" si="13"/>
        <v>8420</v>
      </c>
      <c r="AK15" s="12">
        <f t="shared" si="13"/>
        <v>8440</v>
      </c>
      <c r="AL15" s="12">
        <f t="shared" si="13"/>
        <v>8460</v>
      </c>
      <c r="AM15" s="12">
        <f t="shared" si="13"/>
        <v>8480</v>
      </c>
      <c r="AN15" s="10">
        <v>8500</v>
      </c>
      <c r="AO15" s="11">
        <f t="shared" si="14"/>
        <v>8520</v>
      </c>
      <c r="AP15" s="12">
        <f t="shared" si="14"/>
        <v>8540</v>
      </c>
      <c r="AQ15" s="12">
        <f t="shared" si="14"/>
        <v>8560</v>
      </c>
      <c r="AR15" s="12">
        <f t="shared" si="14"/>
        <v>8580</v>
      </c>
      <c r="AS15" s="10">
        <v>8600</v>
      </c>
    </row>
    <row r="16" spans="1:45" x14ac:dyDescent="0.2">
      <c r="A16" s="17" t="s">
        <v>100</v>
      </c>
      <c r="B16" s="8" t="s">
        <v>38</v>
      </c>
      <c r="C16" s="9" t="s">
        <v>18</v>
      </c>
      <c r="D16" s="8" t="s">
        <v>26</v>
      </c>
      <c r="E16" s="35">
        <v>239470.83</v>
      </c>
      <c r="F16" s="11">
        <v>237724.49</v>
      </c>
      <c r="G16" s="29">
        <v>212927.18</v>
      </c>
      <c r="H16" s="12">
        <f t="shared" si="7"/>
        <v>221951.45333333334</v>
      </c>
      <c r="I16" s="12">
        <f t="shared" si="7"/>
        <v>230975.72666666668</v>
      </c>
      <c r="J16" s="10">
        <v>240000</v>
      </c>
      <c r="K16" s="11">
        <f t="shared" si="8"/>
        <v>243000</v>
      </c>
      <c r="L16" s="12">
        <f t="shared" si="8"/>
        <v>246000</v>
      </c>
      <c r="M16" s="12">
        <f t="shared" si="8"/>
        <v>249000</v>
      </c>
      <c r="N16" s="12">
        <f t="shared" si="8"/>
        <v>252000</v>
      </c>
      <c r="O16" s="10">
        <v>255000</v>
      </c>
      <c r="P16" s="11">
        <f t="shared" si="9"/>
        <v>252000</v>
      </c>
      <c r="Q16" s="12">
        <f t="shared" si="9"/>
        <v>249000</v>
      </c>
      <c r="R16" s="12">
        <f t="shared" si="9"/>
        <v>246000</v>
      </c>
      <c r="S16" s="12">
        <f t="shared" si="9"/>
        <v>243000</v>
      </c>
      <c r="T16" s="10">
        <v>240000</v>
      </c>
      <c r="U16" s="11">
        <f t="shared" si="10"/>
        <v>235800</v>
      </c>
      <c r="V16" s="12">
        <f t="shared" si="10"/>
        <v>231600</v>
      </c>
      <c r="W16" s="12">
        <f t="shared" si="10"/>
        <v>227400</v>
      </c>
      <c r="X16" s="12">
        <f t="shared" si="10"/>
        <v>223200</v>
      </c>
      <c r="Y16" s="10">
        <v>219000</v>
      </c>
      <c r="Z16" s="11">
        <f t="shared" si="11"/>
        <v>213200</v>
      </c>
      <c r="AA16" s="12">
        <f t="shared" si="11"/>
        <v>207400</v>
      </c>
      <c r="AB16" s="12">
        <f t="shared" si="11"/>
        <v>201600</v>
      </c>
      <c r="AC16" s="12">
        <f t="shared" si="11"/>
        <v>195800</v>
      </c>
      <c r="AD16" s="10">
        <v>190000</v>
      </c>
      <c r="AE16" s="11">
        <f t="shared" si="12"/>
        <v>185600</v>
      </c>
      <c r="AF16" s="12">
        <f t="shared" si="12"/>
        <v>181200</v>
      </c>
      <c r="AG16" s="12">
        <f t="shared" si="12"/>
        <v>176800</v>
      </c>
      <c r="AH16" s="12">
        <f t="shared" si="12"/>
        <v>172400</v>
      </c>
      <c r="AI16" s="10">
        <v>168000</v>
      </c>
      <c r="AJ16" s="11">
        <f t="shared" si="13"/>
        <v>165400</v>
      </c>
      <c r="AK16" s="12">
        <f t="shared" si="13"/>
        <v>162800</v>
      </c>
      <c r="AL16" s="12">
        <f t="shared" si="13"/>
        <v>160200</v>
      </c>
      <c r="AM16" s="12">
        <f t="shared" si="13"/>
        <v>157600</v>
      </c>
      <c r="AN16" s="10">
        <v>155000</v>
      </c>
      <c r="AO16" s="11">
        <f t="shared" si="14"/>
        <v>153809.8052</v>
      </c>
      <c r="AP16" s="12">
        <f t="shared" si="14"/>
        <v>152619.61040000001</v>
      </c>
      <c r="AQ16" s="12">
        <f t="shared" si="14"/>
        <v>151429.41560000001</v>
      </c>
      <c r="AR16" s="12">
        <f t="shared" si="14"/>
        <v>150239.22080000001</v>
      </c>
      <c r="AS16" s="10">
        <f>G16*0.7</f>
        <v>149049.02599999998</v>
      </c>
    </row>
    <row r="17" spans="1:48" x14ac:dyDescent="0.2">
      <c r="A17" s="17" t="s">
        <v>37</v>
      </c>
      <c r="B17" s="8" t="s">
        <v>39</v>
      </c>
      <c r="C17" s="9" t="s">
        <v>40</v>
      </c>
      <c r="D17" s="8" t="s">
        <v>26</v>
      </c>
      <c r="E17" s="35">
        <v>95227.79</v>
      </c>
      <c r="F17" s="11">
        <v>101727.37</v>
      </c>
      <c r="G17" s="29">
        <v>101668.65</v>
      </c>
      <c r="H17" s="12">
        <f t="shared" si="7"/>
        <v>107779.09999999999</v>
      </c>
      <c r="I17" s="12">
        <f t="shared" si="7"/>
        <v>113889.54999999999</v>
      </c>
      <c r="J17" s="10">
        <v>120000</v>
      </c>
      <c r="K17" s="11">
        <f t="shared" si="8"/>
        <v>122000</v>
      </c>
      <c r="L17" s="12">
        <f t="shared" si="8"/>
        <v>124000</v>
      </c>
      <c r="M17" s="12">
        <f t="shared" si="8"/>
        <v>126000</v>
      </c>
      <c r="N17" s="12">
        <f t="shared" si="8"/>
        <v>128000</v>
      </c>
      <c r="O17" s="10">
        <v>130000</v>
      </c>
      <c r="P17" s="11">
        <f t="shared" si="9"/>
        <v>129800</v>
      </c>
      <c r="Q17" s="12">
        <f t="shared" si="9"/>
        <v>129600</v>
      </c>
      <c r="R17" s="12">
        <f t="shared" si="9"/>
        <v>129400</v>
      </c>
      <c r="S17" s="12">
        <f t="shared" si="9"/>
        <v>129200</v>
      </c>
      <c r="T17" s="10">
        <v>129000</v>
      </c>
      <c r="U17" s="11">
        <f t="shared" si="10"/>
        <v>127800</v>
      </c>
      <c r="V17" s="12">
        <f t="shared" si="10"/>
        <v>126600</v>
      </c>
      <c r="W17" s="12">
        <f t="shared" si="10"/>
        <v>125400</v>
      </c>
      <c r="X17" s="12">
        <f t="shared" si="10"/>
        <v>124200</v>
      </c>
      <c r="Y17" s="10">
        <v>123000</v>
      </c>
      <c r="Z17" s="11">
        <f t="shared" si="11"/>
        <v>121800</v>
      </c>
      <c r="AA17" s="12">
        <f t="shared" si="11"/>
        <v>120600</v>
      </c>
      <c r="AB17" s="12">
        <f t="shared" si="11"/>
        <v>119400</v>
      </c>
      <c r="AC17" s="12">
        <f t="shared" si="11"/>
        <v>118200</v>
      </c>
      <c r="AD17" s="10">
        <v>117000</v>
      </c>
      <c r="AE17" s="11">
        <f t="shared" si="12"/>
        <v>115200</v>
      </c>
      <c r="AF17" s="12">
        <f t="shared" si="12"/>
        <v>113400</v>
      </c>
      <c r="AG17" s="12">
        <f t="shared" si="12"/>
        <v>111600</v>
      </c>
      <c r="AH17" s="12">
        <f t="shared" si="12"/>
        <v>109800</v>
      </c>
      <c r="AI17" s="10">
        <v>108000</v>
      </c>
      <c r="AJ17" s="11">
        <f t="shared" si="13"/>
        <v>106400</v>
      </c>
      <c r="AK17" s="12">
        <f t="shared" si="13"/>
        <v>104800</v>
      </c>
      <c r="AL17" s="12">
        <f t="shared" si="13"/>
        <v>103200</v>
      </c>
      <c r="AM17" s="12">
        <f t="shared" si="13"/>
        <v>101600</v>
      </c>
      <c r="AN17" s="10">
        <v>100000</v>
      </c>
      <c r="AO17" s="11">
        <f t="shared" si="14"/>
        <v>98000</v>
      </c>
      <c r="AP17" s="12">
        <f t="shared" si="14"/>
        <v>96000</v>
      </c>
      <c r="AQ17" s="12">
        <f t="shared" si="14"/>
        <v>94000</v>
      </c>
      <c r="AR17" s="12">
        <f t="shared" si="14"/>
        <v>92000</v>
      </c>
      <c r="AS17" s="10">
        <v>90000</v>
      </c>
    </row>
    <row r="18" spans="1:48" x14ac:dyDescent="0.2">
      <c r="A18" s="18" t="s">
        <v>41</v>
      </c>
      <c r="B18" s="8" t="s">
        <v>42</v>
      </c>
      <c r="C18" s="9" t="s">
        <v>18</v>
      </c>
      <c r="D18" s="8" t="s">
        <v>26</v>
      </c>
      <c r="E18" s="35">
        <v>106476.68</v>
      </c>
      <c r="F18" s="11">
        <v>103524.26</v>
      </c>
      <c r="G18" s="29">
        <v>101795.9</v>
      </c>
      <c r="H18" s="12">
        <f t="shared" si="7"/>
        <v>109863.93333333333</v>
      </c>
      <c r="I18" s="12">
        <f t="shared" si="7"/>
        <v>117931.96666666667</v>
      </c>
      <c r="J18" s="10">
        <v>126000</v>
      </c>
      <c r="K18" s="11">
        <f t="shared" si="8"/>
        <v>128800</v>
      </c>
      <c r="L18" s="12">
        <f t="shared" si="8"/>
        <v>131600</v>
      </c>
      <c r="M18" s="12">
        <f t="shared" si="8"/>
        <v>134400</v>
      </c>
      <c r="N18" s="12">
        <f t="shared" si="8"/>
        <v>137200</v>
      </c>
      <c r="O18" s="10">
        <v>140000</v>
      </c>
      <c r="P18" s="11">
        <f t="shared" si="9"/>
        <v>140200</v>
      </c>
      <c r="Q18" s="12">
        <f t="shared" si="9"/>
        <v>140400</v>
      </c>
      <c r="R18" s="12">
        <f t="shared" si="9"/>
        <v>140600</v>
      </c>
      <c r="S18" s="12">
        <f t="shared" si="9"/>
        <v>140800</v>
      </c>
      <c r="T18" s="10">
        <v>141000</v>
      </c>
      <c r="U18" s="11">
        <f t="shared" si="10"/>
        <v>139400</v>
      </c>
      <c r="V18" s="12">
        <f t="shared" si="10"/>
        <v>137800</v>
      </c>
      <c r="W18" s="12">
        <f t="shared" si="10"/>
        <v>136200</v>
      </c>
      <c r="X18" s="12">
        <f t="shared" si="10"/>
        <v>134600</v>
      </c>
      <c r="Y18" s="10">
        <v>133000</v>
      </c>
      <c r="Z18" s="11">
        <f t="shared" si="11"/>
        <v>130000</v>
      </c>
      <c r="AA18" s="12">
        <f t="shared" si="11"/>
        <v>127000</v>
      </c>
      <c r="AB18" s="12">
        <f t="shared" si="11"/>
        <v>124000</v>
      </c>
      <c r="AC18" s="12">
        <f t="shared" si="11"/>
        <v>121000</v>
      </c>
      <c r="AD18" s="10">
        <v>118000</v>
      </c>
      <c r="AE18" s="11">
        <f t="shared" si="12"/>
        <v>115000</v>
      </c>
      <c r="AF18" s="12">
        <f t="shared" si="12"/>
        <v>112000</v>
      </c>
      <c r="AG18" s="12">
        <f t="shared" si="12"/>
        <v>109000</v>
      </c>
      <c r="AH18" s="12">
        <f t="shared" si="12"/>
        <v>106000</v>
      </c>
      <c r="AI18" s="10">
        <v>103000</v>
      </c>
      <c r="AJ18" s="11">
        <f t="shared" si="13"/>
        <v>100400</v>
      </c>
      <c r="AK18" s="12">
        <f t="shared" si="13"/>
        <v>97800</v>
      </c>
      <c r="AL18" s="12">
        <f t="shared" si="13"/>
        <v>95200</v>
      </c>
      <c r="AM18" s="12">
        <f t="shared" si="13"/>
        <v>92600</v>
      </c>
      <c r="AN18" s="10">
        <v>90000</v>
      </c>
      <c r="AO18" s="11">
        <f t="shared" si="14"/>
        <v>87269.384999999995</v>
      </c>
      <c r="AP18" s="12">
        <f t="shared" si="14"/>
        <v>84538.76999999999</v>
      </c>
      <c r="AQ18" s="12">
        <f t="shared" si="14"/>
        <v>81808.154999999984</v>
      </c>
      <c r="AR18" s="12">
        <f t="shared" si="14"/>
        <v>79077.539999999979</v>
      </c>
      <c r="AS18" s="19">
        <f>G18*0.75</f>
        <v>76346.924999999988</v>
      </c>
    </row>
    <row r="19" spans="1:48" x14ac:dyDescent="0.2">
      <c r="A19" s="17" t="s">
        <v>43</v>
      </c>
      <c r="B19" s="8" t="s">
        <v>44</v>
      </c>
      <c r="C19" s="9" t="s">
        <v>18</v>
      </c>
      <c r="D19" s="8" t="s">
        <v>26</v>
      </c>
      <c r="E19" s="33">
        <v>3708.04</v>
      </c>
      <c r="F19" s="11">
        <v>3850.32</v>
      </c>
      <c r="G19" s="29">
        <v>4014.43</v>
      </c>
      <c r="H19" s="12">
        <f t="shared" si="7"/>
        <v>4342.9533333333329</v>
      </c>
      <c r="I19" s="12">
        <f t="shared" si="7"/>
        <v>4671.4766666666665</v>
      </c>
      <c r="J19" s="10">
        <v>5000</v>
      </c>
      <c r="K19" s="11">
        <f t="shared" ref="K19:N21" si="15">J19+($O19-$J19)/5</f>
        <v>5260</v>
      </c>
      <c r="L19" s="12">
        <f t="shared" si="15"/>
        <v>5520</v>
      </c>
      <c r="M19" s="12">
        <f t="shared" si="15"/>
        <v>5780</v>
      </c>
      <c r="N19" s="12">
        <f t="shared" si="15"/>
        <v>6040</v>
      </c>
      <c r="O19" s="10">
        <v>6300</v>
      </c>
      <c r="P19" s="11">
        <f t="shared" ref="P19:S21" si="16">O19+($T19-$O19)/5</f>
        <v>6440</v>
      </c>
      <c r="Q19" s="12">
        <f t="shared" si="16"/>
        <v>6580</v>
      </c>
      <c r="R19" s="12">
        <f t="shared" si="16"/>
        <v>6720</v>
      </c>
      <c r="S19" s="12">
        <f t="shared" si="16"/>
        <v>6860</v>
      </c>
      <c r="T19" s="10">
        <v>7000</v>
      </c>
      <c r="U19" s="11">
        <f t="shared" ref="U19:X21" si="17">T19+($Y19-$T19)/5</f>
        <v>7040</v>
      </c>
      <c r="V19" s="12">
        <f t="shared" si="17"/>
        <v>7080</v>
      </c>
      <c r="W19" s="12">
        <f t="shared" si="17"/>
        <v>7120</v>
      </c>
      <c r="X19" s="12">
        <f t="shared" si="17"/>
        <v>7160</v>
      </c>
      <c r="Y19" s="10">
        <v>7200</v>
      </c>
      <c r="Z19" s="11">
        <f t="shared" ref="Z19:AC21" si="18">Y19+($AD19-$Y19)/5</f>
        <v>7180</v>
      </c>
      <c r="AA19" s="12">
        <f t="shared" si="18"/>
        <v>7160</v>
      </c>
      <c r="AB19" s="12">
        <f t="shared" si="18"/>
        <v>7140</v>
      </c>
      <c r="AC19" s="12">
        <f t="shared" si="18"/>
        <v>7120</v>
      </c>
      <c r="AD19" s="10">
        <v>7100</v>
      </c>
      <c r="AE19" s="11">
        <f t="shared" ref="AE19:AH21" si="19">AD19+($AI19-$AD19)/5</f>
        <v>7000</v>
      </c>
      <c r="AF19" s="12">
        <f t="shared" si="19"/>
        <v>6900</v>
      </c>
      <c r="AG19" s="12">
        <f t="shared" si="19"/>
        <v>6800</v>
      </c>
      <c r="AH19" s="12">
        <f t="shared" si="19"/>
        <v>6700</v>
      </c>
      <c r="AI19" s="10">
        <v>6600</v>
      </c>
      <c r="AJ19" s="11">
        <f t="shared" ref="AJ19:AM21" si="20">AI19+($AN19-$AI19)/5</f>
        <v>6440</v>
      </c>
      <c r="AK19" s="12">
        <f t="shared" si="20"/>
        <v>6280</v>
      </c>
      <c r="AL19" s="12">
        <f t="shared" si="20"/>
        <v>6120</v>
      </c>
      <c r="AM19" s="12">
        <f t="shared" si="20"/>
        <v>5960</v>
      </c>
      <c r="AN19" s="10">
        <v>5800</v>
      </c>
      <c r="AO19" s="11">
        <f t="shared" ref="AO19:AR21" si="21">AN19+($AS19-$AN19)/5</f>
        <v>5640</v>
      </c>
      <c r="AP19" s="12">
        <f t="shared" si="21"/>
        <v>5480</v>
      </c>
      <c r="AQ19" s="12">
        <f t="shared" si="21"/>
        <v>5320</v>
      </c>
      <c r="AR19" s="12">
        <f t="shared" si="21"/>
        <v>5160</v>
      </c>
      <c r="AS19" s="10">
        <v>5000</v>
      </c>
    </row>
    <row r="20" spans="1:48" x14ac:dyDescent="0.2">
      <c r="A20" s="17" t="s">
        <v>43</v>
      </c>
      <c r="B20" s="39" t="s">
        <v>45</v>
      </c>
      <c r="C20" s="9" t="s">
        <v>18</v>
      </c>
      <c r="D20" s="8" t="s">
        <v>46</v>
      </c>
      <c r="E20" s="33">
        <v>1002.51</v>
      </c>
      <c r="F20" s="11">
        <v>1048.67</v>
      </c>
      <c r="G20" s="29">
        <v>1111.53</v>
      </c>
      <c r="H20" s="12">
        <f t="shared" si="7"/>
        <v>1257.6866666666667</v>
      </c>
      <c r="I20" s="12">
        <f t="shared" si="7"/>
        <v>1403.8433333333335</v>
      </c>
      <c r="J20" s="10">
        <v>1550</v>
      </c>
      <c r="K20" s="11">
        <f t="shared" si="15"/>
        <v>1620</v>
      </c>
      <c r="L20" s="12">
        <f t="shared" si="15"/>
        <v>1690</v>
      </c>
      <c r="M20" s="12">
        <f t="shared" si="15"/>
        <v>1760</v>
      </c>
      <c r="N20" s="12">
        <f t="shared" si="15"/>
        <v>1830</v>
      </c>
      <c r="O20" s="10">
        <v>1900</v>
      </c>
      <c r="P20" s="11">
        <f t="shared" si="16"/>
        <v>1940</v>
      </c>
      <c r="Q20" s="12">
        <f t="shared" si="16"/>
        <v>1980</v>
      </c>
      <c r="R20" s="12">
        <f t="shared" si="16"/>
        <v>2020</v>
      </c>
      <c r="S20" s="12">
        <f t="shared" si="16"/>
        <v>2060</v>
      </c>
      <c r="T20" s="10">
        <v>2100</v>
      </c>
      <c r="U20" s="11">
        <f t="shared" si="17"/>
        <v>2120</v>
      </c>
      <c r="V20" s="12">
        <f t="shared" si="17"/>
        <v>2140</v>
      </c>
      <c r="W20" s="12">
        <f t="shared" si="17"/>
        <v>2160</v>
      </c>
      <c r="X20" s="12">
        <f t="shared" si="17"/>
        <v>2180</v>
      </c>
      <c r="Y20" s="10">
        <v>2200</v>
      </c>
      <c r="Z20" s="11">
        <f t="shared" si="18"/>
        <v>2210</v>
      </c>
      <c r="AA20" s="12">
        <f t="shared" si="18"/>
        <v>2220</v>
      </c>
      <c r="AB20" s="12">
        <f t="shared" si="18"/>
        <v>2230</v>
      </c>
      <c r="AC20" s="12">
        <f t="shared" si="18"/>
        <v>2240</v>
      </c>
      <c r="AD20" s="10">
        <v>2250</v>
      </c>
      <c r="AE20" s="11">
        <f t="shared" si="19"/>
        <v>2260</v>
      </c>
      <c r="AF20" s="12">
        <f t="shared" si="19"/>
        <v>2270</v>
      </c>
      <c r="AG20" s="12">
        <f t="shared" si="19"/>
        <v>2280</v>
      </c>
      <c r="AH20" s="12">
        <f t="shared" si="19"/>
        <v>2290</v>
      </c>
      <c r="AI20" s="10">
        <v>2300</v>
      </c>
      <c r="AJ20" s="11">
        <f t="shared" si="20"/>
        <v>2310</v>
      </c>
      <c r="AK20" s="12">
        <f t="shared" si="20"/>
        <v>2320</v>
      </c>
      <c r="AL20" s="12">
        <f t="shared" si="20"/>
        <v>2330</v>
      </c>
      <c r="AM20" s="12">
        <f t="shared" si="20"/>
        <v>2340</v>
      </c>
      <c r="AN20" s="10">
        <v>2350</v>
      </c>
      <c r="AO20" s="11">
        <f t="shared" si="21"/>
        <v>2358</v>
      </c>
      <c r="AP20" s="12">
        <f t="shared" si="21"/>
        <v>2366</v>
      </c>
      <c r="AQ20" s="12">
        <f t="shared" si="21"/>
        <v>2374</v>
      </c>
      <c r="AR20" s="12">
        <f t="shared" si="21"/>
        <v>2382</v>
      </c>
      <c r="AS20" s="10">
        <v>2390</v>
      </c>
    </row>
    <row r="21" spans="1:48" x14ac:dyDescent="0.2">
      <c r="A21" s="20" t="s">
        <v>47</v>
      </c>
      <c r="B21" s="21" t="s">
        <v>48</v>
      </c>
      <c r="C21" s="22" t="s">
        <v>49</v>
      </c>
      <c r="D21" s="21" t="s">
        <v>50</v>
      </c>
      <c r="E21" s="36">
        <v>2532.4899999999998</v>
      </c>
      <c r="F21" s="24">
        <v>2625.7</v>
      </c>
      <c r="G21" s="30">
        <v>2713.63</v>
      </c>
      <c r="H21" s="25">
        <f t="shared" si="7"/>
        <v>2948.7071666666666</v>
      </c>
      <c r="I21" s="25">
        <f t="shared" si="7"/>
        <v>3183.7843333333331</v>
      </c>
      <c r="J21" s="23">
        <f>E21*(2700/2000)</f>
        <v>3418.8615</v>
      </c>
      <c r="K21" s="24">
        <f t="shared" si="15"/>
        <v>3520.1610999999998</v>
      </c>
      <c r="L21" s="25">
        <f t="shared" si="15"/>
        <v>3621.4606999999996</v>
      </c>
      <c r="M21" s="25">
        <f t="shared" si="15"/>
        <v>3722.7602999999995</v>
      </c>
      <c r="N21" s="25">
        <f t="shared" si="15"/>
        <v>3824.0598999999993</v>
      </c>
      <c r="O21" s="23">
        <f>J21*(3100/2700)</f>
        <v>3925.3595</v>
      </c>
      <c r="P21" s="24">
        <f t="shared" si="16"/>
        <v>3976.0092999999997</v>
      </c>
      <c r="Q21" s="25">
        <f t="shared" si="16"/>
        <v>4026.6590999999994</v>
      </c>
      <c r="R21" s="25">
        <f t="shared" si="16"/>
        <v>4077.3088999999991</v>
      </c>
      <c r="S21" s="25">
        <f t="shared" si="16"/>
        <v>4127.9586999999992</v>
      </c>
      <c r="T21" s="23">
        <f>O21*(3300/3100)</f>
        <v>4178.6084999999994</v>
      </c>
      <c r="U21" s="24">
        <f t="shared" si="17"/>
        <v>4165.9460499999996</v>
      </c>
      <c r="V21" s="25">
        <f t="shared" si="17"/>
        <v>4153.2835999999998</v>
      </c>
      <c r="W21" s="25">
        <f t="shared" si="17"/>
        <v>4140.6211499999999</v>
      </c>
      <c r="X21" s="25">
        <f t="shared" si="17"/>
        <v>4127.9587000000001</v>
      </c>
      <c r="Y21" s="23">
        <f>T21*(3250/3300)</f>
        <v>4115.2962499999994</v>
      </c>
      <c r="Z21" s="24">
        <f t="shared" si="18"/>
        <v>4102.6337999999996</v>
      </c>
      <c r="AA21" s="25">
        <f t="shared" si="18"/>
        <v>4089.9713499999998</v>
      </c>
      <c r="AB21" s="25">
        <f t="shared" si="18"/>
        <v>4077.3089</v>
      </c>
      <c r="AC21" s="25">
        <f t="shared" si="18"/>
        <v>4064.6464500000002</v>
      </c>
      <c r="AD21" s="23">
        <f>Y21*(3200/3250)</f>
        <v>4051.9839999999995</v>
      </c>
      <c r="AE21" s="24">
        <f t="shared" si="19"/>
        <v>4039.3215499999997</v>
      </c>
      <c r="AF21" s="25">
        <f t="shared" si="19"/>
        <v>4026.6590999999999</v>
      </c>
      <c r="AG21" s="25">
        <f t="shared" si="19"/>
        <v>4013.99665</v>
      </c>
      <c r="AH21" s="25">
        <f t="shared" si="19"/>
        <v>4001.3342000000002</v>
      </c>
      <c r="AI21" s="23">
        <f>AD21*(3150/3200)</f>
        <v>3988.6717499999995</v>
      </c>
      <c r="AJ21" s="24">
        <f t="shared" si="20"/>
        <v>3983.6067699999994</v>
      </c>
      <c r="AK21" s="25">
        <f t="shared" si="20"/>
        <v>3978.5417899999993</v>
      </c>
      <c r="AL21" s="25">
        <f t="shared" si="20"/>
        <v>3973.4768099999992</v>
      </c>
      <c r="AM21" s="25">
        <f t="shared" si="20"/>
        <v>3968.4118299999991</v>
      </c>
      <c r="AN21" s="23">
        <f>AI21*(3130/3150)</f>
        <v>3963.3468499999994</v>
      </c>
      <c r="AO21" s="24">
        <f t="shared" si="21"/>
        <v>3955.7493799999993</v>
      </c>
      <c r="AP21" s="25">
        <f t="shared" si="21"/>
        <v>3948.1519099999991</v>
      </c>
      <c r="AQ21" s="25">
        <f t="shared" si="21"/>
        <v>3940.554439999999</v>
      </c>
      <c r="AR21" s="25">
        <f t="shared" si="21"/>
        <v>3932.9569699999988</v>
      </c>
      <c r="AS21" s="23">
        <f>AN21*(3100/3130)</f>
        <v>3925.3594999999996</v>
      </c>
    </row>
    <row r="25" spans="1:48" ht="15" x14ac:dyDescent="0.25">
      <c r="A25" s="74" t="s">
        <v>99</v>
      </c>
    </row>
    <row r="26" spans="1:48" x14ac:dyDescent="0.2">
      <c r="A26" s="51" t="s">
        <v>53</v>
      </c>
      <c r="B26" s="51" t="s">
        <v>54</v>
      </c>
      <c r="C26" s="52" t="s">
        <v>55</v>
      </c>
      <c r="D26" s="53" t="s">
        <v>56</v>
      </c>
      <c r="E26" s="53" t="s">
        <v>57</v>
      </c>
      <c r="F26" s="41">
        <v>2018</v>
      </c>
      <c r="G26" s="42">
        <v>2019</v>
      </c>
      <c r="H26" s="42">
        <v>2020</v>
      </c>
      <c r="I26" s="42">
        <v>2021</v>
      </c>
      <c r="J26" s="42">
        <v>2022</v>
      </c>
      <c r="K26" s="42">
        <v>2023</v>
      </c>
      <c r="L26" s="42">
        <v>2024</v>
      </c>
      <c r="M26" s="42">
        <v>2025</v>
      </c>
      <c r="N26" s="42">
        <v>2026</v>
      </c>
      <c r="O26" s="42">
        <v>2027</v>
      </c>
      <c r="P26" s="42">
        <v>2028</v>
      </c>
      <c r="Q26" s="42">
        <v>2029</v>
      </c>
      <c r="R26" s="42">
        <v>2030</v>
      </c>
      <c r="S26" s="42">
        <v>2031</v>
      </c>
      <c r="T26" s="42">
        <v>2032</v>
      </c>
      <c r="U26" s="42">
        <v>2033</v>
      </c>
      <c r="V26" s="42">
        <v>2034</v>
      </c>
      <c r="W26" s="42">
        <v>2035</v>
      </c>
      <c r="X26" s="42">
        <v>2036</v>
      </c>
      <c r="Y26" s="42">
        <v>2037</v>
      </c>
      <c r="Z26" s="42">
        <v>2038</v>
      </c>
      <c r="AA26" s="42">
        <v>2039</v>
      </c>
      <c r="AB26" s="42">
        <v>2040</v>
      </c>
      <c r="AC26" s="42">
        <v>2041</v>
      </c>
      <c r="AD26" s="42">
        <v>2042</v>
      </c>
      <c r="AE26" s="42">
        <v>2043</v>
      </c>
      <c r="AF26" s="42">
        <v>2044</v>
      </c>
      <c r="AG26" s="42">
        <v>2045</v>
      </c>
      <c r="AH26" s="42">
        <v>2046</v>
      </c>
      <c r="AI26" s="42">
        <v>2047</v>
      </c>
      <c r="AJ26" s="42">
        <v>2048</v>
      </c>
      <c r="AK26" s="42">
        <v>2049</v>
      </c>
      <c r="AL26" s="42">
        <v>2050</v>
      </c>
      <c r="AM26" s="42">
        <v>2051</v>
      </c>
      <c r="AN26" s="42">
        <v>2052</v>
      </c>
      <c r="AO26" s="42">
        <v>2053</v>
      </c>
      <c r="AP26" s="42">
        <v>2054</v>
      </c>
      <c r="AQ26" s="42">
        <v>2055</v>
      </c>
      <c r="AR26" s="42">
        <v>2056</v>
      </c>
      <c r="AS26" s="42">
        <v>2057</v>
      </c>
      <c r="AT26" s="42">
        <v>2058</v>
      </c>
      <c r="AU26" s="42">
        <v>2059</v>
      </c>
      <c r="AV26" s="43">
        <v>2060</v>
      </c>
    </row>
    <row r="27" spans="1:48" x14ac:dyDescent="0.2">
      <c r="A27" s="54" t="s">
        <v>58</v>
      </c>
      <c r="B27" s="54" t="s">
        <v>59</v>
      </c>
      <c r="C27" s="55" t="s">
        <v>60</v>
      </c>
      <c r="D27" s="56" t="s">
        <v>61</v>
      </c>
      <c r="E27" s="57" t="s">
        <v>62</v>
      </c>
      <c r="F27" s="90">
        <f>F40</f>
        <v>13.953799999999999</v>
      </c>
      <c r="G27" s="91">
        <f t="shared" ref="G27:AV27" si="22">G40</f>
        <v>14.007930999999999</v>
      </c>
      <c r="H27" s="91">
        <f t="shared" si="22"/>
        <v>14.131351629999999</v>
      </c>
      <c r="I27" s="91">
        <f t="shared" si="22"/>
        <v>14.16016011</v>
      </c>
      <c r="J27" s="91">
        <f t="shared" si="22"/>
        <v>14.188968259999999</v>
      </c>
      <c r="K27" s="91">
        <f t="shared" si="22"/>
        <v>14.21777659</v>
      </c>
      <c r="L27" s="91">
        <f t="shared" si="22"/>
        <v>14.246584739999999</v>
      </c>
      <c r="M27" s="91">
        <f t="shared" si="22"/>
        <v>14.27539322</v>
      </c>
      <c r="N27" s="91">
        <f t="shared" si="22"/>
        <v>14.27109347</v>
      </c>
      <c r="O27" s="91">
        <f t="shared" si="22"/>
        <v>14.2667936</v>
      </c>
      <c r="P27" s="91">
        <f t="shared" si="22"/>
        <v>14.26249434</v>
      </c>
      <c r="Q27" s="91">
        <f t="shared" si="22"/>
        <v>14.258194469999999</v>
      </c>
      <c r="R27" s="91">
        <f t="shared" si="22"/>
        <v>14.25389472</v>
      </c>
      <c r="S27" s="91">
        <f t="shared" si="22"/>
        <v>14.234383210000001</v>
      </c>
      <c r="T27" s="91">
        <f t="shared" si="22"/>
        <v>14.21487207</v>
      </c>
      <c r="U27" s="91">
        <f t="shared" si="22"/>
        <v>14.19536108</v>
      </c>
      <c r="V27" s="91">
        <f t="shared" si="22"/>
        <v>14.175849940000001</v>
      </c>
      <c r="W27" s="91">
        <f t="shared" si="22"/>
        <v>14.15633843</v>
      </c>
      <c r="X27" s="91">
        <f t="shared" si="22"/>
        <v>14.120965379999999</v>
      </c>
      <c r="Y27" s="91">
        <f t="shared" si="22"/>
        <v>14.08559209</v>
      </c>
      <c r="Z27" s="91">
        <f t="shared" si="22"/>
        <v>14.050218709999999</v>
      </c>
      <c r="AA27" s="91">
        <f t="shared" si="22"/>
        <v>14.01484542</v>
      </c>
      <c r="AB27" s="91">
        <f t="shared" si="22"/>
        <v>13.97947237</v>
      </c>
      <c r="AC27" s="91">
        <f t="shared" si="22"/>
        <v>13.93101401</v>
      </c>
      <c r="AD27" s="91">
        <f t="shared" si="22"/>
        <v>13.882555740000001</v>
      </c>
      <c r="AE27" s="91">
        <f t="shared" si="22"/>
        <v>13.83409724</v>
      </c>
      <c r="AF27" s="91">
        <f t="shared" si="22"/>
        <v>13.785638970000001</v>
      </c>
      <c r="AG27" s="91">
        <f t="shared" si="22"/>
        <v>13.737180609999999</v>
      </c>
      <c r="AH27" s="91">
        <f t="shared" si="22"/>
        <v>13.66731802</v>
      </c>
      <c r="AI27" s="91">
        <f t="shared" si="22"/>
        <v>13.597455719999999</v>
      </c>
      <c r="AJ27" s="91">
        <f t="shared" si="22"/>
        <v>13.52759292</v>
      </c>
      <c r="AK27" s="91">
        <f t="shared" si="22"/>
        <v>13.45773062</v>
      </c>
      <c r="AL27" s="91">
        <f t="shared" si="22"/>
        <v>13.38786803</v>
      </c>
      <c r="AM27" s="91">
        <f t="shared" si="22"/>
        <v>13.29363728</v>
      </c>
      <c r="AN27" s="91">
        <f t="shared" si="22"/>
        <v>13.19940598</v>
      </c>
      <c r="AO27" s="91">
        <f t="shared" si="22"/>
        <v>13.105175389999999</v>
      </c>
      <c r="AP27" s="91">
        <f t="shared" si="22"/>
        <v>13.010944090000001</v>
      </c>
      <c r="AQ27" s="91">
        <f t="shared" si="22"/>
        <v>12.916713339999999</v>
      </c>
      <c r="AR27" s="91">
        <f t="shared" si="22"/>
        <v>12.803761980000001</v>
      </c>
      <c r="AS27" s="91">
        <f t="shared" si="22"/>
        <v>12.690810539999999</v>
      </c>
      <c r="AT27" s="91">
        <f t="shared" si="22"/>
        <v>12.577859249999999</v>
      </c>
      <c r="AU27" s="91">
        <f t="shared" si="22"/>
        <v>12.46490781</v>
      </c>
      <c r="AV27" s="92">
        <f t="shared" si="22"/>
        <v>12.351956449999999</v>
      </c>
    </row>
    <row r="28" spans="1:48" x14ac:dyDescent="0.2">
      <c r="A28" s="58" t="s">
        <v>63</v>
      </c>
      <c r="B28" s="59" t="s">
        <v>64</v>
      </c>
      <c r="C28" s="60" t="s">
        <v>65</v>
      </c>
      <c r="D28" s="61" t="s">
        <v>66</v>
      </c>
      <c r="E28" s="62" t="s">
        <v>67</v>
      </c>
      <c r="F28" s="75">
        <v>36.979999999999997</v>
      </c>
      <c r="G28" s="76">
        <v>38.46</v>
      </c>
      <c r="H28" s="77">
        <f>E2</f>
        <v>39.020000000000003</v>
      </c>
      <c r="I28" s="77">
        <f t="shared" ref="I28:AV28" si="23">F2</f>
        <v>41.26</v>
      </c>
      <c r="J28" s="77">
        <f t="shared" si="23"/>
        <v>45.59</v>
      </c>
      <c r="K28" s="77">
        <f t="shared" si="23"/>
        <v>46.726666666666667</v>
      </c>
      <c r="L28" s="77">
        <f t="shared" si="23"/>
        <v>47.86333333333333</v>
      </c>
      <c r="M28" s="77">
        <f t="shared" si="23"/>
        <v>49</v>
      </c>
      <c r="N28" s="77">
        <f t="shared" si="23"/>
        <v>49.8</v>
      </c>
      <c r="O28" s="77">
        <f t="shared" si="23"/>
        <v>50.599999999999994</v>
      </c>
      <c r="P28" s="77">
        <f t="shared" si="23"/>
        <v>51.399999999999991</v>
      </c>
      <c r="Q28" s="77">
        <f t="shared" si="23"/>
        <v>52.199999999999989</v>
      </c>
      <c r="R28" s="77">
        <f t="shared" si="23"/>
        <v>53</v>
      </c>
      <c r="S28" s="77">
        <f t="shared" si="23"/>
        <v>53.3</v>
      </c>
      <c r="T28" s="77">
        <f t="shared" si="23"/>
        <v>53.599999999999994</v>
      </c>
      <c r="U28" s="77">
        <f t="shared" si="23"/>
        <v>53.899999999999991</v>
      </c>
      <c r="V28" s="77">
        <f t="shared" si="23"/>
        <v>54.199999999999989</v>
      </c>
      <c r="W28" s="77">
        <f t="shared" si="23"/>
        <v>54.5</v>
      </c>
      <c r="X28" s="77">
        <f t="shared" si="23"/>
        <v>54</v>
      </c>
      <c r="Y28" s="77">
        <f t="shared" si="23"/>
        <v>53.5</v>
      </c>
      <c r="Z28" s="77">
        <f t="shared" si="23"/>
        <v>53</v>
      </c>
      <c r="AA28" s="77">
        <f t="shared" si="23"/>
        <v>52.5</v>
      </c>
      <c r="AB28" s="77">
        <f t="shared" si="23"/>
        <v>52</v>
      </c>
      <c r="AC28" s="77">
        <f t="shared" si="23"/>
        <v>51.2</v>
      </c>
      <c r="AD28" s="77">
        <f t="shared" si="23"/>
        <v>50.400000000000006</v>
      </c>
      <c r="AE28" s="77">
        <f t="shared" si="23"/>
        <v>49.600000000000009</v>
      </c>
      <c r="AF28" s="77">
        <f t="shared" si="23"/>
        <v>48.800000000000011</v>
      </c>
      <c r="AG28" s="77">
        <f t="shared" si="23"/>
        <v>48</v>
      </c>
      <c r="AH28" s="77">
        <f t="shared" si="23"/>
        <v>47.2</v>
      </c>
      <c r="AI28" s="77">
        <f t="shared" si="23"/>
        <v>46.400000000000006</v>
      </c>
      <c r="AJ28" s="77">
        <f t="shared" si="23"/>
        <v>45.600000000000009</v>
      </c>
      <c r="AK28" s="77">
        <f t="shared" si="23"/>
        <v>44.800000000000011</v>
      </c>
      <c r="AL28" s="77">
        <f t="shared" si="23"/>
        <v>44</v>
      </c>
      <c r="AM28" s="77">
        <f t="shared" si="23"/>
        <v>43</v>
      </c>
      <c r="AN28" s="77">
        <f t="shared" si="23"/>
        <v>42</v>
      </c>
      <c r="AO28" s="77">
        <f t="shared" si="23"/>
        <v>41</v>
      </c>
      <c r="AP28" s="77">
        <f t="shared" si="23"/>
        <v>40</v>
      </c>
      <c r="AQ28" s="77">
        <f t="shared" si="23"/>
        <v>39</v>
      </c>
      <c r="AR28" s="77">
        <f t="shared" si="23"/>
        <v>38.200000000000003</v>
      </c>
      <c r="AS28" s="77">
        <f t="shared" si="23"/>
        <v>37.400000000000006</v>
      </c>
      <c r="AT28" s="77">
        <f t="shared" si="23"/>
        <v>36.600000000000009</v>
      </c>
      <c r="AU28" s="77">
        <f t="shared" si="23"/>
        <v>35.800000000000011</v>
      </c>
      <c r="AV28" s="78">
        <f t="shared" si="23"/>
        <v>35</v>
      </c>
    </row>
    <row r="29" spans="1:48" x14ac:dyDescent="0.2">
      <c r="A29" s="63" t="s">
        <v>68</v>
      </c>
      <c r="B29" s="64" t="s">
        <v>64</v>
      </c>
      <c r="C29" s="65" t="s">
        <v>69</v>
      </c>
      <c r="D29" s="61" t="s">
        <v>66</v>
      </c>
      <c r="E29" s="62" t="s">
        <v>70</v>
      </c>
      <c r="F29" s="75">
        <v>1.8932</v>
      </c>
      <c r="G29" s="76">
        <v>1.9100999999999999</v>
      </c>
      <c r="H29" s="79">
        <f>E3</f>
        <v>1.9477</v>
      </c>
      <c r="I29" s="79">
        <f t="shared" ref="I29:AV29" si="24">F3</f>
        <v>1.9887999999999999</v>
      </c>
      <c r="J29" s="79">
        <f t="shared" si="24"/>
        <v>2.0472000000000001</v>
      </c>
      <c r="K29" s="79">
        <f t="shared" si="24"/>
        <v>2.0881333333333334</v>
      </c>
      <c r="L29" s="79">
        <f t="shared" si="24"/>
        <v>2.1290666666666667</v>
      </c>
      <c r="M29" s="79">
        <f t="shared" si="24"/>
        <v>2.17</v>
      </c>
      <c r="N29" s="79">
        <f t="shared" si="24"/>
        <v>2.1760000000000002</v>
      </c>
      <c r="O29" s="79">
        <f t="shared" si="24"/>
        <v>2.1820000000000004</v>
      </c>
      <c r="P29" s="79">
        <f t="shared" si="24"/>
        <v>2.1880000000000006</v>
      </c>
      <c r="Q29" s="79">
        <f t="shared" si="24"/>
        <v>2.1940000000000008</v>
      </c>
      <c r="R29" s="79">
        <f t="shared" si="24"/>
        <v>2.2000000000000002</v>
      </c>
      <c r="S29" s="79">
        <f t="shared" si="24"/>
        <v>2.2160000000000002</v>
      </c>
      <c r="T29" s="79">
        <f t="shared" si="24"/>
        <v>2.2320000000000002</v>
      </c>
      <c r="U29" s="79">
        <f t="shared" si="24"/>
        <v>2.2480000000000002</v>
      </c>
      <c r="V29" s="79">
        <f t="shared" si="24"/>
        <v>2.2640000000000002</v>
      </c>
      <c r="W29" s="79">
        <f t="shared" si="24"/>
        <v>2.2799999999999998</v>
      </c>
      <c r="X29" s="79">
        <f t="shared" si="24"/>
        <v>2.2839999999999998</v>
      </c>
      <c r="Y29" s="79">
        <f t="shared" si="24"/>
        <v>2.2879999999999998</v>
      </c>
      <c r="Z29" s="79">
        <f t="shared" si="24"/>
        <v>2.2919999999999998</v>
      </c>
      <c r="AA29" s="79">
        <f t="shared" si="24"/>
        <v>2.2959999999999998</v>
      </c>
      <c r="AB29" s="79">
        <f t="shared" si="24"/>
        <v>2.2999999999999998</v>
      </c>
      <c r="AC29" s="79">
        <f t="shared" si="24"/>
        <v>2.2799999999999998</v>
      </c>
      <c r="AD29" s="79">
        <f t="shared" si="24"/>
        <v>2.2599999999999998</v>
      </c>
      <c r="AE29" s="79">
        <f t="shared" si="24"/>
        <v>2.2399999999999998</v>
      </c>
      <c r="AF29" s="79">
        <f t="shared" si="24"/>
        <v>2.2199999999999998</v>
      </c>
      <c r="AG29" s="79">
        <f t="shared" si="24"/>
        <v>2.2000000000000002</v>
      </c>
      <c r="AH29" s="79">
        <f t="shared" si="24"/>
        <v>2.1800000000000002</v>
      </c>
      <c r="AI29" s="79">
        <f t="shared" si="24"/>
        <v>2.16</v>
      </c>
      <c r="AJ29" s="79">
        <f t="shared" si="24"/>
        <v>2.14</v>
      </c>
      <c r="AK29" s="79">
        <f t="shared" si="24"/>
        <v>2.12</v>
      </c>
      <c r="AL29" s="79">
        <f t="shared" si="24"/>
        <v>2.1</v>
      </c>
      <c r="AM29" s="79">
        <f t="shared" si="24"/>
        <v>2.0700000000000003</v>
      </c>
      <c r="AN29" s="79">
        <f t="shared" si="24"/>
        <v>2.04</v>
      </c>
      <c r="AO29" s="79">
        <f t="shared" si="24"/>
        <v>2.0099999999999998</v>
      </c>
      <c r="AP29" s="79">
        <f t="shared" si="24"/>
        <v>1.9799999999999998</v>
      </c>
      <c r="AQ29" s="79">
        <f t="shared" si="24"/>
        <v>1.95</v>
      </c>
      <c r="AR29" s="79">
        <f t="shared" si="24"/>
        <v>1.9379999999999999</v>
      </c>
      <c r="AS29" s="79">
        <f t="shared" si="24"/>
        <v>1.9259999999999999</v>
      </c>
      <c r="AT29" s="79">
        <f t="shared" si="24"/>
        <v>1.9139999999999999</v>
      </c>
      <c r="AU29" s="79">
        <f t="shared" si="24"/>
        <v>1.9019999999999999</v>
      </c>
      <c r="AV29" s="80">
        <f t="shared" si="24"/>
        <v>1.89</v>
      </c>
    </row>
    <row r="30" spans="1:48" x14ac:dyDescent="0.2">
      <c r="A30" s="63" t="s">
        <v>68</v>
      </c>
      <c r="B30" s="64" t="s">
        <v>64</v>
      </c>
      <c r="C30" s="65" t="s">
        <v>71</v>
      </c>
      <c r="D30" s="61" t="s">
        <v>72</v>
      </c>
      <c r="E30" s="62" t="s">
        <v>70</v>
      </c>
      <c r="F30" s="75">
        <v>1601.59</v>
      </c>
      <c r="G30" s="76">
        <v>1761.74</v>
      </c>
      <c r="H30" s="81">
        <f>E4</f>
        <v>1924.95</v>
      </c>
      <c r="I30" s="81">
        <f t="shared" ref="I30:AV30" si="25">F4</f>
        <v>2075.84</v>
      </c>
      <c r="J30" s="81">
        <f t="shared" si="25"/>
        <v>2201.1</v>
      </c>
      <c r="K30" s="81">
        <f t="shared" si="25"/>
        <v>2298.4</v>
      </c>
      <c r="L30" s="81">
        <f t="shared" si="25"/>
        <v>2395.7000000000003</v>
      </c>
      <c r="M30" s="81">
        <f t="shared" si="25"/>
        <v>2493</v>
      </c>
      <c r="N30" s="81">
        <f t="shared" si="25"/>
        <v>2554.4</v>
      </c>
      <c r="O30" s="81">
        <f t="shared" si="25"/>
        <v>2615.8000000000002</v>
      </c>
      <c r="P30" s="81">
        <f t="shared" si="25"/>
        <v>2677.2000000000003</v>
      </c>
      <c r="Q30" s="81">
        <f t="shared" si="25"/>
        <v>2738.6000000000004</v>
      </c>
      <c r="R30" s="81">
        <f t="shared" si="25"/>
        <v>2800</v>
      </c>
      <c r="S30" s="81">
        <f t="shared" si="25"/>
        <v>2840</v>
      </c>
      <c r="T30" s="81">
        <f t="shared" si="25"/>
        <v>2880</v>
      </c>
      <c r="U30" s="81">
        <f t="shared" si="25"/>
        <v>2920</v>
      </c>
      <c r="V30" s="81">
        <f t="shared" si="25"/>
        <v>2960</v>
      </c>
      <c r="W30" s="81">
        <f t="shared" si="25"/>
        <v>3000</v>
      </c>
      <c r="X30" s="81">
        <f t="shared" si="25"/>
        <v>3040</v>
      </c>
      <c r="Y30" s="81">
        <f t="shared" si="25"/>
        <v>3080</v>
      </c>
      <c r="Z30" s="81">
        <f t="shared" si="25"/>
        <v>3120</v>
      </c>
      <c r="AA30" s="81">
        <f t="shared" si="25"/>
        <v>3160</v>
      </c>
      <c r="AB30" s="81">
        <f t="shared" si="25"/>
        <v>3200</v>
      </c>
      <c r="AC30" s="81">
        <f t="shared" si="25"/>
        <v>3220</v>
      </c>
      <c r="AD30" s="81">
        <f t="shared" si="25"/>
        <v>3240</v>
      </c>
      <c r="AE30" s="81">
        <f t="shared" si="25"/>
        <v>3260</v>
      </c>
      <c r="AF30" s="81">
        <f t="shared" si="25"/>
        <v>3280</v>
      </c>
      <c r="AG30" s="81">
        <f t="shared" si="25"/>
        <v>3300</v>
      </c>
      <c r="AH30" s="81">
        <f t="shared" si="25"/>
        <v>3320</v>
      </c>
      <c r="AI30" s="81">
        <f t="shared" si="25"/>
        <v>3340</v>
      </c>
      <c r="AJ30" s="81">
        <f t="shared" si="25"/>
        <v>3360</v>
      </c>
      <c r="AK30" s="81">
        <f t="shared" si="25"/>
        <v>3380</v>
      </c>
      <c r="AL30" s="81">
        <f t="shared" si="25"/>
        <v>3400</v>
      </c>
      <c r="AM30" s="81">
        <f t="shared" si="25"/>
        <v>3420</v>
      </c>
      <c r="AN30" s="81">
        <f t="shared" si="25"/>
        <v>3440</v>
      </c>
      <c r="AO30" s="81">
        <f t="shared" si="25"/>
        <v>3460</v>
      </c>
      <c r="AP30" s="81">
        <f t="shared" si="25"/>
        <v>3480</v>
      </c>
      <c r="AQ30" s="81">
        <f t="shared" si="25"/>
        <v>3500</v>
      </c>
      <c r="AR30" s="81">
        <f t="shared" si="25"/>
        <v>3500</v>
      </c>
      <c r="AS30" s="81">
        <f t="shared" si="25"/>
        <v>3500</v>
      </c>
      <c r="AT30" s="81">
        <f t="shared" si="25"/>
        <v>3500</v>
      </c>
      <c r="AU30" s="81">
        <f t="shared" si="25"/>
        <v>3500</v>
      </c>
      <c r="AV30" s="82">
        <f t="shared" si="25"/>
        <v>3500</v>
      </c>
    </row>
    <row r="31" spans="1:48" x14ac:dyDescent="0.2">
      <c r="A31" s="63" t="s">
        <v>73</v>
      </c>
      <c r="B31" s="64" t="s">
        <v>74</v>
      </c>
      <c r="C31" s="65" t="s">
        <v>75</v>
      </c>
      <c r="D31" s="61" t="s">
        <v>66</v>
      </c>
      <c r="E31" s="62" t="s">
        <v>76</v>
      </c>
      <c r="F31" s="75">
        <v>6</v>
      </c>
      <c r="G31" s="76">
        <v>6.5</v>
      </c>
      <c r="H31" s="79">
        <f>E10</f>
        <v>6.7441000000000004</v>
      </c>
      <c r="I31" s="79">
        <f t="shared" ref="I31:AV31" si="26">F10</f>
        <v>7</v>
      </c>
      <c r="J31" s="79">
        <f t="shared" si="26"/>
        <v>6.7590000000000003</v>
      </c>
      <c r="K31" s="79">
        <f t="shared" si="26"/>
        <v>6.8941447831184055</v>
      </c>
      <c r="L31" s="79">
        <f t="shared" si="26"/>
        <v>7.0292895662368107</v>
      </c>
      <c r="M31" s="79">
        <f t="shared" si="26"/>
        <v>7.1644343493552158</v>
      </c>
      <c r="N31" s="79">
        <f t="shared" si="26"/>
        <v>7.184243845252051</v>
      </c>
      <c r="O31" s="79">
        <f t="shared" si="26"/>
        <v>7.2040533411488861</v>
      </c>
      <c r="P31" s="79">
        <f t="shared" si="26"/>
        <v>7.2238628370457212</v>
      </c>
      <c r="Q31" s="79">
        <f t="shared" si="26"/>
        <v>7.2436723329425563</v>
      </c>
      <c r="R31" s="79">
        <f t="shared" si="26"/>
        <v>7.2634818288393896</v>
      </c>
      <c r="S31" s="79">
        <f t="shared" si="26"/>
        <v>7.3163071512309488</v>
      </c>
      <c r="T31" s="79">
        <f t="shared" si="26"/>
        <v>7.3691324736225079</v>
      </c>
      <c r="U31" s="79">
        <f t="shared" si="26"/>
        <v>7.421957796014067</v>
      </c>
      <c r="V31" s="79">
        <f t="shared" si="26"/>
        <v>7.4747831184056261</v>
      </c>
      <c r="W31" s="79">
        <f t="shared" si="26"/>
        <v>7.5276084407971844</v>
      </c>
      <c r="X31" s="79">
        <f t="shared" si="26"/>
        <v>7.5408147713950742</v>
      </c>
      <c r="Y31" s="79">
        <f t="shared" si="26"/>
        <v>7.5540211019929639</v>
      </c>
      <c r="Z31" s="79">
        <f t="shared" si="26"/>
        <v>7.5672274325908537</v>
      </c>
      <c r="AA31" s="79">
        <f t="shared" si="26"/>
        <v>7.5804337631887435</v>
      </c>
      <c r="AB31" s="79">
        <f t="shared" si="26"/>
        <v>7.5936400937866333</v>
      </c>
      <c r="AC31" s="79">
        <f t="shared" si="26"/>
        <v>7.5276084407971844</v>
      </c>
      <c r="AD31" s="79">
        <f t="shared" si="26"/>
        <v>7.4615767878077355</v>
      </c>
      <c r="AE31" s="79">
        <f t="shared" si="26"/>
        <v>7.3955451348182866</v>
      </c>
      <c r="AF31" s="79">
        <f t="shared" si="26"/>
        <v>7.3295134818288377</v>
      </c>
      <c r="AG31" s="79">
        <f t="shared" si="26"/>
        <v>7.2634818288393896</v>
      </c>
      <c r="AH31" s="79">
        <f t="shared" si="26"/>
        <v>7.1974501758499407</v>
      </c>
      <c r="AI31" s="79">
        <f t="shared" si="26"/>
        <v>7.1314185228604918</v>
      </c>
      <c r="AJ31" s="79">
        <f t="shared" si="26"/>
        <v>7.0653868698710429</v>
      </c>
      <c r="AK31" s="79">
        <f t="shared" si="26"/>
        <v>6.999355216881594</v>
      </c>
      <c r="AL31" s="79">
        <f t="shared" si="26"/>
        <v>6.9333235638921442</v>
      </c>
      <c r="AM31" s="79">
        <f t="shared" si="26"/>
        <v>6.8342760844079704</v>
      </c>
      <c r="AN31" s="79">
        <f t="shared" si="26"/>
        <v>6.7352286049237966</v>
      </c>
      <c r="AO31" s="79">
        <f t="shared" si="26"/>
        <v>6.6361811254396228</v>
      </c>
      <c r="AP31" s="79">
        <f t="shared" si="26"/>
        <v>6.537133645955449</v>
      </c>
      <c r="AQ31" s="79">
        <f t="shared" si="26"/>
        <v>6.4380861664712761</v>
      </c>
      <c r="AR31" s="79">
        <f t="shared" si="26"/>
        <v>6.3984671746776067</v>
      </c>
      <c r="AS31" s="79">
        <f t="shared" si="26"/>
        <v>6.3588481828839374</v>
      </c>
      <c r="AT31" s="79">
        <f t="shared" si="26"/>
        <v>6.319229191090268</v>
      </c>
      <c r="AU31" s="79">
        <f t="shared" si="26"/>
        <v>6.2796101992965987</v>
      </c>
      <c r="AV31" s="80">
        <f t="shared" si="26"/>
        <v>6.2399912075029293</v>
      </c>
    </row>
    <row r="32" spans="1:48" x14ac:dyDescent="0.2">
      <c r="A32" s="63" t="s">
        <v>77</v>
      </c>
      <c r="B32" s="64" t="s">
        <v>74</v>
      </c>
      <c r="C32" s="65" t="s">
        <v>78</v>
      </c>
      <c r="D32" s="61" t="s">
        <v>79</v>
      </c>
      <c r="E32" s="66" t="s">
        <v>80</v>
      </c>
      <c r="F32" s="75">
        <v>2688.48</v>
      </c>
      <c r="G32" s="76">
        <v>2522.4899999999998</v>
      </c>
      <c r="H32" s="76">
        <v>2795</v>
      </c>
      <c r="I32" s="76">
        <v>2820</v>
      </c>
      <c r="J32" s="76">
        <v>2850</v>
      </c>
      <c r="K32" s="76">
        <f>J32+($M32-$J32)/3</f>
        <v>2966.6666666666665</v>
      </c>
      <c r="L32" s="76">
        <f>K32+($M32-$J32)/3</f>
        <v>3083.333333333333</v>
      </c>
      <c r="M32" s="76">
        <v>3200</v>
      </c>
      <c r="N32" s="76">
        <f>M32+($R32-$M32)/5</f>
        <v>3280</v>
      </c>
      <c r="O32" s="76">
        <f t="shared" ref="O32:Q32" si="27">N32+($R32-$M32)/5</f>
        <v>3360</v>
      </c>
      <c r="P32" s="76">
        <f t="shared" si="27"/>
        <v>3440</v>
      </c>
      <c r="Q32" s="76">
        <f t="shared" si="27"/>
        <v>3520</v>
      </c>
      <c r="R32" s="76">
        <v>3600</v>
      </c>
      <c r="S32" s="76">
        <f>R32+($W32-$R32)/5</f>
        <v>3630</v>
      </c>
      <c r="T32" s="76">
        <f t="shared" ref="T32:V32" si="28">S32+($W32-$R32)/5</f>
        <v>3660</v>
      </c>
      <c r="U32" s="76">
        <f t="shared" si="28"/>
        <v>3690</v>
      </c>
      <c r="V32" s="76">
        <f t="shared" si="28"/>
        <v>3720</v>
      </c>
      <c r="W32" s="76">
        <v>3750</v>
      </c>
      <c r="X32" s="76">
        <f>W32+($AG32-$W32)/10</f>
        <v>3735</v>
      </c>
      <c r="Y32" s="76">
        <f t="shared" ref="Y32:AF32" si="29">X32+($AG32-$W32)/10</f>
        <v>3720</v>
      </c>
      <c r="Z32" s="76">
        <f t="shared" si="29"/>
        <v>3705</v>
      </c>
      <c r="AA32" s="76">
        <f t="shared" si="29"/>
        <v>3690</v>
      </c>
      <c r="AB32" s="76">
        <f t="shared" si="29"/>
        <v>3675</v>
      </c>
      <c r="AC32" s="76">
        <f t="shared" si="29"/>
        <v>3660</v>
      </c>
      <c r="AD32" s="76">
        <f t="shared" si="29"/>
        <v>3645</v>
      </c>
      <c r="AE32" s="76">
        <f t="shared" si="29"/>
        <v>3630</v>
      </c>
      <c r="AF32" s="76">
        <f t="shared" si="29"/>
        <v>3615</v>
      </c>
      <c r="AG32" s="76">
        <v>3600</v>
      </c>
      <c r="AH32" s="76">
        <f>AG32+($AV32-$AG32)/15</f>
        <v>3573.3333333333335</v>
      </c>
      <c r="AI32" s="76">
        <f t="shared" ref="AI32:AU32" si="30">AH32+($AV32-$AG32)/15</f>
        <v>3546.666666666667</v>
      </c>
      <c r="AJ32" s="76">
        <f t="shared" si="30"/>
        <v>3520.0000000000005</v>
      </c>
      <c r="AK32" s="76">
        <f t="shared" si="30"/>
        <v>3493.3333333333339</v>
      </c>
      <c r="AL32" s="76">
        <f t="shared" si="30"/>
        <v>3466.6666666666674</v>
      </c>
      <c r="AM32" s="76">
        <f t="shared" si="30"/>
        <v>3440.0000000000009</v>
      </c>
      <c r="AN32" s="76">
        <f t="shared" si="30"/>
        <v>3413.3333333333344</v>
      </c>
      <c r="AO32" s="76">
        <f t="shared" si="30"/>
        <v>3386.6666666666679</v>
      </c>
      <c r="AP32" s="76">
        <f t="shared" si="30"/>
        <v>3360.0000000000014</v>
      </c>
      <c r="AQ32" s="76">
        <f t="shared" si="30"/>
        <v>3333.3333333333348</v>
      </c>
      <c r="AR32" s="76">
        <f t="shared" si="30"/>
        <v>3306.6666666666683</v>
      </c>
      <c r="AS32" s="76">
        <f t="shared" si="30"/>
        <v>3280.0000000000018</v>
      </c>
      <c r="AT32" s="76">
        <f t="shared" si="30"/>
        <v>3253.3333333333353</v>
      </c>
      <c r="AU32" s="76">
        <f t="shared" si="30"/>
        <v>3226.6666666666688</v>
      </c>
      <c r="AV32" s="83">
        <v>3200</v>
      </c>
    </row>
    <row r="33" spans="1:48" x14ac:dyDescent="0.2">
      <c r="A33" s="63" t="s">
        <v>77</v>
      </c>
      <c r="B33" s="64" t="s">
        <v>81</v>
      </c>
      <c r="C33" s="65" t="s">
        <v>82</v>
      </c>
      <c r="D33" s="61" t="s">
        <v>79</v>
      </c>
      <c r="E33" s="66" t="s">
        <v>80</v>
      </c>
      <c r="F33" s="75">
        <v>137.54</v>
      </c>
      <c r="G33" s="76">
        <v>140.04</v>
      </c>
      <c r="H33" s="76">
        <v>155.71</v>
      </c>
      <c r="I33" s="76">
        <v>189</v>
      </c>
      <c r="J33" s="81">
        <f>I33+($M33-$I33)/4</f>
        <v>204.25</v>
      </c>
      <c r="K33" s="81">
        <f>J33+($M33-$I33)/4</f>
        <v>219.5</v>
      </c>
      <c r="L33" s="81">
        <f>K33+($M33-$I33)/4</f>
        <v>234.75</v>
      </c>
      <c r="M33" s="76">
        <v>250</v>
      </c>
      <c r="N33" s="76">
        <f>M33+($W33-$M33)/10</f>
        <v>254</v>
      </c>
      <c r="O33" s="76">
        <f t="shared" ref="O33:V33" si="31">N33+($W33-$M33)/10</f>
        <v>258</v>
      </c>
      <c r="P33" s="76">
        <f t="shared" si="31"/>
        <v>262</v>
      </c>
      <c r="Q33" s="76">
        <f t="shared" si="31"/>
        <v>266</v>
      </c>
      <c r="R33" s="76">
        <f t="shared" si="31"/>
        <v>270</v>
      </c>
      <c r="S33" s="76">
        <f t="shared" si="31"/>
        <v>274</v>
      </c>
      <c r="T33" s="76">
        <f t="shared" si="31"/>
        <v>278</v>
      </c>
      <c r="U33" s="76">
        <f t="shared" si="31"/>
        <v>282</v>
      </c>
      <c r="V33" s="76">
        <f t="shared" si="31"/>
        <v>286</v>
      </c>
      <c r="W33" s="76">
        <v>290</v>
      </c>
      <c r="X33" s="81">
        <f>W33+($AG33-$W33)/10</f>
        <v>288</v>
      </c>
      <c r="Y33" s="81">
        <f t="shared" ref="Y33:AF33" si="32">X33+($AG33-$W33)/10</f>
        <v>286</v>
      </c>
      <c r="Z33" s="81">
        <f t="shared" si="32"/>
        <v>284</v>
      </c>
      <c r="AA33" s="81">
        <f t="shared" si="32"/>
        <v>282</v>
      </c>
      <c r="AB33" s="81">
        <f t="shared" si="32"/>
        <v>280</v>
      </c>
      <c r="AC33" s="81">
        <f t="shared" si="32"/>
        <v>278</v>
      </c>
      <c r="AD33" s="81">
        <f t="shared" si="32"/>
        <v>276</v>
      </c>
      <c r="AE33" s="81">
        <f t="shared" si="32"/>
        <v>274</v>
      </c>
      <c r="AF33" s="81">
        <f t="shared" si="32"/>
        <v>272</v>
      </c>
      <c r="AG33" s="76">
        <v>270</v>
      </c>
      <c r="AH33" s="81">
        <f>AG33+($AV33-$AG33)/15</f>
        <v>266.66666666666669</v>
      </c>
      <c r="AI33" s="81">
        <f t="shared" ref="AI33:AU33" si="33">AH33+($AV33-$AG33)/15</f>
        <v>263.33333333333337</v>
      </c>
      <c r="AJ33" s="81">
        <f t="shared" si="33"/>
        <v>260.00000000000006</v>
      </c>
      <c r="AK33" s="81">
        <f t="shared" si="33"/>
        <v>256.66666666666674</v>
      </c>
      <c r="AL33" s="81">
        <f t="shared" si="33"/>
        <v>253.3333333333334</v>
      </c>
      <c r="AM33" s="81">
        <f t="shared" si="33"/>
        <v>250.00000000000006</v>
      </c>
      <c r="AN33" s="81">
        <f t="shared" si="33"/>
        <v>246.66666666666671</v>
      </c>
      <c r="AO33" s="81">
        <f t="shared" si="33"/>
        <v>243.33333333333337</v>
      </c>
      <c r="AP33" s="81">
        <f t="shared" si="33"/>
        <v>240.00000000000003</v>
      </c>
      <c r="AQ33" s="81">
        <f t="shared" si="33"/>
        <v>236.66666666666669</v>
      </c>
      <c r="AR33" s="81">
        <f t="shared" si="33"/>
        <v>233.33333333333334</v>
      </c>
      <c r="AS33" s="81">
        <f t="shared" si="33"/>
        <v>230</v>
      </c>
      <c r="AT33" s="81">
        <f t="shared" si="33"/>
        <v>226.66666666666666</v>
      </c>
      <c r="AU33" s="81">
        <f t="shared" si="33"/>
        <v>223.33333333333331</v>
      </c>
      <c r="AV33" s="83">
        <v>220</v>
      </c>
    </row>
    <row r="34" spans="1:48" x14ac:dyDescent="0.2">
      <c r="A34" s="63" t="s">
        <v>77</v>
      </c>
      <c r="B34" s="64" t="s">
        <v>81</v>
      </c>
      <c r="C34" s="65" t="s">
        <v>83</v>
      </c>
      <c r="D34" s="61" t="s">
        <v>79</v>
      </c>
      <c r="E34" s="66" t="s">
        <v>80</v>
      </c>
      <c r="F34" s="75">
        <v>246.85</v>
      </c>
      <c r="G34" s="76">
        <v>244.17</v>
      </c>
      <c r="H34" s="76">
        <v>232.31</v>
      </c>
      <c r="I34" s="76">
        <v>224.95</v>
      </c>
      <c r="J34" s="76">
        <v>201.43</v>
      </c>
      <c r="K34" s="81">
        <f t="shared" ref="K34:L34" si="34">J34+($M34-$J34)/3</f>
        <v>209.28666666666666</v>
      </c>
      <c r="L34" s="81">
        <f t="shared" si="34"/>
        <v>217.14333333333332</v>
      </c>
      <c r="M34" s="76">
        <v>225</v>
      </c>
      <c r="N34" s="76">
        <f>M34+($W34-$M34)/10</f>
        <v>223.5</v>
      </c>
      <c r="O34" s="76">
        <f t="shared" ref="O34:V34" si="35">N34+($W34-$M34)/10</f>
        <v>222</v>
      </c>
      <c r="P34" s="76">
        <f t="shared" si="35"/>
        <v>220.5</v>
      </c>
      <c r="Q34" s="76">
        <f t="shared" si="35"/>
        <v>219</v>
      </c>
      <c r="R34" s="76">
        <f t="shared" si="35"/>
        <v>217.5</v>
      </c>
      <c r="S34" s="76">
        <f t="shared" si="35"/>
        <v>216</v>
      </c>
      <c r="T34" s="76">
        <f t="shared" si="35"/>
        <v>214.5</v>
      </c>
      <c r="U34" s="76">
        <f t="shared" si="35"/>
        <v>213</v>
      </c>
      <c r="V34" s="76">
        <f t="shared" si="35"/>
        <v>211.5</v>
      </c>
      <c r="W34" s="76">
        <v>210</v>
      </c>
      <c r="X34" s="76">
        <f>W34+($AV34-$W34)/25</f>
        <v>207.2</v>
      </c>
      <c r="Y34" s="76">
        <f t="shared" ref="Y34:AU34" si="36">X34+($AV34-$W34)/25</f>
        <v>204.39999999999998</v>
      </c>
      <c r="Z34" s="76">
        <f t="shared" si="36"/>
        <v>201.59999999999997</v>
      </c>
      <c r="AA34" s="76">
        <f t="shared" si="36"/>
        <v>198.79999999999995</v>
      </c>
      <c r="AB34" s="76">
        <f t="shared" si="36"/>
        <v>195.99999999999994</v>
      </c>
      <c r="AC34" s="76">
        <f t="shared" si="36"/>
        <v>193.19999999999993</v>
      </c>
      <c r="AD34" s="76">
        <f t="shared" si="36"/>
        <v>190.39999999999992</v>
      </c>
      <c r="AE34" s="76">
        <f t="shared" si="36"/>
        <v>187.59999999999991</v>
      </c>
      <c r="AF34" s="76">
        <f t="shared" si="36"/>
        <v>184.7999999999999</v>
      </c>
      <c r="AG34" s="76">
        <f t="shared" si="36"/>
        <v>181.99999999999989</v>
      </c>
      <c r="AH34" s="76">
        <f t="shared" si="36"/>
        <v>179.19999999999987</v>
      </c>
      <c r="AI34" s="76">
        <f t="shared" si="36"/>
        <v>176.39999999999986</v>
      </c>
      <c r="AJ34" s="76">
        <f t="shared" si="36"/>
        <v>173.59999999999985</v>
      </c>
      <c r="AK34" s="76">
        <f t="shared" si="36"/>
        <v>170.79999999999984</v>
      </c>
      <c r="AL34" s="76">
        <f t="shared" si="36"/>
        <v>167.99999999999983</v>
      </c>
      <c r="AM34" s="76">
        <f t="shared" si="36"/>
        <v>165.19999999999982</v>
      </c>
      <c r="AN34" s="76">
        <f t="shared" si="36"/>
        <v>162.39999999999981</v>
      </c>
      <c r="AO34" s="76">
        <f t="shared" si="36"/>
        <v>159.5999999999998</v>
      </c>
      <c r="AP34" s="76">
        <f t="shared" si="36"/>
        <v>156.79999999999978</v>
      </c>
      <c r="AQ34" s="76">
        <f t="shared" si="36"/>
        <v>153.99999999999977</v>
      </c>
      <c r="AR34" s="76">
        <f t="shared" si="36"/>
        <v>151.19999999999976</v>
      </c>
      <c r="AS34" s="76">
        <f t="shared" si="36"/>
        <v>148.39999999999975</v>
      </c>
      <c r="AT34" s="76">
        <f t="shared" si="36"/>
        <v>145.59999999999974</v>
      </c>
      <c r="AU34" s="76">
        <f t="shared" si="36"/>
        <v>142.79999999999973</v>
      </c>
      <c r="AV34" s="83">
        <v>140</v>
      </c>
    </row>
    <row r="35" spans="1:48" x14ac:dyDescent="0.2">
      <c r="A35" s="63" t="s">
        <v>77</v>
      </c>
      <c r="B35" s="64" t="s">
        <v>84</v>
      </c>
      <c r="C35" s="65" t="s">
        <v>85</v>
      </c>
      <c r="D35" s="61" t="s">
        <v>79</v>
      </c>
      <c r="E35" s="66" t="s">
        <v>80</v>
      </c>
      <c r="F35" s="75">
        <v>85.17</v>
      </c>
      <c r="G35" s="76">
        <v>88.95</v>
      </c>
      <c r="H35" s="76">
        <v>86.69</v>
      </c>
      <c r="I35" s="76">
        <v>93.16</v>
      </c>
      <c r="J35" s="76">
        <f>I35+($M35-$I35)/4</f>
        <v>99.87</v>
      </c>
      <c r="K35" s="76">
        <f t="shared" ref="K35:L35" si="37">J35+($M35-$I35)/4</f>
        <v>106.58000000000001</v>
      </c>
      <c r="L35" s="76">
        <f t="shared" si="37"/>
        <v>113.29000000000002</v>
      </c>
      <c r="M35" s="76">
        <v>120</v>
      </c>
      <c r="N35" s="76">
        <f>M35+($W35-$M35)/10</f>
        <v>123</v>
      </c>
      <c r="O35" s="76">
        <f t="shared" ref="O35:V35" si="38">N35+($W35-$M35)/10</f>
        <v>126</v>
      </c>
      <c r="P35" s="76">
        <f t="shared" si="38"/>
        <v>129</v>
      </c>
      <c r="Q35" s="76">
        <f t="shared" si="38"/>
        <v>132</v>
      </c>
      <c r="R35" s="76">
        <f t="shared" si="38"/>
        <v>135</v>
      </c>
      <c r="S35" s="76">
        <f t="shared" si="38"/>
        <v>138</v>
      </c>
      <c r="T35" s="76">
        <f t="shared" si="38"/>
        <v>141</v>
      </c>
      <c r="U35" s="76">
        <f t="shared" si="38"/>
        <v>144</v>
      </c>
      <c r="V35" s="76">
        <f t="shared" si="38"/>
        <v>147</v>
      </c>
      <c r="W35" s="76">
        <v>150</v>
      </c>
      <c r="X35" s="76">
        <f>W35+($AV35-$W35)/25</f>
        <v>149</v>
      </c>
      <c r="Y35" s="76">
        <f t="shared" ref="Y35:AU35" si="39">X35+($AV35-$W35)/25</f>
        <v>148</v>
      </c>
      <c r="Z35" s="76">
        <f t="shared" si="39"/>
        <v>147</v>
      </c>
      <c r="AA35" s="76">
        <f t="shared" si="39"/>
        <v>146</v>
      </c>
      <c r="AB35" s="76">
        <f t="shared" si="39"/>
        <v>145</v>
      </c>
      <c r="AC35" s="76">
        <f t="shared" si="39"/>
        <v>144</v>
      </c>
      <c r="AD35" s="76">
        <f t="shared" si="39"/>
        <v>143</v>
      </c>
      <c r="AE35" s="76">
        <f t="shared" si="39"/>
        <v>142</v>
      </c>
      <c r="AF35" s="76">
        <f t="shared" si="39"/>
        <v>141</v>
      </c>
      <c r="AG35" s="76">
        <f t="shared" si="39"/>
        <v>140</v>
      </c>
      <c r="AH35" s="76">
        <f t="shared" si="39"/>
        <v>139</v>
      </c>
      <c r="AI35" s="76">
        <f t="shared" si="39"/>
        <v>138</v>
      </c>
      <c r="AJ35" s="76">
        <f t="shared" si="39"/>
        <v>137</v>
      </c>
      <c r="AK35" s="76">
        <f t="shared" si="39"/>
        <v>136</v>
      </c>
      <c r="AL35" s="76">
        <f t="shared" si="39"/>
        <v>135</v>
      </c>
      <c r="AM35" s="76">
        <f t="shared" si="39"/>
        <v>134</v>
      </c>
      <c r="AN35" s="76">
        <f t="shared" si="39"/>
        <v>133</v>
      </c>
      <c r="AO35" s="76">
        <f t="shared" si="39"/>
        <v>132</v>
      </c>
      <c r="AP35" s="76">
        <f t="shared" si="39"/>
        <v>131</v>
      </c>
      <c r="AQ35" s="76">
        <f t="shared" si="39"/>
        <v>130</v>
      </c>
      <c r="AR35" s="76">
        <f t="shared" si="39"/>
        <v>129</v>
      </c>
      <c r="AS35" s="76">
        <f t="shared" si="39"/>
        <v>128</v>
      </c>
      <c r="AT35" s="76">
        <f>AS35+($AV35-$W35)/25</f>
        <v>127</v>
      </c>
      <c r="AU35" s="76">
        <f t="shared" si="39"/>
        <v>126</v>
      </c>
      <c r="AV35" s="83">
        <v>125</v>
      </c>
    </row>
    <row r="36" spans="1:48" x14ac:dyDescent="0.2">
      <c r="A36" s="63" t="s">
        <v>86</v>
      </c>
      <c r="B36" s="64" t="s">
        <v>74</v>
      </c>
      <c r="C36" s="65" t="s">
        <v>87</v>
      </c>
      <c r="D36" s="61" t="s">
        <v>79</v>
      </c>
      <c r="E36" s="62" t="s">
        <v>88</v>
      </c>
      <c r="F36" s="75">
        <v>223609.62</v>
      </c>
      <c r="G36" s="76">
        <v>234430.62</v>
      </c>
      <c r="H36" s="81">
        <f>E16</f>
        <v>239470.83</v>
      </c>
      <c r="I36" s="81">
        <f t="shared" ref="I36:AV36" si="40">F16</f>
        <v>237724.49</v>
      </c>
      <c r="J36" s="81">
        <f t="shared" si="40"/>
        <v>212927.18</v>
      </c>
      <c r="K36" s="81">
        <f t="shared" si="40"/>
        <v>221951.45333333334</v>
      </c>
      <c r="L36" s="81">
        <f t="shared" si="40"/>
        <v>230975.72666666668</v>
      </c>
      <c r="M36" s="81">
        <f t="shared" si="40"/>
        <v>240000</v>
      </c>
      <c r="N36" s="81">
        <f t="shared" si="40"/>
        <v>243000</v>
      </c>
      <c r="O36" s="81">
        <f t="shared" si="40"/>
        <v>246000</v>
      </c>
      <c r="P36" s="81">
        <f t="shared" si="40"/>
        <v>249000</v>
      </c>
      <c r="Q36" s="81">
        <f t="shared" si="40"/>
        <v>252000</v>
      </c>
      <c r="R36" s="81">
        <f t="shared" si="40"/>
        <v>255000</v>
      </c>
      <c r="S36" s="81">
        <f t="shared" si="40"/>
        <v>252000</v>
      </c>
      <c r="T36" s="81">
        <f t="shared" si="40"/>
        <v>249000</v>
      </c>
      <c r="U36" s="81">
        <f t="shared" si="40"/>
        <v>246000</v>
      </c>
      <c r="V36" s="81">
        <f t="shared" si="40"/>
        <v>243000</v>
      </c>
      <c r="W36" s="81">
        <f t="shared" si="40"/>
        <v>240000</v>
      </c>
      <c r="X36" s="81">
        <f t="shared" si="40"/>
        <v>235800</v>
      </c>
      <c r="Y36" s="81">
        <f t="shared" si="40"/>
        <v>231600</v>
      </c>
      <c r="Z36" s="81">
        <f t="shared" si="40"/>
        <v>227400</v>
      </c>
      <c r="AA36" s="81">
        <f t="shared" si="40"/>
        <v>223200</v>
      </c>
      <c r="AB36" s="81">
        <f t="shared" si="40"/>
        <v>219000</v>
      </c>
      <c r="AC36" s="81">
        <f t="shared" si="40"/>
        <v>213200</v>
      </c>
      <c r="AD36" s="81">
        <f t="shared" si="40"/>
        <v>207400</v>
      </c>
      <c r="AE36" s="81">
        <f t="shared" si="40"/>
        <v>201600</v>
      </c>
      <c r="AF36" s="81">
        <f t="shared" si="40"/>
        <v>195800</v>
      </c>
      <c r="AG36" s="81">
        <f t="shared" si="40"/>
        <v>190000</v>
      </c>
      <c r="AH36" s="81">
        <f t="shared" si="40"/>
        <v>185600</v>
      </c>
      <c r="AI36" s="81">
        <f t="shared" si="40"/>
        <v>181200</v>
      </c>
      <c r="AJ36" s="81">
        <f t="shared" si="40"/>
        <v>176800</v>
      </c>
      <c r="AK36" s="81">
        <f t="shared" si="40"/>
        <v>172400</v>
      </c>
      <c r="AL36" s="81">
        <f t="shared" si="40"/>
        <v>168000</v>
      </c>
      <c r="AM36" s="81">
        <f t="shared" si="40"/>
        <v>165400</v>
      </c>
      <c r="AN36" s="81">
        <f t="shared" si="40"/>
        <v>162800</v>
      </c>
      <c r="AO36" s="81">
        <f t="shared" si="40"/>
        <v>160200</v>
      </c>
      <c r="AP36" s="81">
        <f t="shared" si="40"/>
        <v>157600</v>
      </c>
      <c r="AQ36" s="81">
        <f t="shared" si="40"/>
        <v>155000</v>
      </c>
      <c r="AR36" s="81">
        <f t="shared" si="40"/>
        <v>153809.8052</v>
      </c>
      <c r="AS36" s="81">
        <f t="shared" si="40"/>
        <v>152619.61040000001</v>
      </c>
      <c r="AT36" s="81">
        <f t="shared" si="40"/>
        <v>151429.41560000001</v>
      </c>
      <c r="AU36" s="81">
        <f t="shared" si="40"/>
        <v>150239.22080000001</v>
      </c>
      <c r="AV36" s="82">
        <f t="shared" si="40"/>
        <v>149049.02599999998</v>
      </c>
    </row>
    <row r="37" spans="1:48" x14ac:dyDescent="0.2">
      <c r="A37" s="63" t="s">
        <v>89</v>
      </c>
      <c r="B37" s="64" t="s">
        <v>90</v>
      </c>
      <c r="C37" s="65" t="s">
        <v>91</v>
      </c>
      <c r="D37" s="61" t="s">
        <v>79</v>
      </c>
      <c r="E37" s="62" t="s">
        <v>88</v>
      </c>
      <c r="F37" s="75">
        <v>92903.84</v>
      </c>
      <c r="G37" s="76">
        <v>99541.89</v>
      </c>
      <c r="H37" s="81">
        <f>E18</f>
        <v>106476.68</v>
      </c>
      <c r="I37" s="81">
        <f t="shared" ref="I37:AV37" si="41">F18</f>
        <v>103524.26</v>
      </c>
      <c r="J37" s="81">
        <f t="shared" si="41"/>
        <v>101795.9</v>
      </c>
      <c r="K37" s="81">
        <f t="shared" si="41"/>
        <v>109863.93333333333</v>
      </c>
      <c r="L37" s="81">
        <f t="shared" si="41"/>
        <v>117931.96666666667</v>
      </c>
      <c r="M37" s="81">
        <f t="shared" si="41"/>
        <v>126000</v>
      </c>
      <c r="N37" s="81">
        <f t="shared" si="41"/>
        <v>128800</v>
      </c>
      <c r="O37" s="81">
        <f t="shared" si="41"/>
        <v>131600</v>
      </c>
      <c r="P37" s="81">
        <f t="shared" si="41"/>
        <v>134400</v>
      </c>
      <c r="Q37" s="81">
        <f t="shared" si="41"/>
        <v>137200</v>
      </c>
      <c r="R37" s="81">
        <f t="shared" si="41"/>
        <v>140000</v>
      </c>
      <c r="S37" s="81">
        <f t="shared" si="41"/>
        <v>140200</v>
      </c>
      <c r="T37" s="81">
        <f t="shared" si="41"/>
        <v>140400</v>
      </c>
      <c r="U37" s="81">
        <f t="shared" si="41"/>
        <v>140600</v>
      </c>
      <c r="V37" s="81">
        <f t="shared" si="41"/>
        <v>140800</v>
      </c>
      <c r="W37" s="81">
        <f t="shared" si="41"/>
        <v>141000</v>
      </c>
      <c r="X37" s="81">
        <f t="shared" si="41"/>
        <v>139400</v>
      </c>
      <c r="Y37" s="81">
        <f t="shared" si="41"/>
        <v>137800</v>
      </c>
      <c r="Z37" s="81">
        <f t="shared" si="41"/>
        <v>136200</v>
      </c>
      <c r="AA37" s="81">
        <f t="shared" si="41"/>
        <v>134600</v>
      </c>
      <c r="AB37" s="81">
        <f t="shared" si="41"/>
        <v>133000</v>
      </c>
      <c r="AC37" s="81">
        <f t="shared" si="41"/>
        <v>130000</v>
      </c>
      <c r="AD37" s="81">
        <f t="shared" si="41"/>
        <v>127000</v>
      </c>
      <c r="AE37" s="81">
        <f t="shared" si="41"/>
        <v>124000</v>
      </c>
      <c r="AF37" s="81">
        <f t="shared" si="41"/>
        <v>121000</v>
      </c>
      <c r="AG37" s="81">
        <f t="shared" si="41"/>
        <v>118000</v>
      </c>
      <c r="AH37" s="81">
        <f t="shared" si="41"/>
        <v>115000</v>
      </c>
      <c r="AI37" s="81">
        <f t="shared" si="41"/>
        <v>112000</v>
      </c>
      <c r="AJ37" s="81">
        <f t="shared" si="41"/>
        <v>109000</v>
      </c>
      <c r="AK37" s="81">
        <f t="shared" si="41"/>
        <v>106000</v>
      </c>
      <c r="AL37" s="81">
        <f t="shared" si="41"/>
        <v>103000</v>
      </c>
      <c r="AM37" s="81">
        <f t="shared" si="41"/>
        <v>100400</v>
      </c>
      <c r="AN37" s="81">
        <f t="shared" si="41"/>
        <v>97800</v>
      </c>
      <c r="AO37" s="81">
        <f t="shared" si="41"/>
        <v>95200</v>
      </c>
      <c r="AP37" s="81">
        <f t="shared" si="41"/>
        <v>92600</v>
      </c>
      <c r="AQ37" s="81">
        <f t="shared" si="41"/>
        <v>90000</v>
      </c>
      <c r="AR37" s="81">
        <f t="shared" si="41"/>
        <v>87269.384999999995</v>
      </c>
      <c r="AS37" s="81">
        <f t="shared" si="41"/>
        <v>84538.76999999999</v>
      </c>
      <c r="AT37" s="81">
        <f t="shared" si="41"/>
        <v>81808.154999999984</v>
      </c>
      <c r="AU37" s="81">
        <f t="shared" si="41"/>
        <v>79077.539999999979</v>
      </c>
      <c r="AV37" s="82">
        <f t="shared" si="41"/>
        <v>76346.924999999988</v>
      </c>
    </row>
    <row r="38" spans="1:48" x14ac:dyDescent="0.2">
      <c r="A38" s="63" t="s">
        <v>92</v>
      </c>
      <c r="B38" s="64" t="s">
        <v>84</v>
      </c>
      <c r="C38" s="65" t="s">
        <v>93</v>
      </c>
      <c r="D38" s="61" t="s">
        <v>79</v>
      </c>
      <c r="E38" s="62" t="s">
        <v>88</v>
      </c>
      <c r="F38" s="75">
        <v>3683.1</v>
      </c>
      <c r="G38" s="76">
        <v>3512.96</v>
      </c>
      <c r="H38" s="76">
        <f>E19</f>
        <v>3708.04</v>
      </c>
      <c r="I38" s="76">
        <f t="shared" ref="I38:AV38" si="42">F19</f>
        <v>3850.32</v>
      </c>
      <c r="J38" s="76">
        <f t="shared" si="42"/>
        <v>4014.43</v>
      </c>
      <c r="K38" s="76">
        <f t="shared" si="42"/>
        <v>4342.9533333333329</v>
      </c>
      <c r="L38" s="76">
        <f t="shared" si="42"/>
        <v>4671.4766666666665</v>
      </c>
      <c r="M38" s="76">
        <f t="shared" si="42"/>
        <v>5000</v>
      </c>
      <c r="N38" s="76">
        <f t="shared" si="42"/>
        <v>5260</v>
      </c>
      <c r="O38" s="76">
        <f t="shared" si="42"/>
        <v>5520</v>
      </c>
      <c r="P38" s="76">
        <f t="shared" si="42"/>
        <v>5780</v>
      </c>
      <c r="Q38" s="76">
        <f t="shared" si="42"/>
        <v>6040</v>
      </c>
      <c r="R38" s="76">
        <f t="shared" si="42"/>
        <v>6300</v>
      </c>
      <c r="S38" s="76">
        <f t="shared" si="42"/>
        <v>6440</v>
      </c>
      <c r="T38" s="76">
        <f t="shared" si="42"/>
        <v>6580</v>
      </c>
      <c r="U38" s="76">
        <f t="shared" si="42"/>
        <v>6720</v>
      </c>
      <c r="V38" s="76">
        <f t="shared" si="42"/>
        <v>6860</v>
      </c>
      <c r="W38" s="76">
        <f t="shared" si="42"/>
        <v>7000</v>
      </c>
      <c r="X38" s="76">
        <f t="shared" si="42"/>
        <v>7040</v>
      </c>
      <c r="Y38" s="76">
        <f t="shared" si="42"/>
        <v>7080</v>
      </c>
      <c r="Z38" s="76">
        <f t="shared" si="42"/>
        <v>7120</v>
      </c>
      <c r="AA38" s="76">
        <f t="shared" si="42"/>
        <v>7160</v>
      </c>
      <c r="AB38" s="76">
        <f t="shared" si="42"/>
        <v>7200</v>
      </c>
      <c r="AC38" s="76">
        <f t="shared" si="42"/>
        <v>7180</v>
      </c>
      <c r="AD38" s="76">
        <f t="shared" si="42"/>
        <v>7160</v>
      </c>
      <c r="AE38" s="76">
        <f t="shared" si="42"/>
        <v>7140</v>
      </c>
      <c r="AF38" s="76">
        <f t="shared" si="42"/>
        <v>7120</v>
      </c>
      <c r="AG38" s="76">
        <f t="shared" si="42"/>
        <v>7100</v>
      </c>
      <c r="AH38" s="76">
        <f t="shared" si="42"/>
        <v>7000</v>
      </c>
      <c r="AI38" s="76">
        <f t="shared" si="42"/>
        <v>6900</v>
      </c>
      <c r="AJ38" s="76">
        <f t="shared" si="42"/>
        <v>6800</v>
      </c>
      <c r="AK38" s="76">
        <f t="shared" si="42"/>
        <v>6700</v>
      </c>
      <c r="AL38" s="76">
        <f t="shared" si="42"/>
        <v>6600</v>
      </c>
      <c r="AM38" s="76">
        <f t="shared" si="42"/>
        <v>6440</v>
      </c>
      <c r="AN38" s="76">
        <f t="shared" si="42"/>
        <v>6280</v>
      </c>
      <c r="AO38" s="76">
        <f t="shared" si="42"/>
        <v>6120</v>
      </c>
      <c r="AP38" s="76">
        <f t="shared" si="42"/>
        <v>5960</v>
      </c>
      <c r="AQ38" s="76">
        <f t="shared" si="42"/>
        <v>5800</v>
      </c>
      <c r="AR38" s="76">
        <f t="shared" si="42"/>
        <v>5640</v>
      </c>
      <c r="AS38" s="76">
        <f t="shared" si="42"/>
        <v>5480</v>
      </c>
      <c r="AT38" s="76">
        <f t="shared" si="42"/>
        <v>5320</v>
      </c>
      <c r="AU38" s="76">
        <f t="shared" si="42"/>
        <v>5160</v>
      </c>
      <c r="AV38" s="83">
        <f t="shared" si="42"/>
        <v>5000</v>
      </c>
    </row>
    <row r="39" spans="1:48" x14ac:dyDescent="0.2">
      <c r="A39" s="63" t="s">
        <v>94</v>
      </c>
      <c r="B39" s="64" t="s">
        <v>84</v>
      </c>
      <c r="C39" s="67" t="s">
        <v>95</v>
      </c>
      <c r="D39" s="61" t="s">
        <v>96</v>
      </c>
      <c r="E39" s="68" t="s">
        <v>62</v>
      </c>
      <c r="F39" s="75">
        <v>68449</v>
      </c>
      <c r="G39" s="76">
        <v>72255</v>
      </c>
      <c r="H39" s="76">
        <v>75110</v>
      </c>
      <c r="I39" s="76">
        <v>83128</v>
      </c>
      <c r="J39" s="76">
        <v>86372</v>
      </c>
      <c r="K39" s="76">
        <v>92908</v>
      </c>
      <c r="L39" s="76">
        <v>98236</v>
      </c>
      <c r="M39" s="76">
        <v>103441</v>
      </c>
      <c r="N39" s="76">
        <v>108529</v>
      </c>
      <c r="O39" s="76">
        <v>113482</v>
      </c>
      <c r="P39" s="76">
        <v>118298</v>
      </c>
      <c r="Q39" s="76">
        <v>122964</v>
      </c>
      <c r="R39" s="76">
        <v>127474</v>
      </c>
      <c r="S39" s="76">
        <v>131817</v>
      </c>
      <c r="T39" s="76">
        <v>135982</v>
      </c>
      <c r="U39" s="76">
        <v>139961</v>
      </c>
      <c r="V39" s="76">
        <v>143743</v>
      </c>
      <c r="W39" s="76">
        <v>147316</v>
      </c>
      <c r="X39" s="76">
        <v>150667</v>
      </c>
      <c r="Y39" s="76">
        <v>153788</v>
      </c>
      <c r="Z39" s="76">
        <v>156673</v>
      </c>
      <c r="AA39" s="76">
        <v>159316</v>
      </c>
      <c r="AB39" s="76">
        <v>161710</v>
      </c>
      <c r="AC39" s="76">
        <v>163854</v>
      </c>
      <c r="AD39" s="76">
        <v>165743</v>
      </c>
      <c r="AE39" s="76">
        <v>167375</v>
      </c>
      <c r="AF39" s="76">
        <v>168754</v>
      </c>
      <c r="AG39" s="76">
        <v>169877</v>
      </c>
      <c r="AH39" s="76">
        <v>170749</v>
      </c>
      <c r="AI39" s="76">
        <v>171374</v>
      </c>
      <c r="AJ39" s="76">
        <v>171758</v>
      </c>
      <c r="AK39" s="76">
        <v>171907</v>
      </c>
      <c r="AL39" s="76">
        <v>171827</v>
      </c>
      <c r="AM39" s="76">
        <v>171527</v>
      </c>
      <c r="AN39" s="76">
        <v>171015</v>
      </c>
      <c r="AO39" s="76">
        <v>170299</v>
      </c>
      <c r="AP39" s="76">
        <v>169391</v>
      </c>
      <c r="AQ39" s="76">
        <v>168299</v>
      </c>
      <c r="AR39" s="76">
        <v>167033</v>
      </c>
      <c r="AS39" s="76">
        <v>165602</v>
      </c>
      <c r="AT39" s="76">
        <v>164017</v>
      </c>
      <c r="AU39" s="76">
        <v>162290</v>
      </c>
      <c r="AV39" s="83">
        <v>160429</v>
      </c>
    </row>
    <row r="40" spans="1:48" x14ac:dyDescent="0.2">
      <c r="A40" s="69" t="s">
        <v>97</v>
      </c>
      <c r="B40" s="70" t="s">
        <v>98</v>
      </c>
      <c r="C40" s="71" t="s">
        <v>60</v>
      </c>
      <c r="D40" s="72" t="s">
        <v>61</v>
      </c>
      <c r="E40" s="73" t="s">
        <v>62</v>
      </c>
      <c r="F40" s="93">
        <v>13.953799999999999</v>
      </c>
      <c r="G40" s="94">
        <v>14.007930999999999</v>
      </c>
      <c r="H40" s="94">
        <v>14.131351629999999</v>
      </c>
      <c r="I40" s="94">
        <v>14.16016011</v>
      </c>
      <c r="J40" s="94">
        <v>14.188968259999999</v>
      </c>
      <c r="K40" s="94">
        <v>14.21777659</v>
      </c>
      <c r="L40" s="94">
        <v>14.246584739999999</v>
      </c>
      <c r="M40" s="94">
        <v>14.27539322</v>
      </c>
      <c r="N40" s="94">
        <v>14.27109347</v>
      </c>
      <c r="O40" s="94">
        <v>14.2667936</v>
      </c>
      <c r="P40" s="94">
        <v>14.26249434</v>
      </c>
      <c r="Q40" s="94">
        <v>14.258194469999999</v>
      </c>
      <c r="R40" s="94">
        <v>14.25389472</v>
      </c>
      <c r="S40" s="94">
        <v>14.234383210000001</v>
      </c>
      <c r="T40" s="94">
        <v>14.21487207</v>
      </c>
      <c r="U40" s="94">
        <v>14.19536108</v>
      </c>
      <c r="V40" s="94">
        <v>14.175849940000001</v>
      </c>
      <c r="W40" s="94">
        <v>14.15633843</v>
      </c>
      <c r="X40" s="94">
        <v>14.120965379999999</v>
      </c>
      <c r="Y40" s="94">
        <v>14.08559209</v>
      </c>
      <c r="Z40" s="94">
        <v>14.050218709999999</v>
      </c>
      <c r="AA40" s="94">
        <v>14.01484542</v>
      </c>
      <c r="AB40" s="94">
        <v>13.97947237</v>
      </c>
      <c r="AC40" s="94">
        <v>13.93101401</v>
      </c>
      <c r="AD40" s="94">
        <v>13.882555740000001</v>
      </c>
      <c r="AE40" s="94">
        <v>13.83409724</v>
      </c>
      <c r="AF40" s="94">
        <v>13.785638970000001</v>
      </c>
      <c r="AG40" s="94">
        <v>13.737180609999999</v>
      </c>
      <c r="AH40" s="94">
        <v>13.66731802</v>
      </c>
      <c r="AI40" s="94">
        <v>13.597455719999999</v>
      </c>
      <c r="AJ40" s="94">
        <v>13.52759292</v>
      </c>
      <c r="AK40" s="94">
        <v>13.45773062</v>
      </c>
      <c r="AL40" s="94">
        <v>13.38786803</v>
      </c>
      <c r="AM40" s="94">
        <v>13.29363728</v>
      </c>
      <c r="AN40" s="94">
        <v>13.19940598</v>
      </c>
      <c r="AO40" s="94">
        <v>13.105175389999999</v>
      </c>
      <c r="AP40" s="94">
        <v>13.010944090000001</v>
      </c>
      <c r="AQ40" s="94">
        <v>12.916713339999999</v>
      </c>
      <c r="AR40" s="94">
        <v>12.803761980000001</v>
      </c>
      <c r="AS40" s="94">
        <v>12.690810539999999</v>
      </c>
      <c r="AT40" s="94">
        <v>12.577859249999999</v>
      </c>
      <c r="AU40" s="94">
        <v>12.46490781</v>
      </c>
      <c r="AV40" s="95">
        <v>12.351956449999999</v>
      </c>
    </row>
    <row r="41" spans="1:48" x14ac:dyDescent="0.2"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</row>
    <row r="42" spans="1:48" x14ac:dyDescent="0.2"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</row>
    <row r="43" spans="1:48" x14ac:dyDescent="0.2"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</row>
    <row r="44" spans="1:48" x14ac:dyDescent="0.2"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</row>
    <row r="45" spans="1:48" x14ac:dyDescent="0.2"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</row>
    <row r="46" spans="1:48" x14ac:dyDescent="0.2"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</row>
    <row r="47" spans="1:48" x14ac:dyDescent="0.2"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</row>
  </sheetData>
  <phoneticPr fontId="3" type="noConversion"/>
  <hyperlinks>
    <hyperlink ref="D8" r:id="rId1" display="https://www.sohu.com/a/716515038_121388092" xr:uid="{9744F58D-3E20-419C-9852-6F9FCA0CF2B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1286-3949-44B6-854C-DDC05655524D}">
  <dimension ref="A1:AV40"/>
  <sheetViews>
    <sheetView tabSelected="1" zoomScale="80" zoomScaleNormal="80" workbookViewId="0">
      <selection activeCell="A26" sqref="A26:AV40"/>
    </sheetView>
  </sheetViews>
  <sheetFormatPr defaultRowHeight="13.5" x14ac:dyDescent="0.15"/>
  <cols>
    <col min="1" max="1" width="21.875" style="40" customWidth="1"/>
    <col min="2" max="3" width="10.375" style="40" customWidth="1"/>
    <col min="4" max="4" width="23.625" style="40" customWidth="1"/>
    <col min="5" max="36" width="11.625" style="40" bestFit="1" customWidth="1"/>
    <col min="37" max="45" width="11.75" style="40" bestFit="1" customWidth="1"/>
    <col min="46" max="47" width="10.25" style="40" bestFit="1" customWidth="1"/>
    <col min="48" max="16384" width="9" style="40"/>
  </cols>
  <sheetData>
    <row r="1" spans="1:46" x14ac:dyDescent="0.15">
      <c r="A1" s="1" t="s">
        <v>0</v>
      </c>
      <c r="B1" s="1" t="s">
        <v>1</v>
      </c>
      <c r="C1" s="2" t="s">
        <v>2</v>
      </c>
      <c r="D1" s="1" t="s">
        <v>3</v>
      </c>
      <c r="E1" s="41">
        <v>2020</v>
      </c>
      <c r="F1" s="42">
        <v>2021</v>
      </c>
      <c r="G1" s="42">
        <v>2022</v>
      </c>
      <c r="H1" s="42">
        <v>2023</v>
      </c>
      <c r="I1" s="42">
        <v>2024</v>
      </c>
      <c r="J1" s="42">
        <v>2025</v>
      </c>
      <c r="K1" s="42">
        <v>2026</v>
      </c>
      <c r="L1" s="42">
        <v>2027</v>
      </c>
      <c r="M1" s="42">
        <v>2028</v>
      </c>
      <c r="N1" s="42">
        <v>2029</v>
      </c>
      <c r="O1" s="42">
        <v>2030</v>
      </c>
      <c r="P1" s="42">
        <v>2031</v>
      </c>
      <c r="Q1" s="42">
        <v>2032</v>
      </c>
      <c r="R1" s="42">
        <v>2033</v>
      </c>
      <c r="S1" s="42">
        <v>2034</v>
      </c>
      <c r="T1" s="42">
        <v>2035</v>
      </c>
      <c r="U1" s="42">
        <v>2036</v>
      </c>
      <c r="V1" s="42">
        <v>2037</v>
      </c>
      <c r="W1" s="42">
        <v>2038</v>
      </c>
      <c r="X1" s="42">
        <v>2039</v>
      </c>
      <c r="Y1" s="42">
        <v>2040</v>
      </c>
      <c r="Z1" s="42">
        <v>2041</v>
      </c>
      <c r="AA1" s="42">
        <v>2042</v>
      </c>
      <c r="AB1" s="42">
        <v>2043</v>
      </c>
      <c r="AC1" s="42">
        <v>2044</v>
      </c>
      <c r="AD1" s="42">
        <v>2045</v>
      </c>
      <c r="AE1" s="42">
        <v>2046</v>
      </c>
      <c r="AF1" s="42">
        <v>2047</v>
      </c>
      <c r="AG1" s="42">
        <v>2048</v>
      </c>
      <c r="AH1" s="42">
        <v>2049</v>
      </c>
      <c r="AI1" s="42">
        <v>2050</v>
      </c>
      <c r="AJ1" s="42">
        <v>2051</v>
      </c>
      <c r="AK1" s="42">
        <v>2052</v>
      </c>
      <c r="AL1" s="42">
        <v>2053</v>
      </c>
      <c r="AM1" s="42">
        <v>2054</v>
      </c>
      <c r="AN1" s="42">
        <v>2055</v>
      </c>
      <c r="AO1" s="42">
        <v>2056</v>
      </c>
      <c r="AP1" s="42">
        <v>2057</v>
      </c>
      <c r="AQ1" s="42">
        <v>2058</v>
      </c>
      <c r="AR1" s="42">
        <v>2059</v>
      </c>
      <c r="AS1" s="43">
        <v>2060</v>
      </c>
    </row>
    <row r="2" spans="1:46" x14ac:dyDescent="0.15">
      <c r="A2" s="7" t="s">
        <v>4</v>
      </c>
      <c r="B2" s="8" t="s">
        <v>5</v>
      </c>
      <c r="C2" s="9" t="s">
        <v>6</v>
      </c>
      <c r="D2" s="8" t="s">
        <v>7</v>
      </c>
      <c r="E2" s="45">
        <f>高情景!E2*0.5+低情景!E2*0.5</f>
        <v>39.020000000000003</v>
      </c>
      <c r="F2" s="46">
        <f>高情景!F2*0.5+低情景!F2*0.5</f>
        <v>41.26</v>
      </c>
      <c r="G2" s="100">
        <f>高情景!G2*0.7+低情景!G2*0.3</f>
        <v>45.59</v>
      </c>
      <c r="H2" s="46">
        <f>高情景!H2*0.7+低情景!H2*0.3</f>
        <v>46.826666666666668</v>
      </c>
      <c r="I2" s="46">
        <f>高情景!I2*0.7+低情景!I2*0.3</f>
        <v>48.063333333333325</v>
      </c>
      <c r="J2" s="100">
        <f>高情景!J2*0.75+低情景!J2*0.25</f>
        <v>49.25</v>
      </c>
      <c r="K2" s="46">
        <f>高情景!K2*0.75+低情景!K2*0.25</f>
        <v>50.05</v>
      </c>
      <c r="L2" s="46">
        <f>高情景!L2*0.75+低情景!L2*0.25</f>
        <v>50.849999999999994</v>
      </c>
      <c r="M2" s="46">
        <f>高情景!M2*0.75+低情景!M2*0.25</f>
        <v>51.649999999999991</v>
      </c>
      <c r="N2" s="46">
        <f>高情景!N2*0.72+低情景!N2*0.28</f>
        <v>52.47999999999999</v>
      </c>
      <c r="O2" s="107">
        <f>高情景!O2*0.7+低情景!O2*0.3</f>
        <v>53.3</v>
      </c>
      <c r="P2" s="46">
        <f>高情景!P2*0.7+低情景!P2*0.3</f>
        <v>53.449999999999989</v>
      </c>
      <c r="Q2" s="46">
        <f>高情景!Q2*0.68+低情景!Q2*0.32</f>
        <v>53.599999999999994</v>
      </c>
      <c r="R2" s="46">
        <f>高情景!R2*0.65+低情景!R2*0.35</f>
        <v>53.724999999999994</v>
      </c>
      <c r="S2" s="46">
        <f>高情景!S2*0.6+低情景!S2*0.4</f>
        <v>53.799999999999983</v>
      </c>
      <c r="T2" s="100">
        <f>高情景!T2*0.55+低情景!T2*0.45</f>
        <v>53.825000000000003</v>
      </c>
      <c r="U2" s="46">
        <f>高情景!U2*0.55+低情景!U2*0.45</f>
        <v>53.190000000000005</v>
      </c>
      <c r="V2" s="46">
        <f>高情景!V2*0.55+低情景!V2*0.45</f>
        <v>52.555000000000007</v>
      </c>
      <c r="W2" s="46">
        <f>高情景!W2*0.55+低情景!W2*0.45</f>
        <v>51.92</v>
      </c>
      <c r="X2" s="46">
        <f>高情景!X2*0.55+低情景!X2*0.45</f>
        <v>51.285000000000011</v>
      </c>
      <c r="Y2" s="100">
        <f>高情景!Y2*0.55+低情景!Y2*0.45</f>
        <v>50.650000000000006</v>
      </c>
      <c r="Z2" s="46">
        <f>高情景!Z2*0.55+低情景!Z2*0.45</f>
        <v>49.67</v>
      </c>
      <c r="AA2" s="46">
        <f>高情景!AA2*0.55+低情景!AA2*0.45</f>
        <v>48.690000000000005</v>
      </c>
      <c r="AB2" s="46">
        <f>高情景!AB2*0.55+低情景!AB2*0.45</f>
        <v>47.710000000000008</v>
      </c>
      <c r="AC2" s="46">
        <f>高情景!AC2*0.55+低情景!AC2*0.45</f>
        <v>46.730000000000004</v>
      </c>
      <c r="AD2" s="100">
        <f>高情景!AD2*0.55+低情景!AD2*0.45</f>
        <v>45.75</v>
      </c>
      <c r="AE2" s="46">
        <f>高情景!AE2*0.55+低情景!AE2*0.45</f>
        <v>44.860000000000007</v>
      </c>
      <c r="AF2" s="46">
        <f>高情景!AF2*0.55+低情景!AF2*0.45</f>
        <v>43.970000000000006</v>
      </c>
      <c r="AG2" s="46">
        <f>高情景!AG2*0.55+低情景!AG2*0.45</f>
        <v>43.080000000000005</v>
      </c>
      <c r="AH2" s="46">
        <f>高情景!AH2*0.55+低情景!AH2*0.45</f>
        <v>42.190000000000012</v>
      </c>
      <c r="AI2" s="100">
        <f>高情景!AI2*0.55+低情景!AI2*0.45</f>
        <v>41.300000000000004</v>
      </c>
      <c r="AJ2" s="46">
        <f>高情景!AJ2*0.55+低情景!AJ2*0.45</f>
        <v>40.300000000000004</v>
      </c>
      <c r="AK2" s="46">
        <f>高情景!AK2*0.55+低情景!AK2*0.45</f>
        <v>39.299999999999997</v>
      </c>
      <c r="AL2" s="46">
        <f>高情景!AL2*0.55+低情景!AL2*0.45</f>
        <v>38.299999999999997</v>
      </c>
      <c r="AM2" s="46">
        <f>高情景!AM2*0.55+低情景!AM2*0.45</f>
        <v>37.299999999999997</v>
      </c>
      <c r="AN2" s="100">
        <f>高情景!AN2*0.55+低情景!AN2*0.45</f>
        <v>36.300000000000004</v>
      </c>
      <c r="AO2" s="46">
        <f>高情景!AO2*0.55+低情景!AO2*0.45</f>
        <v>35.410000000000004</v>
      </c>
      <c r="AP2" s="46">
        <f>高情景!AP2*0.55+低情景!AP2*0.45</f>
        <v>34.520000000000003</v>
      </c>
      <c r="AQ2" s="46">
        <f>高情景!AQ2*0.55+低情景!AQ2*0.45</f>
        <v>33.63000000000001</v>
      </c>
      <c r="AR2" s="46">
        <f>高情景!AR2*0.55+低情景!AR2*0.45</f>
        <v>32.740000000000009</v>
      </c>
      <c r="AS2" s="103">
        <f>高情景!AS2*0.55+低情景!AS2*0.45</f>
        <v>31.85</v>
      </c>
    </row>
    <row r="3" spans="1:46" x14ac:dyDescent="0.15">
      <c r="A3" s="17" t="s">
        <v>8</v>
      </c>
      <c r="B3" s="8" t="s">
        <v>9</v>
      </c>
      <c r="C3" s="9" t="s">
        <v>6</v>
      </c>
      <c r="D3" s="8" t="s">
        <v>10</v>
      </c>
      <c r="E3" s="47">
        <f>高情景!E3*0.5+低情景!E3*0.5</f>
        <v>1.9477</v>
      </c>
      <c r="F3" s="48">
        <f>高情景!F3*0.5+低情景!F3*0.5</f>
        <v>1.9887999999999999</v>
      </c>
      <c r="G3" s="101">
        <f>高情景!G3*0.7+低情景!G3*0.3</f>
        <v>2.0472000000000001</v>
      </c>
      <c r="H3" s="48">
        <f>高情景!H3*0.7+低情景!H3*0.3</f>
        <v>2.0911333333333335</v>
      </c>
      <c r="I3" s="48">
        <f>高情景!I3*0.7+低情景!I3*0.3</f>
        <v>2.1350666666666664</v>
      </c>
      <c r="J3" s="101">
        <f>高情景!J3*0.75+低情景!J3*0.25</f>
        <v>2.1775000000000002</v>
      </c>
      <c r="K3" s="48">
        <f>高情景!K3*0.75+低情景!K3*0.25</f>
        <v>2.1895000000000002</v>
      </c>
      <c r="L3" s="48">
        <f>高情景!L3*0.75+低情景!L3*0.25</f>
        <v>2.2015000000000002</v>
      </c>
      <c r="M3" s="48">
        <f>高情景!M3*0.75+低情景!M3*0.25</f>
        <v>2.2135000000000002</v>
      </c>
      <c r="N3" s="48">
        <f>高情景!N3*0.72+低情景!N3*0.28</f>
        <v>2.2292800000000006</v>
      </c>
      <c r="O3" s="108">
        <f>高情景!O3*0.7+低情景!O3*0.3</f>
        <v>2.2450000000000001</v>
      </c>
      <c r="P3" s="48">
        <f>高情景!P3*0.7+低情景!P3*0.3</f>
        <v>2.258</v>
      </c>
      <c r="Q3" s="48">
        <f>高情景!Q3*0.68+低情景!Q3*0.32</f>
        <v>2.2736000000000001</v>
      </c>
      <c r="R3" s="48">
        <f>高情景!R3*0.65+低情景!R3*0.35</f>
        <v>2.29</v>
      </c>
      <c r="S3" s="48">
        <f>高情景!S3*0.6+低情景!S3*0.4</f>
        <v>2.3079999999999998</v>
      </c>
      <c r="T3" s="101">
        <f>高情景!T3*0.55+低情景!T3*0.45</f>
        <v>2.3250000000000002</v>
      </c>
      <c r="U3" s="48">
        <f>高情景!U3*0.55+低情景!U3*0.45</f>
        <v>2.3254000000000001</v>
      </c>
      <c r="V3" s="48">
        <f>高情景!V3*0.55+低情景!V3*0.45</f>
        <v>2.3258000000000001</v>
      </c>
      <c r="W3" s="48">
        <f>高情景!W3*0.55+低情景!W3*0.45</f>
        <v>2.3262</v>
      </c>
      <c r="X3" s="48">
        <f>高情景!X3*0.55+低情景!X3*0.45</f>
        <v>2.3266</v>
      </c>
      <c r="Y3" s="101">
        <f>高情景!Y3*0.55+低情景!Y3*0.45</f>
        <v>2.327</v>
      </c>
      <c r="Z3" s="48">
        <f>高情景!Z3*0.55+低情景!Z3*0.45</f>
        <v>2.3087999999999997</v>
      </c>
      <c r="AA3" s="48">
        <f>高情景!AA3*0.55+低情景!AA3*0.45</f>
        <v>2.2905999999999995</v>
      </c>
      <c r="AB3" s="48">
        <f>高情景!AB3*0.55+低情景!AB3*0.45</f>
        <v>2.2724000000000002</v>
      </c>
      <c r="AC3" s="48">
        <f>高情景!AC3*0.55+低情景!AC3*0.45</f>
        <v>2.2542</v>
      </c>
      <c r="AD3" s="101">
        <f>高情景!AD3*0.55+低情景!AD3*0.45</f>
        <v>2.2360000000000002</v>
      </c>
      <c r="AE3" s="48">
        <f>高情景!AE3*0.55+低情景!AE3*0.45</f>
        <v>2.2088000000000001</v>
      </c>
      <c r="AF3" s="48">
        <f>高情景!AF3*0.55+低情景!AF3*0.45</f>
        <v>2.1816</v>
      </c>
      <c r="AG3" s="48">
        <f>高情景!AG3*0.55+低情景!AG3*0.45</f>
        <v>2.1544000000000003</v>
      </c>
      <c r="AH3" s="48">
        <f>高情景!AH3*0.55+低情景!AH3*0.45</f>
        <v>2.1272000000000002</v>
      </c>
      <c r="AI3" s="101">
        <f>高情景!AI3*0.55+低情景!AI3*0.45</f>
        <v>2.1000000000000005</v>
      </c>
      <c r="AJ3" s="48">
        <f>高情景!AJ3*0.55+低情景!AJ3*0.45</f>
        <v>2.0610000000000004</v>
      </c>
      <c r="AK3" s="48">
        <f>高情景!AK3*0.55+低情景!AK3*0.45</f>
        <v>2.0220000000000002</v>
      </c>
      <c r="AL3" s="48">
        <f>高情景!AL3*0.55+低情景!AL3*0.45</f>
        <v>1.9830000000000001</v>
      </c>
      <c r="AM3" s="48">
        <f>高情景!AM3*0.55+低情景!AM3*0.45</f>
        <v>1.9440000000000002</v>
      </c>
      <c r="AN3" s="101">
        <f>高情景!AN3*0.55+低情景!AN3*0.45</f>
        <v>1.905</v>
      </c>
      <c r="AO3" s="48">
        <f>高情景!AO3*0.55+低情景!AO3*0.45</f>
        <v>1.8804000000000001</v>
      </c>
      <c r="AP3" s="48">
        <f>高情景!AP3*0.55+低情景!AP3*0.45</f>
        <v>1.8558000000000001</v>
      </c>
      <c r="AQ3" s="48">
        <f>高情景!AQ3*0.55+低情景!AQ3*0.45</f>
        <v>1.8311999999999999</v>
      </c>
      <c r="AR3" s="48">
        <f>高情景!AR3*0.55+低情景!AR3*0.45</f>
        <v>1.8066</v>
      </c>
      <c r="AS3" s="104">
        <f>高情景!AS3*0.55+低情景!AS3*0.45</f>
        <v>1.782</v>
      </c>
    </row>
    <row r="4" spans="1:46" x14ac:dyDescent="0.15">
      <c r="A4" s="17" t="s">
        <v>8</v>
      </c>
      <c r="B4" s="8" t="s">
        <v>11</v>
      </c>
      <c r="C4" s="9" t="s">
        <v>12</v>
      </c>
      <c r="D4" s="8" t="s">
        <v>10</v>
      </c>
      <c r="E4" s="47">
        <f>高情景!E4*0.5+低情景!E4*0.5</f>
        <v>1924.95</v>
      </c>
      <c r="F4" s="48">
        <f>高情景!F4*0.5+低情景!F4*0.5</f>
        <v>2075.84</v>
      </c>
      <c r="G4" s="101">
        <f>高情景!G4*0.7+低情景!G4*0.3</f>
        <v>2201.0999999999995</v>
      </c>
      <c r="H4" s="48">
        <f>高情景!H4*0.7+低情景!H4*0.3</f>
        <v>2309.1</v>
      </c>
      <c r="I4" s="48">
        <f>高情景!I4*0.7+低情景!I4*0.3</f>
        <v>2417.1</v>
      </c>
      <c r="J4" s="101">
        <f>高情景!J4*0.75+低情景!J4*0.25</f>
        <v>2519.75</v>
      </c>
      <c r="K4" s="48">
        <f>高情景!K4*0.75+低情景!K4*0.25</f>
        <v>2590.8000000000002</v>
      </c>
      <c r="L4" s="48">
        <f>高情景!L4*0.75+低情景!L4*0.25</f>
        <v>2661.8500000000004</v>
      </c>
      <c r="M4" s="48">
        <f>高情景!M4*0.75+低情景!M4*0.25</f>
        <v>2732.9</v>
      </c>
      <c r="N4" s="48">
        <f>高情景!N4*0.72+低情景!N4*0.28</f>
        <v>2811.7920000000004</v>
      </c>
      <c r="O4" s="108">
        <f>高情景!O4*0.7+低情景!O4*0.3</f>
        <v>2890</v>
      </c>
      <c r="P4" s="48">
        <f>高情景!P4*0.7+低情景!P4*0.3</f>
        <v>2933</v>
      </c>
      <c r="Q4" s="48">
        <f>高情景!Q4*0.68+低情景!Q4*0.32</f>
        <v>2982.4</v>
      </c>
      <c r="R4" s="48">
        <f>高情景!R4*0.65+低情景!R4*0.35</f>
        <v>3035.5</v>
      </c>
      <c r="S4" s="48">
        <f>高情景!S4*0.6+低情景!S4*0.4</f>
        <v>3096</v>
      </c>
      <c r="T4" s="101">
        <f>高情景!T4*0.55+低情景!T4*0.45</f>
        <v>3157.5</v>
      </c>
      <c r="U4" s="48">
        <f>高情景!U4*0.55+低情景!U4*0.45</f>
        <v>3197.5</v>
      </c>
      <c r="V4" s="48">
        <f>高情景!V4*0.55+低情景!V4*0.45</f>
        <v>3237.5</v>
      </c>
      <c r="W4" s="48">
        <f>高情景!W4*0.55+低情景!W4*0.45</f>
        <v>3277.5</v>
      </c>
      <c r="X4" s="48">
        <f>高情景!X4*0.55+低情景!X4*0.45</f>
        <v>3317.5</v>
      </c>
      <c r="Y4" s="101">
        <f>高情景!Y4*0.55+低情景!Y4*0.45</f>
        <v>3357.5</v>
      </c>
      <c r="Z4" s="48">
        <f>高情景!Z4*0.55+低情景!Z4*0.45</f>
        <v>3380.2000000000003</v>
      </c>
      <c r="AA4" s="48">
        <f>高情景!AA4*0.55+低情景!AA4*0.45</f>
        <v>3402.9000000000005</v>
      </c>
      <c r="AB4" s="48">
        <f>高情景!AB4*0.55+低情景!AB4*0.45</f>
        <v>3425.6000000000004</v>
      </c>
      <c r="AC4" s="48">
        <f>高情景!AC4*0.55+低情景!AC4*0.45</f>
        <v>3448.3</v>
      </c>
      <c r="AD4" s="101">
        <f>高情景!AD4*0.55+低情景!AD4*0.45</f>
        <v>3471</v>
      </c>
      <c r="AE4" s="48">
        <f>高情景!AE4*0.55+低情景!AE4*0.45</f>
        <v>3488.3</v>
      </c>
      <c r="AF4" s="48">
        <f>高情景!AF4*0.55+低情景!AF4*0.45</f>
        <v>3505.6000000000004</v>
      </c>
      <c r="AG4" s="48">
        <f>高情景!AG4*0.55+低情景!AG4*0.45</f>
        <v>3522.9000000000005</v>
      </c>
      <c r="AH4" s="48">
        <f>高情景!AH4*0.55+低情景!AH4*0.45</f>
        <v>3540.2000000000003</v>
      </c>
      <c r="AI4" s="101">
        <f>高情景!AI4*0.55+低情景!AI4*0.45</f>
        <v>3557.5</v>
      </c>
      <c r="AJ4" s="48">
        <f>高情景!AJ4*0.55+低情景!AJ4*0.45</f>
        <v>3577.5</v>
      </c>
      <c r="AK4" s="48">
        <f>高情景!AK4*0.55+低情景!AK4*0.45</f>
        <v>3597.5</v>
      </c>
      <c r="AL4" s="48">
        <f>高情景!AL4*0.55+低情景!AL4*0.45</f>
        <v>3617.5</v>
      </c>
      <c r="AM4" s="48">
        <f>高情景!AM4*0.55+低情景!AM4*0.45</f>
        <v>3637.5</v>
      </c>
      <c r="AN4" s="101">
        <f>高情景!AN4*0.55+低情景!AN4*0.45</f>
        <v>3657.5</v>
      </c>
      <c r="AO4" s="48">
        <f>高情景!AO4*0.55+低情景!AO4*0.45</f>
        <v>3662</v>
      </c>
      <c r="AP4" s="48">
        <f>高情景!AP4*0.55+低情景!AP4*0.45</f>
        <v>3666.5</v>
      </c>
      <c r="AQ4" s="48">
        <f>高情景!AQ4*0.55+低情景!AQ4*0.45</f>
        <v>3671</v>
      </c>
      <c r="AR4" s="48">
        <f>高情景!AR4*0.55+低情景!AR4*0.45</f>
        <v>3675.5</v>
      </c>
      <c r="AS4" s="104">
        <f>高情景!AS4*0.55+低情景!AS4*0.45</f>
        <v>3680</v>
      </c>
    </row>
    <row r="5" spans="1:46" x14ac:dyDescent="0.15">
      <c r="A5" s="18" t="s">
        <v>13</v>
      </c>
      <c r="B5" s="8" t="s">
        <v>14</v>
      </c>
      <c r="C5" s="9" t="s">
        <v>6</v>
      </c>
      <c r="D5" s="8" t="s">
        <v>15</v>
      </c>
      <c r="E5" s="47">
        <f>高情景!E5*0.5+低情景!E5*0.5</f>
        <v>8.6671999999999993</v>
      </c>
      <c r="F5" s="48">
        <f>高情景!F5*0.5+低情景!F5*0.5</f>
        <v>9.8053000000000008</v>
      </c>
      <c r="G5" s="101">
        <f>高情景!G5*0.7+低情景!G5*0.3</f>
        <v>9.6786999999999992</v>
      </c>
      <c r="H5" s="48">
        <f>高情景!H5*0.7+低情景!H5*0.3</f>
        <v>10.312693060853464</v>
      </c>
      <c r="I5" s="48">
        <f>高情景!I5*0.7+低情景!I5*0.3</f>
        <v>10.94668612170693</v>
      </c>
      <c r="J5" s="101">
        <f>高情景!J5*0.75+低情景!J5*0.25</f>
        <v>11.647234810046378</v>
      </c>
      <c r="K5" s="48">
        <f>高情景!K5*0.75+低情景!K5*0.25</f>
        <v>11.865917586071737</v>
      </c>
      <c r="L5" s="48">
        <f>高情景!L5*0.75+低情景!L5*0.25</f>
        <v>12.084600362097097</v>
      </c>
      <c r="M5" s="48">
        <f>高情景!M5*0.75+低情景!M5*0.25</f>
        <v>12.30328313812246</v>
      </c>
      <c r="N5" s="48">
        <f>高情景!N5*0.72+低情景!N5*0.28</f>
        <v>12.459213465375324</v>
      </c>
      <c r="O5" s="108">
        <f>高情景!O5*0.7+低情景!O5*0.3</f>
        <v>12.626553328768644</v>
      </c>
      <c r="P5" s="48">
        <f>高情景!P5*0.7+低情景!P5*0.3</f>
        <v>12.599931077774251</v>
      </c>
      <c r="Q5" s="48">
        <f>高情景!Q5*0.68+低情景!Q5*0.32</f>
        <v>12.521585596276473</v>
      </c>
      <c r="R5" s="48">
        <f>高情景!R5*0.65+低情景!R5*0.35</f>
        <v>12.409772142100024</v>
      </c>
      <c r="S5" s="48">
        <f>高情景!S5*0.6+低情景!S5*0.4</f>
        <v>12.231022742566253</v>
      </c>
      <c r="T5" s="101">
        <f>高情景!T5*0.55+低情景!T5*0.45</f>
        <v>12.037060628178544</v>
      </c>
      <c r="U5" s="48">
        <f>高情景!U5*0.55+低情景!U5*0.45</f>
        <v>11.876376327533823</v>
      </c>
      <c r="V5" s="48">
        <f>高情景!V5*0.55+低情景!V5*0.45</f>
        <v>11.7156920268891</v>
      </c>
      <c r="W5" s="48">
        <f>高情景!W5*0.55+低情景!W5*0.45</f>
        <v>11.555007726244376</v>
      </c>
      <c r="X5" s="48">
        <f>高情景!X5*0.55+低情景!X5*0.45</f>
        <v>11.394323425599655</v>
      </c>
      <c r="Y5" s="101">
        <f>高情景!Y5*0.55+低情景!Y5*0.45</f>
        <v>11.233639124954937</v>
      </c>
      <c r="Z5" s="48">
        <f>高情景!Z5*0.55+低情景!Z5*0.45</f>
        <v>10.982629329864958</v>
      </c>
      <c r="AA5" s="48">
        <f>高情景!AA5*0.55+低情景!AA5*0.45</f>
        <v>10.73161953477498</v>
      </c>
      <c r="AB5" s="48">
        <f>高情景!AB5*0.55+低情景!AB5*0.45</f>
        <v>10.480609739685001</v>
      </c>
      <c r="AC5" s="48">
        <f>高情景!AC5*0.55+低情景!AC5*0.45</f>
        <v>10.229599944595023</v>
      </c>
      <c r="AD5" s="101">
        <f>高情景!AD5*0.55+低情景!AD5*0.45</f>
        <v>9.9785901495050418</v>
      </c>
      <c r="AE5" s="48">
        <f>高情景!AE5*0.55+低情景!AE5*0.45</f>
        <v>9.7190232023097209</v>
      </c>
      <c r="AF5" s="48">
        <f>高情景!AF5*0.55+低情景!AF5*0.45</f>
        <v>9.4594562551144019</v>
      </c>
      <c r="AG5" s="48">
        <f>高情景!AG5*0.55+低情景!AG5*0.45</f>
        <v>9.1998893079190829</v>
      </c>
      <c r="AH5" s="48">
        <f>高情景!AH5*0.55+低情景!AH5*0.45</f>
        <v>8.9403223607237639</v>
      </c>
      <c r="AI5" s="101">
        <f>高情景!AI5*0.55+低情景!AI5*0.45</f>
        <v>8.6807554135284448</v>
      </c>
      <c r="AJ5" s="48">
        <f>高情景!AJ5*0.55+低情景!AJ5*0.45</f>
        <v>8.450663101362629</v>
      </c>
      <c r="AK5" s="48">
        <f>高情景!AK5*0.55+低情景!AK5*0.45</f>
        <v>8.2205707891968149</v>
      </c>
      <c r="AL5" s="48">
        <f>高情景!AL5*0.55+低情景!AL5*0.45</f>
        <v>7.990478477031</v>
      </c>
      <c r="AM5" s="48">
        <f>高情景!AM5*0.55+低情景!AM5*0.45</f>
        <v>7.7603861648651868</v>
      </c>
      <c r="AN5" s="101">
        <f>高情景!AN5*0.55+低情景!AN5*0.45</f>
        <v>7.5302938526993728</v>
      </c>
      <c r="AO5" s="48">
        <f>高情景!AO5*0.55+低情景!AO5*0.45</f>
        <v>7.3018234821594987</v>
      </c>
      <c r="AP5" s="48">
        <f>高情景!AP5*0.55+低情景!AP5*0.45</f>
        <v>7.0733531116196247</v>
      </c>
      <c r="AQ5" s="48">
        <f>高情景!AQ5*0.55+低情景!AQ5*0.45</f>
        <v>6.8448827410797497</v>
      </c>
      <c r="AR5" s="48">
        <f>高情景!AR5*0.55+低情景!AR5*0.45</f>
        <v>6.6164123705398747</v>
      </c>
      <c r="AS5" s="104">
        <f>高情景!AS5*0.55+低情景!AS5*0.45</f>
        <v>6.3879419999999989</v>
      </c>
    </row>
    <row r="6" spans="1:46" x14ac:dyDescent="0.15">
      <c r="A6" s="17" t="s">
        <v>16</v>
      </c>
      <c r="B6" s="39" t="s">
        <v>17</v>
      </c>
      <c r="C6" s="9" t="s">
        <v>18</v>
      </c>
      <c r="D6" s="8" t="s">
        <v>52</v>
      </c>
      <c r="E6" s="47">
        <f>高情景!E6*0.5+低情景!E6*0.5</f>
        <v>172</v>
      </c>
      <c r="F6" s="48">
        <f>高情景!F6*0.5+低情景!F6*0.5</f>
        <v>191</v>
      </c>
      <c r="G6" s="101">
        <f>高情景!G6*0.7+低情景!G6*0.3</f>
        <v>193.99999999999997</v>
      </c>
      <c r="H6" s="48">
        <f>高情景!H6*0.7+低情景!H6*0.3</f>
        <v>219.50933697995856</v>
      </c>
      <c r="I6" s="48">
        <f>高情景!I6*0.7+低情景!I6*0.3</f>
        <v>245.01867395991712</v>
      </c>
      <c r="J6" s="101">
        <f>高情景!J6*0.75+低情景!J6*0.25</f>
        <v>270.52801093987568</v>
      </c>
      <c r="K6" s="48">
        <f>高情景!K6*0.75+低情景!K6*0.25</f>
        <v>283.61807598535358</v>
      </c>
      <c r="L6" s="48">
        <f>高情景!L6*0.75+低情景!L6*0.25</f>
        <v>296.70814103083143</v>
      </c>
      <c r="M6" s="48">
        <f>高情景!M6*0.75+低情景!M6*0.25</f>
        <v>309.79820607630927</v>
      </c>
      <c r="N6" s="48">
        <f>高情景!N6*0.72+低情景!N6*0.28</f>
        <v>323.30715320324248</v>
      </c>
      <c r="O6" s="108">
        <f>高情景!O6*0.7+低情景!O6*0.3</f>
        <v>336.85100717029678</v>
      </c>
      <c r="P6" s="48">
        <f>高情景!P6*0.7+低情景!P6*0.3</f>
        <v>344.87958039818989</v>
      </c>
      <c r="Q6" s="48">
        <f>高情景!Q6*0.68+低情景!Q6*0.32</f>
        <v>353.39684938778089</v>
      </c>
      <c r="R6" s="48">
        <f>高情景!R6*0.65+低情景!R6*0.35</f>
        <v>362.33300045882709</v>
      </c>
      <c r="S6" s="48">
        <f>高情景!S6*0.6+低情景!S6*0.4</f>
        <v>372.1069156927839</v>
      </c>
      <c r="T6" s="101">
        <f>高情景!T6*0.55+低情景!T6*0.45</f>
        <v>382.22989932795338</v>
      </c>
      <c r="U6" s="48">
        <f>高情景!U6*0.55+低情景!U6*0.45</f>
        <v>387.29139114553811</v>
      </c>
      <c r="V6" s="48">
        <f>高情景!V6*0.55+低情景!V6*0.45</f>
        <v>392.35288296312285</v>
      </c>
      <c r="W6" s="48">
        <f>高情景!W6*0.55+低情景!W6*0.45</f>
        <v>397.4143747807077</v>
      </c>
      <c r="X6" s="48">
        <f>高情景!X6*0.55+低情景!X6*0.45</f>
        <v>402.47586659829244</v>
      </c>
      <c r="Y6" s="101">
        <f>高情景!Y6*0.55+低情景!Y6*0.45</f>
        <v>407.53735841587724</v>
      </c>
      <c r="Z6" s="48">
        <f>高情景!Z6*0.55+低情景!Z6*0.45</f>
        <v>411.63891213012698</v>
      </c>
      <c r="AA6" s="48">
        <f>高情景!AA6*0.55+低情景!AA6*0.45</f>
        <v>415.74046584437667</v>
      </c>
      <c r="AB6" s="48">
        <f>高情景!AB6*0.55+低情景!AB6*0.45</f>
        <v>419.84201955862636</v>
      </c>
      <c r="AC6" s="48">
        <f>高情景!AC6*0.55+低情景!AC6*0.45</f>
        <v>423.94357327287611</v>
      </c>
      <c r="AD6" s="101">
        <f>高情景!AD6*0.55+低情景!AD6*0.45</f>
        <v>428.04512698712585</v>
      </c>
      <c r="AE6" s="48">
        <f>高情景!AE6*0.55+低情景!AE6*0.45</f>
        <v>431.36127679864694</v>
      </c>
      <c r="AF6" s="48">
        <f>高情景!AF6*0.55+低情景!AF6*0.45</f>
        <v>434.67742661016797</v>
      </c>
      <c r="AG6" s="48">
        <f>高情景!AG6*0.55+低情景!AG6*0.45</f>
        <v>437.993576421689</v>
      </c>
      <c r="AH6" s="48">
        <f>高情景!AH6*0.55+低情景!AH6*0.45</f>
        <v>441.30972623321003</v>
      </c>
      <c r="AI6" s="101">
        <f>高情景!AI6*0.55+低情景!AI6*0.45</f>
        <v>444.62587604473117</v>
      </c>
      <c r="AJ6" s="48">
        <f>高情景!AJ6*0.55+低情景!AJ6*0.45</f>
        <v>447.62786429516075</v>
      </c>
      <c r="AK6" s="48">
        <f>高情景!AK6*0.55+低情景!AK6*0.45</f>
        <v>450.62985254559027</v>
      </c>
      <c r="AL6" s="48">
        <f>高情景!AL6*0.55+低情景!AL6*0.45</f>
        <v>453.6318407960199</v>
      </c>
      <c r="AM6" s="48">
        <f>高情景!AM6*0.55+低情景!AM6*0.45</f>
        <v>456.63382904644948</v>
      </c>
      <c r="AN6" s="101">
        <f>高情景!AN6*0.55+低情景!AN6*0.45</f>
        <v>459.63581729687905</v>
      </c>
      <c r="AO6" s="48">
        <f>高情景!AO6*0.55+低情景!AO6*0.45</f>
        <v>462.28873714609585</v>
      </c>
      <c r="AP6" s="48">
        <f>高情景!AP6*0.55+低情景!AP6*0.45</f>
        <v>464.94165699531277</v>
      </c>
      <c r="AQ6" s="48">
        <f>高情景!AQ6*0.55+低情景!AQ6*0.45</f>
        <v>467.59457684452957</v>
      </c>
      <c r="AR6" s="48">
        <f>高情景!AR6*0.55+低情景!AR6*0.45</f>
        <v>470.24749669374637</v>
      </c>
      <c r="AS6" s="104">
        <f>高情景!AS6*0.55+低情景!AS6*0.45</f>
        <v>472.90041654296328</v>
      </c>
    </row>
    <row r="7" spans="1:46" x14ac:dyDescent="0.15">
      <c r="A7" s="17" t="s">
        <v>16</v>
      </c>
      <c r="B7" s="8" t="s">
        <v>20</v>
      </c>
      <c r="C7" s="9" t="s">
        <v>18</v>
      </c>
      <c r="D7" s="8" t="s">
        <v>51</v>
      </c>
      <c r="E7" s="47">
        <f>高情景!E7*0.5+低情景!E7*0.5</f>
        <v>9269</v>
      </c>
      <c r="F7" s="48">
        <f>高情景!F7*0.5+低情景!F7*0.5</f>
        <v>8500</v>
      </c>
      <c r="G7" s="101">
        <f>高情景!G7*0.7+低情景!G7*0.3</f>
        <v>9000</v>
      </c>
      <c r="H7" s="48">
        <f>高情景!H7*0.7+低情景!H7*0.3</f>
        <v>9680.4726947536765</v>
      </c>
      <c r="I7" s="48">
        <f>高情景!I7*0.7+低情景!I7*0.3</f>
        <v>10360.945389507351</v>
      </c>
      <c r="J7" s="101">
        <f>高情景!J7*0.75+低情景!J7*0.25</f>
        <v>11069.441988028189</v>
      </c>
      <c r="K7" s="48">
        <f>高情景!K7*0.75+低情景!K7*0.25</f>
        <v>11585.081817343933</v>
      </c>
      <c r="L7" s="48">
        <f>高情景!L7*0.75+低情景!L7*0.25</f>
        <v>12100.721646659676</v>
      </c>
      <c r="M7" s="48">
        <f>高情景!M7*0.75+低情景!M7*0.25</f>
        <v>12616.361475975422</v>
      </c>
      <c r="N7" s="48">
        <f>高情景!N7*0.72+低情景!N7*0.28</f>
        <v>13082.903425891102</v>
      </c>
      <c r="O7" s="108">
        <f>高情景!O7*0.7+低情景!O7*0.3</f>
        <v>13552.359861798563</v>
      </c>
      <c r="P7" s="48">
        <f>高情景!P7*0.7+低情景!P7*0.3</f>
        <v>13825.873162566044</v>
      </c>
      <c r="Q7" s="48">
        <f>高情景!Q7*0.68+低情景!Q7*0.32</f>
        <v>14055.893364686894</v>
      </c>
      <c r="R7" s="48">
        <f>高情景!R7*0.65+低情景!R7*0.35</f>
        <v>14257.441280580308</v>
      </c>
      <c r="S7" s="48">
        <f>高情景!S7*0.6+低情景!S7*0.4</f>
        <v>14402.044624018854</v>
      </c>
      <c r="T7" s="101">
        <f>高情景!T7*0.55+低情景!T7*0.45</f>
        <v>14533.196493649162</v>
      </c>
      <c r="U7" s="48">
        <f>高情景!U7*0.55+低情景!U7*0.45</f>
        <v>14542.164142854654</v>
      </c>
      <c r="V7" s="48">
        <f>高情景!V7*0.55+低情景!V7*0.45</f>
        <v>14551.131792060145</v>
      </c>
      <c r="W7" s="48">
        <f>高情景!W7*0.55+低情景!W7*0.45</f>
        <v>14560.099441265636</v>
      </c>
      <c r="X7" s="48">
        <f>高情景!X7*0.55+低情景!X7*0.45</f>
        <v>14569.067090471128</v>
      </c>
      <c r="Y7" s="101">
        <f>高情景!Y7*0.55+低情景!Y7*0.45</f>
        <v>14578.034739676617</v>
      </c>
      <c r="Z7" s="48">
        <f>高情景!Z7*0.55+低情景!Z7*0.45</f>
        <v>14462.576256155919</v>
      </c>
      <c r="AA7" s="48">
        <f>高情景!AA7*0.55+低情景!AA7*0.45</f>
        <v>14347.117772635222</v>
      </c>
      <c r="AB7" s="48">
        <f>高情景!AB7*0.55+低情景!AB7*0.45</f>
        <v>14231.659289114523</v>
      </c>
      <c r="AC7" s="48">
        <f>高情景!AC7*0.55+低情景!AC7*0.45</f>
        <v>14116.200805593822</v>
      </c>
      <c r="AD7" s="101">
        <f>高情景!AD7*0.55+低情景!AD7*0.45</f>
        <v>14000.742322073122</v>
      </c>
      <c r="AE7" s="48">
        <f>高情景!AE7*0.55+低情景!AE7*0.45</f>
        <v>13776.551091935842</v>
      </c>
      <c r="AF7" s="48">
        <f>高情景!AF7*0.55+低情景!AF7*0.45</f>
        <v>13552.359861798563</v>
      </c>
      <c r="AG7" s="48">
        <f>高情景!AG7*0.55+低情景!AG7*0.45</f>
        <v>13328.168631661283</v>
      </c>
      <c r="AH7" s="48">
        <f>高情景!AH7*0.55+低情景!AH7*0.45</f>
        <v>13103.977401524004</v>
      </c>
      <c r="AI7" s="101">
        <f>高情景!AI7*0.55+低情景!AI7*0.45</f>
        <v>12879.786171386724</v>
      </c>
      <c r="AJ7" s="48">
        <f>高情景!AJ7*0.55+低情景!AJ7*0.45</f>
        <v>12601.789046016496</v>
      </c>
      <c r="AK7" s="48">
        <f>高情景!AK7*0.55+低情景!AK7*0.45</f>
        <v>12323.79192064627</v>
      </c>
      <c r="AL7" s="48">
        <f>高情景!AL7*0.55+低情景!AL7*0.45</f>
        <v>12045.794795276042</v>
      </c>
      <c r="AM7" s="48">
        <f>高情景!AM7*0.55+低情景!AM7*0.45</f>
        <v>11767.797669905816</v>
      </c>
      <c r="AN7" s="101">
        <f>高情景!AN7*0.55+低情景!AN7*0.45</f>
        <v>11489.800544535588</v>
      </c>
      <c r="AO7" s="48">
        <f>高情景!AO7*0.55+低情景!AO7*0.45</f>
        <v>11191.626208453006</v>
      </c>
      <c r="AP7" s="48">
        <f>高情景!AP7*0.55+低情景!AP7*0.45</f>
        <v>10893.451872370424</v>
      </c>
      <c r="AQ7" s="48">
        <f>高情景!AQ7*0.55+低情景!AQ7*0.45</f>
        <v>10595.277536287844</v>
      </c>
      <c r="AR7" s="48">
        <f>高情景!AR7*0.55+低情景!AR7*0.45</f>
        <v>10297.103200205262</v>
      </c>
      <c r="AS7" s="104">
        <f>高情景!AS7*0.55+低情景!AS7*0.45</f>
        <v>9998.9288641226776</v>
      </c>
    </row>
    <row r="8" spans="1:46" x14ac:dyDescent="0.15">
      <c r="A8" s="18" t="s">
        <v>21</v>
      </c>
      <c r="B8" s="8" t="s">
        <v>22</v>
      </c>
      <c r="C8" s="9" t="s">
        <v>6</v>
      </c>
      <c r="D8" s="44" t="s">
        <v>23</v>
      </c>
      <c r="E8" s="47">
        <f>高情景!E8*0.5+低情景!E8*0.5</f>
        <v>31.55</v>
      </c>
      <c r="F8" s="48">
        <f>高情景!F8*0.5+低情景!F8*0.5</f>
        <v>31.4</v>
      </c>
      <c r="G8" s="101">
        <f>高情景!G8*0.7+低情景!G8*0.3</f>
        <v>28.79</v>
      </c>
      <c r="H8" s="48">
        <f>高情景!H8*0.7+低情景!H8*0.3</f>
        <v>29.545899406936947</v>
      </c>
      <c r="I8" s="48">
        <f>高情景!I8*0.7+低情景!I8*0.3</f>
        <v>30.301798813873894</v>
      </c>
      <c r="J8" s="101">
        <f>高情景!J8*0.75+低情景!J8*0.25</f>
        <v>31.151368104788574</v>
      </c>
      <c r="K8" s="48">
        <f>高情景!K8*0.75+低情景!K8*0.25</f>
        <v>31.427521374869844</v>
      </c>
      <c r="L8" s="48">
        <f>高情景!L8*0.75+低情景!L8*0.25</f>
        <v>31.703674644951107</v>
      </c>
      <c r="M8" s="48">
        <f>高情景!M8*0.75+低情景!M8*0.25</f>
        <v>31.97982791503237</v>
      </c>
      <c r="N8" s="48">
        <f>高情景!N8*0.72+低情景!N8*0.28</f>
        <v>32.142614519217943</v>
      </c>
      <c r="O8" s="108">
        <f>高情景!O8*0.7+低情景!O8*0.3</f>
        <v>32.319371372239971</v>
      </c>
      <c r="P8" s="48">
        <f>高情景!P8*0.7+低情景!P8*0.3</f>
        <v>31.921009353623546</v>
      </c>
      <c r="Q8" s="48">
        <f>高情景!Q8*0.68+低情景!Q8*0.32</f>
        <v>31.437126695217422</v>
      </c>
      <c r="R8" s="48">
        <f>高情景!R8*0.65+低情景!R8*0.35</f>
        <v>30.909964458656784</v>
      </c>
      <c r="S8" s="48">
        <f>高情景!S8*0.6+低情景!S8*0.4</f>
        <v>30.296243065787124</v>
      </c>
      <c r="T8" s="101">
        <f>高情景!T8*0.55+低情景!T8*0.45</f>
        <v>29.681483156398144</v>
      </c>
      <c r="U8" s="48">
        <f>高情景!U8*0.55+低情景!U8*0.45</f>
        <v>29.109426496617019</v>
      </c>
      <c r="V8" s="48">
        <f>高情景!V8*0.55+低情景!V8*0.45</f>
        <v>28.5373698368359</v>
      </c>
      <c r="W8" s="48">
        <f>高情景!W8*0.55+低情景!W8*0.45</f>
        <v>27.965313177054778</v>
      </c>
      <c r="X8" s="48">
        <f>高情景!X8*0.55+低情景!X8*0.45</f>
        <v>27.393256517273656</v>
      </c>
      <c r="Y8" s="101">
        <f>高情景!Y8*0.55+低情景!Y8*0.45</f>
        <v>26.821199857492534</v>
      </c>
      <c r="Z8" s="48">
        <f>高情景!Z8*0.55+低情景!Z8*0.45</f>
        <v>26.035852641233859</v>
      </c>
      <c r="AA8" s="48">
        <f>高情景!AA8*0.55+低情景!AA8*0.45</f>
        <v>25.250505424975184</v>
      </c>
      <c r="AB8" s="48">
        <f>高情景!AB8*0.55+低情景!AB8*0.45</f>
        <v>24.46515820871651</v>
      </c>
      <c r="AC8" s="48">
        <f>高情景!AC8*0.55+低情景!AC8*0.45</f>
        <v>23.679810992457835</v>
      </c>
      <c r="AD8" s="101">
        <f>高情景!AD8*0.55+低情景!AD8*0.45</f>
        <v>22.894463776199167</v>
      </c>
      <c r="AE8" s="48">
        <f>高情景!AE8*0.55+低情景!AE8*0.45</f>
        <v>22.332252643941004</v>
      </c>
      <c r="AF8" s="48">
        <f>高情景!AF8*0.55+低情景!AF8*0.45</f>
        <v>21.770041511682837</v>
      </c>
      <c r="AG8" s="48">
        <f>高情景!AG8*0.55+低情景!AG8*0.45</f>
        <v>21.207830379424671</v>
      </c>
      <c r="AH8" s="48">
        <f>高情景!AH8*0.55+低情景!AH8*0.45</f>
        <v>20.645619247166508</v>
      </c>
      <c r="AI8" s="101">
        <f>高情景!AI8*0.55+低情景!AI8*0.45</f>
        <v>20.083408114908337</v>
      </c>
      <c r="AJ8" s="48">
        <f>高情景!AJ8*0.55+低情景!AJ8*0.45</f>
        <v>19.712473062577217</v>
      </c>
      <c r="AK8" s="48">
        <f>高情景!AK8*0.55+低情景!AK8*0.45</f>
        <v>19.341538010246097</v>
      </c>
      <c r="AL8" s="48">
        <f>高情景!AL8*0.55+低情景!AL8*0.45</f>
        <v>18.970602957914974</v>
      </c>
      <c r="AM8" s="48">
        <f>高情景!AM8*0.55+低情景!AM8*0.45</f>
        <v>18.599667905583853</v>
      </c>
      <c r="AN8" s="101">
        <f>高情景!AN8*0.55+低情景!AN8*0.45</f>
        <v>18.228732853252737</v>
      </c>
      <c r="AO8" s="48">
        <f>高情景!AO8*0.55+低情景!AO8*0.45</f>
        <v>18.03860999484931</v>
      </c>
      <c r="AP8" s="48">
        <f>高情景!AP8*0.55+低情景!AP8*0.45</f>
        <v>17.84848713644589</v>
      </c>
      <c r="AQ8" s="48">
        <f>高情景!AQ8*0.55+低情景!AQ8*0.45</f>
        <v>17.658364278042463</v>
      </c>
      <c r="AR8" s="48">
        <f>高情景!AR8*0.55+低情景!AR8*0.45</f>
        <v>17.468241419639043</v>
      </c>
      <c r="AS8" s="104">
        <f>高情景!AS8*0.55+低情景!AS8*0.45</f>
        <v>17.278118561235615</v>
      </c>
    </row>
    <row r="9" spans="1:46" x14ac:dyDescent="0.15">
      <c r="A9" s="18" t="s">
        <v>24</v>
      </c>
      <c r="B9" s="8" t="s">
        <v>25</v>
      </c>
      <c r="C9" s="9" t="s">
        <v>18</v>
      </c>
      <c r="D9" s="8" t="s">
        <v>26</v>
      </c>
      <c r="E9" s="47">
        <f>高情景!E9*0.5+低情景!E9*0.5</f>
        <v>12700.63</v>
      </c>
      <c r="F9" s="48">
        <f>高情景!F9*0.5+低情景!F9*0.5</f>
        <v>13583.87</v>
      </c>
      <c r="G9" s="101">
        <f>高情景!G9*0.7+低情景!G9*0.3</f>
        <v>13691.4</v>
      </c>
      <c r="H9" s="48">
        <f>高情景!H9*0.7+低情景!H9*0.3</f>
        <v>14410.933333333331</v>
      </c>
      <c r="I9" s="48">
        <f>高情景!I9*0.7+低情景!I9*0.3</f>
        <v>15130.466666666665</v>
      </c>
      <c r="J9" s="101">
        <f>高情景!J9*0.75+低情景!J9*0.25</f>
        <v>15875</v>
      </c>
      <c r="K9" s="48">
        <f>高情景!K9*0.75+低情景!K9*0.25</f>
        <v>16250</v>
      </c>
      <c r="L9" s="48">
        <f>高情景!L9*0.75+低情景!L9*0.25</f>
        <v>16625</v>
      </c>
      <c r="M9" s="48">
        <f>高情景!M9*0.75+低情景!M9*0.25</f>
        <v>17000</v>
      </c>
      <c r="N9" s="48">
        <f>高情景!N9*0.72+低情景!N9*0.28</f>
        <v>17348</v>
      </c>
      <c r="O9" s="108">
        <f>高情景!O9*0.7+低情景!O9*0.3</f>
        <v>17700</v>
      </c>
      <c r="P9" s="48">
        <f>高情景!P9*0.7+低情景!P9*0.3</f>
        <v>17870</v>
      </c>
      <c r="Q9" s="48">
        <f>高情景!Q9*0.68+低情景!Q9*0.32</f>
        <v>18016</v>
      </c>
      <c r="R9" s="48">
        <f>高情景!R9*0.65+低情景!R9*0.35</f>
        <v>18145</v>
      </c>
      <c r="S9" s="48">
        <f>高情景!S9*0.6+低情景!S9*0.4</f>
        <v>18240</v>
      </c>
      <c r="T9" s="101">
        <f>高情景!T9*0.55+低情景!T9*0.45</f>
        <v>18325</v>
      </c>
      <c r="U9" s="48">
        <f>高情景!U9*0.55+低情景!U9*0.45</f>
        <v>18335</v>
      </c>
      <c r="V9" s="48">
        <f>高情景!V9*0.55+低情景!V9*0.45</f>
        <v>18345</v>
      </c>
      <c r="W9" s="48">
        <f>高情景!W9*0.55+低情景!W9*0.45</f>
        <v>18355</v>
      </c>
      <c r="X9" s="48">
        <f>高情景!X9*0.55+低情景!X9*0.45</f>
        <v>18365</v>
      </c>
      <c r="Y9" s="101">
        <f>高情景!Y9*0.55+低情景!Y9*0.45</f>
        <v>18375</v>
      </c>
      <c r="Z9" s="48">
        <f>高情景!Z9*0.55+低情景!Z9*0.45</f>
        <v>18230</v>
      </c>
      <c r="AA9" s="48">
        <f>高情景!AA9*0.55+低情景!AA9*0.45</f>
        <v>18085</v>
      </c>
      <c r="AB9" s="48">
        <f>高情景!AB9*0.55+低情景!AB9*0.45</f>
        <v>17940</v>
      </c>
      <c r="AC9" s="48">
        <f>高情景!AC9*0.55+低情景!AC9*0.45</f>
        <v>17795</v>
      </c>
      <c r="AD9" s="101">
        <f>高情景!AD9*0.55+低情景!AD9*0.45</f>
        <v>17650</v>
      </c>
      <c r="AE9" s="48">
        <f>高情景!AE9*0.55+低情景!AE9*0.45</f>
        <v>17446</v>
      </c>
      <c r="AF9" s="48">
        <f>高情景!AF9*0.55+低情景!AF9*0.45</f>
        <v>17242</v>
      </c>
      <c r="AG9" s="48">
        <f>高情景!AG9*0.55+低情景!AG9*0.45</f>
        <v>17038</v>
      </c>
      <c r="AH9" s="48">
        <f>高情景!AH9*0.55+低情景!AH9*0.45</f>
        <v>16834</v>
      </c>
      <c r="AI9" s="101">
        <f>高情景!AI9*0.55+低情景!AI9*0.45</f>
        <v>16630</v>
      </c>
      <c r="AJ9" s="48">
        <f>高情景!AJ9*0.55+低情景!AJ9*0.45</f>
        <v>16379</v>
      </c>
      <c r="AK9" s="48">
        <f>高情景!AK9*0.55+低情景!AK9*0.45</f>
        <v>16128</v>
      </c>
      <c r="AL9" s="48">
        <f>高情景!AL9*0.55+低情景!AL9*0.45</f>
        <v>15877</v>
      </c>
      <c r="AM9" s="48">
        <f>高情景!AM9*0.55+低情景!AM9*0.45</f>
        <v>15626</v>
      </c>
      <c r="AN9" s="101">
        <f>高情景!AN9*0.55+低情景!AN9*0.45</f>
        <v>15375</v>
      </c>
      <c r="AO9" s="48">
        <f>高情景!AO9*0.55+低情景!AO9*0.45</f>
        <v>15075</v>
      </c>
      <c r="AP9" s="48">
        <f>高情景!AP9*0.55+低情景!AP9*0.45</f>
        <v>14775</v>
      </c>
      <c r="AQ9" s="48">
        <f>高情景!AQ9*0.55+低情景!AQ9*0.45</f>
        <v>14475</v>
      </c>
      <c r="AR9" s="48">
        <f>高情景!AR9*0.55+低情景!AR9*0.45</f>
        <v>14175</v>
      </c>
      <c r="AS9" s="104">
        <f>高情景!AS9*0.55+低情景!AS9*0.45</f>
        <v>13875</v>
      </c>
    </row>
    <row r="10" spans="1:46" x14ac:dyDescent="0.15">
      <c r="A10" s="17" t="s">
        <v>27</v>
      </c>
      <c r="B10" s="8" t="s">
        <v>28</v>
      </c>
      <c r="C10" s="9" t="s">
        <v>6</v>
      </c>
      <c r="D10" s="8" t="s">
        <v>29</v>
      </c>
      <c r="E10" s="47">
        <f>高情景!E10*0.5+低情景!E10*0.5</f>
        <v>6.7441000000000004</v>
      </c>
      <c r="F10" s="48">
        <f>高情景!F10*0.5+低情景!F10*0.5</f>
        <v>7</v>
      </c>
      <c r="G10" s="101">
        <f>高情景!G10*0.7+低情景!G10*0.3</f>
        <v>6.7590000000000003</v>
      </c>
      <c r="H10" s="48">
        <f>高情景!H10*0.7+低情景!H10*0.3</f>
        <v>6.9040495310668231</v>
      </c>
      <c r="I10" s="48">
        <f>高情景!I10*0.7+低情景!I10*0.3</f>
        <v>7.0490990621336449</v>
      </c>
      <c r="J10" s="101">
        <f>高情景!J10*0.75+低情景!J10*0.25</f>
        <v>7.1891962192262593</v>
      </c>
      <c r="K10" s="48">
        <f>高情景!K10*0.75+低情景!K10*0.25</f>
        <v>7.2288152110199295</v>
      </c>
      <c r="L10" s="48">
        <f>高情景!L10*0.75+低情景!L10*0.25</f>
        <v>7.2684342028135998</v>
      </c>
      <c r="M10" s="48">
        <f>高情景!M10*0.75+低情景!M10*0.25</f>
        <v>7.3080531946072682</v>
      </c>
      <c r="N10" s="48">
        <f>高情景!N10*0.72+低情景!N10*0.28</f>
        <v>7.3601521688159446</v>
      </c>
      <c r="O10" s="108">
        <f>高情景!O10*0.7+低情景!O10*0.3</f>
        <v>7.4120530480656495</v>
      </c>
      <c r="P10" s="48">
        <f>高情景!P10*0.7+低情景!P10*0.3</f>
        <v>7.4549736225087919</v>
      </c>
      <c r="Q10" s="48">
        <f>高情景!Q10*0.68+低情景!Q10*0.32</f>
        <v>7.5064783118405627</v>
      </c>
      <c r="R10" s="48">
        <f>高情景!R10*0.65+低情景!R10*0.35</f>
        <v>7.5606242672919093</v>
      </c>
      <c r="S10" s="48">
        <f>高情景!S10*0.6+低情景!S10*0.4</f>
        <v>7.6200527549824137</v>
      </c>
      <c r="T10" s="101">
        <f>高情景!T10*0.55+低情景!T10*0.45</f>
        <v>7.6761796600234451</v>
      </c>
      <c r="U10" s="48">
        <f>高情景!U10*0.55+低情景!U10*0.45</f>
        <v>7.6775002930832343</v>
      </c>
      <c r="V10" s="48">
        <f>高情景!V10*0.55+低情景!V10*0.45</f>
        <v>7.6788209261430236</v>
      </c>
      <c r="W10" s="48">
        <f>高情景!W10*0.55+低情景!W10*0.45</f>
        <v>7.6801415592028128</v>
      </c>
      <c r="X10" s="48">
        <f>高情景!X10*0.55+低情景!X10*0.45</f>
        <v>7.6814621922626021</v>
      </c>
      <c r="Y10" s="101">
        <f>高情景!Y10*0.55+低情景!Y10*0.45</f>
        <v>7.6827828253223904</v>
      </c>
      <c r="Z10" s="48">
        <f>高情景!Z10*0.55+低情景!Z10*0.45</f>
        <v>7.6226940211019922</v>
      </c>
      <c r="AA10" s="48">
        <f>高情景!AA10*0.55+低情景!AA10*0.45</f>
        <v>7.562605216881594</v>
      </c>
      <c r="AB10" s="48">
        <f>高情景!AB10*0.55+低情景!AB10*0.45</f>
        <v>7.502516412661195</v>
      </c>
      <c r="AC10" s="48">
        <f>高情景!AC10*0.55+低情景!AC10*0.45</f>
        <v>7.4424276084407968</v>
      </c>
      <c r="AD10" s="101">
        <f>高情景!AD10*0.55+低情景!AD10*0.45</f>
        <v>7.3823388042203977</v>
      </c>
      <c r="AE10" s="48">
        <f>高情景!AE10*0.55+低情景!AE10*0.45</f>
        <v>7.2925357561547468</v>
      </c>
      <c r="AF10" s="48">
        <f>高情景!AF10*0.55+低情景!AF10*0.45</f>
        <v>7.2027327080890977</v>
      </c>
      <c r="AG10" s="48">
        <f>高情景!AG10*0.55+低情景!AG10*0.45</f>
        <v>7.1129296600234468</v>
      </c>
      <c r="AH10" s="48">
        <f>高情景!AH10*0.55+低情景!AH10*0.45</f>
        <v>7.023126611957796</v>
      </c>
      <c r="AI10" s="101">
        <f>高情景!AI10*0.55+低情景!AI10*0.45</f>
        <v>6.9333235638921451</v>
      </c>
      <c r="AJ10" s="48">
        <f>高情景!AJ10*0.55+低情景!AJ10*0.45</f>
        <v>6.8045618405627195</v>
      </c>
      <c r="AK10" s="48">
        <f>高情景!AK10*0.55+低情景!AK10*0.45</f>
        <v>6.6758001172332939</v>
      </c>
      <c r="AL10" s="48">
        <f>高情景!AL10*0.55+低情景!AL10*0.45</f>
        <v>6.5470383939038674</v>
      </c>
      <c r="AM10" s="48">
        <f>高情景!AM10*0.55+低情景!AM10*0.45</f>
        <v>6.4182766705744418</v>
      </c>
      <c r="AN10" s="101">
        <f>高情景!AN10*0.55+低情景!AN10*0.45</f>
        <v>6.2895149472450171</v>
      </c>
      <c r="AO10" s="48">
        <f>高情景!AO10*0.55+低情景!AO10*0.45</f>
        <v>6.2082960140679946</v>
      </c>
      <c r="AP10" s="48">
        <f>高情景!AP10*0.55+低情景!AP10*0.45</f>
        <v>6.127077080890972</v>
      </c>
      <c r="AQ10" s="48">
        <f>高情景!AQ10*0.55+低情景!AQ10*0.45</f>
        <v>6.0458581477139504</v>
      </c>
      <c r="AR10" s="48">
        <f>高情景!AR10*0.55+低情景!AR10*0.45</f>
        <v>5.9646392145369287</v>
      </c>
      <c r="AS10" s="104">
        <f>高情景!AS10*0.55+低情景!AS10*0.45</f>
        <v>5.8834202813599052</v>
      </c>
    </row>
    <row r="11" spans="1:46" x14ac:dyDescent="0.15">
      <c r="A11" s="17" t="s">
        <v>27</v>
      </c>
      <c r="B11" s="8" t="s">
        <v>30</v>
      </c>
      <c r="C11" s="9" t="s">
        <v>18</v>
      </c>
      <c r="D11" s="8" t="s">
        <v>31</v>
      </c>
      <c r="E11" s="47">
        <f>高情景!E11*0.5+低情景!E11*0.5</f>
        <v>47116</v>
      </c>
      <c r="F11" s="48">
        <f>高情景!F11*0.5+低情景!F11*0.5</f>
        <v>46400</v>
      </c>
      <c r="G11" s="101">
        <f>高情景!G11*0.7+低情景!G11*0.3</f>
        <v>47300</v>
      </c>
      <c r="H11" s="48">
        <f>高情景!H11*0.7+低情景!H11*0.3</f>
        <v>50398.33673720323</v>
      </c>
      <c r="I11" s="48">
        <f>高情景!I11*0.7+低情景!I11*0.3</f>
        <v>53496.67347440646</v>
      </c>
      <c r="J11" s="101">
        <f>高情景!J11*0.75+低情景!J11*0.25</f>
        <v>56920.268890986772</v>
      </c>
      <c r="K11" s="48">
        <f>高情景!K11*0.75+低情景!K11*0.25</f>
        <v>57988.975980368567</v>
      </c>
      <c r="L11" s="48">
        <f>高情景!L11*0.75+低情景!L11*0.25</f>
        <v>59057.683069750361</v>
      </c>
      <c r="M11" s="48">
        <f>高情景!M11*0.75+低情景!M11*0.25</f>
        <v>60126.390159132156</v>
      </c>
      <c r="N11" s="48">
        <f>高情景!N11*0.72+低情景!N11*0.28</f>
        <v>60888.424779387002</v>
      </c>
      <c r="O11" s="108">
        <f>高情景!O11*0.7+低情景!O11*0.3</f>
        <v>61706.218030392192</v>
      </c>
      <c r="P11" s="48">
        <f>高情景!P11*0.7+低情景!P11*0.3</f>
        <v>61576.114558641362</v>
      </c>
      <c r="Q11" s="48">
        <f>高情景!Q11*0.68+低情景!Q11*0.32</f>
        <v>61193.238627488936</v>
      </c>
      <c r="R11" s="48">
        <f>高情景!R11*0.65+低情景!R11*0.35</f>
        <v>60646.804046135454</v>
      </c>
      <c r="S11" s="48">
        <f>高情景!S11*0.6+低情景!S11*0.4</f>
        <v>59773.252164379905</v>
      </c>
      <c r="T11" s="101">
        <f>高情景!T11*0.55+低情景!T11*0.45</f>
        <v>58825.355441623891</v>
      </c>
      <c r="U11" s="48">
        <f>高情景!U11*0.55+低情景!U11*0.45</f>
        <v>58040.088058556401</v>
      </c>
      <c r="V11" s="48">
        <f>高情景!V11*0.55+低情景!V11*0.45</f>
        <v>57254.820675488903</v>
      </c>
      <c r="W11" s="48">
        <f>高情景!W11*0.55+低情景!W11*0.45</f>
        <v>56469.553292421413</v>
      </c>
      <c r="X11" s="48">
        <f>高情景!X11*0.55+低情景!X11*0.45</f>
        <v>55684.285909353915</v>
      </c>
      <c r="Y11" s="101">
        <f>高情景!Y11*0.55+低情景!Y11*0.45</f>
        <v>54899.018526286432</v>
      </c>
      <c r="Z11" s="48">
        <f>高情景!Z11*0.55+低情景!Z11*0.45</f>
        <v>53672.328649778639</v>
      </c>
      <c r="AA11" s="48">
        <f>高情景!AA11*0.55+低情景!AA11*0.45</f>
        <v>52445.638773270839</v>
      </c>
      <c r="AB11" s="48">
        <f>高情景!AB11*0.55+低情景!AB11*0.45</f>
        <v>51218.948896763031</v>
      </c>
      <c r="AC11" s="48">
        <f>高情景!AC11*0.55+低情景!AC11*0.45</f>
        <v>49992.259020255238</v>
      </c>
      <c r="AD11" s="101">
        <f>高情景!AD11*0.55+低情景!AD11*0.45</f>
        <v>48765.569143747445</v>
      </c>
      <c r="AE11" s="48">
        <f>高情景!AE11*0.55+低情景!AE11*0.45</f>
        <v>47497.060294176881</v>
      </c>
      <c r="AF11" s="48">
        <f>高情景!AF11*0.55+低情景!AF11*0.45</f>
        <v>46228.551444606317</v>
      </c>
      <c r="AG11" s="48">
        <f>高情景!AG11*0.55+低情景!AG11*0.45</f>
        <v>44960.042595035753</v>
      </c>
      <c r="AH11" s="48">
        <f>高情景!AH11*0.55+低情景!AH11*0.45</f>
        <v>43691.533745465189</v>
      </c>
      <c r="AI11" s="101">
        <f>高情景!AI11*0.55+低情景!AI11*0.45</f>
        <v>42423.024895894632</v>
      </c>
      <c r="AJ11" s="48">
        <f>高情景!AJ11*0.55+低情景!AJ11*0.45</f>
        <v>41298.559175762486</v>
      </c>
      <c r="AK11" s="48">
        <f>高情景!AK11*0.55+低情景!AK11*0.45</f>
        <v>40174.09345563034</v>
      </c>
      <c r="AL11" s="48">
        <f>高情景!AL11*0.55+低情景!AL11*0.45</f>
        <v>39049.627735498187</v>
      </c>
      <c r="AM11" s="48">
        <f>高情景!AM11*0.55+低情景!AM11*0.45</f>
        <v>37925.162015366033</v>
      </c>
      <c r="AN11" s="101">
        <f>高情景!AN11*0.55+低情景!AN11*0.45</f>
        <v>36800.696295233894</v>
      </c>
      <c r="AO11" s="48">
        <f>高情景!AO11*0.55+低情景!AO11*0.45</f>
        <v>35684.157036187113</v>
      </c>
      <c r="AP11" s="48">
        <f>高情景!AP11*0.55+低情景!AP11*0.45</f>
        <v>34567.617777140331</v>
      </c>
      <c r="AQ11" s="48">
        <f>高情景!AQ11*0.55+低情景!AQ11*0.45</f>
        <v>33451.078518093556</v>
      </c>
      <c r="AR11" s="48">
        <f>高情景!AR11*0.55+低情景!AR11*0.45</f>
        <v>32334.539259046775</v>
      </c>
      <c r="AS11" s="104">
        <f>高情景!AS11*0.55+低情景!AS11*0.45</f>
        <v>31217.999999999993</v>
      </c>
    </row>
    <row r="12" spans="1:46" x14ac:dyDescent="0.15">
      <c r="A12" s="17" t="s">
        <v>32</v>
      </c>
      <c r="B12" s="8" t="s">
        <v>33</v>
      </c>
      <c r="C12" s="9" t="s">
        <v>18</v>
      </c>
      <c r="D12" s="8" t="s">
        <v>26</v>
      </c>
      <c r="E12" s="47">
        <f>高情景!E12*0.5+低情景!E12*0.5</f>
        <v>3673.87</v>
      </c>
      <c r="F12" s="48">
        <f>高情景!F12*0.5+低情景!F12*0.5</f>
        <v>3891.31</v>
      </c>
      <c r="G12" s="101">
        <f>高情景!G12*0.7+低情景!G12*0.3</f>
        <v>3463.08</v>
      </c>
      <c r="H12" s="48">
        <f>高情景!H12*0.7+低情景!H12*0.3</f>
        <v>3812.0533333333333</v>
      </c>
      <c r="I12" s="48">
        <f>高情景!I12*0.7+低情景!I12*0.3</f>
        <v>4161.0266666666666</v>
      </c>
      <c r="J12" s="101">
        <f>高情景!J12*0.75+低情景!J12*0.25</f>
        <v>4525</v>
      </c>
      <c r="K12" s="48">
        <f>高情景!K12*0.75+低情景!K12*0.25</f>
        <v>4715</v>
      </c>
      <c r="L12" s="48">
        <f>高情景!L12*0.75+低情景!L12*0.25</f>
        <v>4905</v>
      </c>
      <c r="M12" s="48">
        <f>高情景!M12*0.75+低情景!M12*0.25</f>
        <v>5095</v>
      </c>
      <c r="N12" s="48">
        <f>高情景!N12*0.72+低情景!N12*0.28</f>
        <v>5271.2</v>
      </c>
      <c r="O12" s="108">
        <f>高情景!O12*0.7+低情景!O12*0.3</f>
        <v>5450</v>
      </c>
      <c r="P12" s="48">
        <f>高情景!P12*0.7+低情景!P12*0.3</f>
        <v>5558</v>
      </c>
      <c r="Q12" s="48">
        <f>高情景!Q12*0.68+低情景!Q12*0.32</f>
        <v>5654.4000000000005</v>
      </c>
      <c r="R12" s="48">
        <f>高情景!R12*0.65+低情景!R12*0.35</f>
        <v>5743</v>
      </c>
      <c r="S12" s="48">
        <f>高情景!S12*0.6+低情景!S12*0.4</f>
        <v>5816</v>
      </c>
      <c r="T12" s="101">
        <f>高情景!T12*0.55+低情景!T12*0.45</f>
        <v>5885</v>
      </c>
      <c r="U12" s="48">
        <f>高情景!U12*0.55+低情景!U12*0.45</f>
        <v>5936</v>
      </c>
      <c r="V12" s="48">
        <f>高情景!V12*0.55+低情景!V12*0.45</f>
        <v>5987</v>
      </c>
      <c r="W12" s="48">
        <f>高情景!W12*0.55+低情景!W12*0.45</f>
        <v>6038</v>
      </c>
      <c r="X12" s="48">
        <f>高情景!X12*0.55+低情景!X12*0.45</f>
        <v>6089</v>
      </c>
      <c r="Y12" s="101">
        <f>高情景!Y12*0.55+低情景!Y12*0.45</f>
        <v>6140</v>
      </c>
      <c r="Z12" s="48">
        <f>高情景!Z12*0.55+低情景!Z12*0.45</f>
        <v>6133</v>
      </c>
      <c r="AA12" s="48">
        <f>高情景!AA12*0.55+低情景!AA12*0.45</f>
        <v>6126</v>
      </c>
      <c r="AB12" s="48">
        <f>高情景!AB12*0.55+低情景!AB12*0.45</f>
        <v>6119</v>
      </c>
      <c r="AC12" s="48">
        <f>高情景!AC12*0.55+低情景!AC12*0.45</f>
        <v>6112</v>
      </c>
      <c r="AD12" s="101">
        <f>高情景!AD12*0.55+低情景!AD12*0.45</f>
        <v>6105</v>
      </c>
      <c r="AE12" s="48">
        <f>高情景!AE12*0.55+低情景!AE12*0.45</f>
        <v>6062.5</v>
      </c>
      <c r="AF12" s="48">
        <f>高情景!AF12*0.55+低情景!AF12*0.45</f>
        <v>6020</v>
      </c>
      <c r="AG12" s="48">
        <f>高情景!AG12*0.55+低情景!AG12*0.45</f>
        <v>5977.5</v>
      </c>
      <c r="AH12" s="48">
        <f>高情景!AH12*0.55+低情景!AH12*0.45</f>
        <v>5935</v>
      </c>
      <c r="AI12" s="101">
        <f>高情景!AI12*0.55+低情景!AI12*0.45</f>
        <v>5892.5</v>
      </c>
      <c r="AJ12" s="48">
        <f>高情景!AJ12*0.55+低情景!AJ12*0.45</f>
        <v>5828</v>
      </c>
      <c r="AK12" s="48">
        <f>高情景!AK12*0.55+低情景!AK12*0.45</f>
        <v>5763.5</v>
      </c>
      <c r="AL12" s="48">
        <f>高情景!AL12*0.55+低情景!AL12*0.45</f>
        <v>5699</v>
      </c>
      <c r="AM12" s="48">
        <f>高情景!AM12*0.55+低情景!AM12*0.45</f>
        <v>5634.5</v>
      </c>
      <c r="AN12" s="101">
        <f>高情景!AN12*0.55+低情景!AN12*0.45</f>
        <v>5570</v>
      </c>
      <c r="AO12" s="48">
        <f>高情景!AO12*0.55+低情景!AO12*0.45</f>
        <v>5499</v>
      </c>
      <c r="AP12" s="48">
        <f>高情景!AP12*0.55+低情景!AP12*0.45</f>
        <v>5428</v>
      </c>
      <c r="AQ12" s="48">
        <f>高情景!AQ12*0.55+低情景!AQ12*0.45</f>
        <v>5357</v>
      </c>
      <c r="AR12" s="48">
        <f>高情景!AR12*0.55+低情景!AR12*0.45</f>
        <v>5286</v>
      </c>
      <c r="AS12" s="104">
        <f>高情景!AS12*0.55+低情景!AS12*0.45</f>
        <v>5215</v>
      </c>
    </row>
    <row r="13" spans="1:46" x14ac:dyDescent="0.15">
      <c r="A13" s="17" t="s">
        <v>32</v>
      </c>
      <c r="B13" s="8" t="s">
        <v>34</v>
      </c>
      <c r="C13" s="9" t="s">
        <v>18</v>
      </c>
      <c r="D13" s="8" t="s">
        <v>26</v>
      </c>
      <c r="E13" s="47">
        <f>高情景!E13*0.5+低情景!E13*0.5</f>
        <v>2812.37</v>
      </c>
      <c r="F13" s="48">
        <f>高情景!F13*0.5+低情景!F13*0.5</f>
        <v>2913.25</v>
      </c>
      <c r="G13" s="101">
        <f>高情景!G13*0.7+低情景!G13*0.3</f>
        <v>2920.2</v>
      </c>
      <c r="H13" s="48">
        <f>高情景!H13*0.7+低情景!H13*0.3</f>
        <v>3131.7999999999997</v>
      </c>
      <c r="I13" s="48">
        <f>高情景!I13*0.7+低情景!I13*0.3</f>
        <v>3343.3999999999996</v>
      </c>
      <c r="J13" s="101">
        <f>高情景!J13*0.75+低情景!J13*0.25</f>
        <v>3562.5</v>
      </c>
      <c r="K13" s="48">
        <f>高情景!K13*0.75+低情景!K13*0.25</f>
        <v>3704.5</v>
      </c>
      <c r="L13" s="48">
        <f>高情景!L13*0.75+低情景!L13*0.25</f>
        <v>3846.5</v>
      </c>
      <c r="M13" s="48">
        <f>高情景!M13*0.75+低情景!M13*0.25</f>
        <v>3988.5</v>
      </c>
      <c r="N13" s="48">
        <f>高情景!N13*0.72+低情景!N13*0.28</f>
        <v>4117.3599999999997</v>
      </c>
      <c r="O13" s="108">
        <f>高情景!O13*0.7+低情景!O13*0.3</f>
        <v>4247</v>
      </c>
      <c r="P13" s="48">
        <f>高情景!P13*0.7+低情景!P13*0.3</f>
        <v>4314.3999999999996</v>
      </c>
      <c r="Q13" s="48">
        <f>高情景!Q13*0.68+低情景!Q13*0.32</f>
        <v>4369.92</v>
      </c>
      <c r="R13" s="48">
        <f>高情景!R13*0.65+低情景!R13*0.35</f>
        <v>4417.3999999999996</v>
      </c>
      <c r="S13" s="48">
        <f>高情景!S13*0.6+低情景!S13*0.4</f>
        <v>4448.8</v>
      </c>
      <c r="T13" s="101">
        <f>高情景!T13*0.55+低情景!T13*0.45</f>
        <v>4476</v>
      </c>
      <c r="U13" s="48">
        <f>高情景!U13*0.55+低情景!U13*0.45</f>
        <v>4491.5</v>
      </c>
      <c r="V13" s="48">
        <f>高情景!V13*0.55+低情景!V13*0.45</f>
        <v>4507</v>
      </c>
      <c r="W13" s="48">
        <f>高情景!W13*0.55+低情景!W13*0.45</f>
        <v>4522.5</v>
      </c>
      <c r="X13" s="48">
        <f>高情景!X13*0.55+低情景!X13*0.45</f>
        <v>4538</v>
      </c>
      <c r="Y13" s="101">
        <f>高情景!Y13*0.55+低情景!Y13*0.45</f>
        <v>4553.5</v>
      </c>
      <c r="Z13" s="48">
        <f>高情景!Z13*0.55+低情景!Z13*0.45</f>
        <v>4536.3</v>
      </c>
      <c r="AA13" s="48">
        <f>高情景!AA13*0.55+低情景!AA13*0.45</f>
        <v>4519.1000000000004</v>
      </c>
      <c r="AB13" s="48">
        <f>高情景!AB13*0.55+低情景!AB13*0.45</f>
        <v>4501.8999999999996</v>
      </c>
      <c r="AC13" s="48">
        <f>高情景!AC13*0.55+低情景!AC13*0.45</f>
        <v>4484.7</v>
      </c>
      <c r="AD13" s="101">
        <f>高情景!AD13*0.55+低情景!AD13*0.45</f>
        <v>4467.5</v>
      </c>
      <c r="AE13" s="48">
        <f>高情景!AE13*0.55+低情景!AE13*0.45</f>
        <v>4433</v>
      </c>
      <c r="AF13" s="48">
        <f>高情景!AF13*0.55+低情景!AF13*0.45</f>
        <v>4398.5</v>
      </c>
      <c r="AG13" s="48">
        <f>高情景!AG13*0.55+低情景!AG13*0.45</f>
        <v>4364</v>
      </c>
      <c r="AH13" s="48">
        <f>高情景!AH13*0.55+低情景!AH13*0.45</f>
        <v>4329.5</v>
      </c>
      <c r="AI13" s="101">
        <f>高情景!AI13*0.55+低情景!AI13*0.45</f>
        <v>4295</v>
      </c>
      <c r="AJ13" s="48">
        <f>高情景!AJ13*0.55+低情景!AJ13*0.45</f>
        <v>4255</v>
      </c>
      <c r="AK13" s="48">
        <f>高情景!AK13*0.55+低情景!AK13*0.45</f>
        <v>4215</v>
      </c>
      <c r="AL13" s="48">
        <f>高情景!AL13*0.55+低情景!AL13*0.45</f>
        <v>4175</v>
      </c>
      <c r="AM13" s="48">
        <f>高情景!AM13*0.55+低情景!AM13*0.45</f>
        <v>4135</v>
      </c>
      <c r="AN13" s="101">
        <f>高情景!AN13*0.55+低情景!AN13*0.45</f>
        <v>4095</v>
      </c>
      <c r="AO13" s="48">
        <f>高情景!AO13*0.55+低情景!AO13*0.45</f>
        <v>4044</v>
      </c>
      <c r="AP13" s="48">
        <f>高情景!AP13*0.55+低情景!AP13*0.45</f>
        <v>3993</v>
      </c>
      <c r="AQ13" s="48">
        <f>高情景!AQ13*0.55+低情景!AQ13*0.45</f>
        <v>3942</v>
      </c>
      <c r="AR13" s="48">
        <f>高情景!AR13*0.55+低情景!AR13*0.45</f>
        <v>3891</v>
      </c>
      <c r="AS13" s="104">
        <f>高情景!AS13*0.55+低情景!AS13*0.45</f>
        <v>3840</v>
      </c>
    </row>
    <row r="14" spans="1:46" x14ac:dyDescent="0.15">
      <c r="A14" s="17" t="s">
        <v>32</v>
      </c>
      <c r="B14" s="8" t="s">
        <v>35</v>
      </c>
      <c r="C14" s="9" t="s">
        <v>18</v>
      </c>
      <c r="D14" s="8" t="s">
        <v>26</v>
      </c>
      <c r="E14" s="47">
        <f>高情景!E14*0.5+低情景!E14*0.5</f>
        <v>2159.96</v>
      </c>
      <c r="F14" s="48">
        <f>高情景!F14*0.5+低情景!F14*0.5</f>
        <v>2825.67</v>
      </c>
      <c r="G14" s="101">
        <f>高情景!G14*0.7+低情景!G14*0.3</f>
        <v>2897.51</v>
      </c>
      <c r="H14" s="48">
        <f>高情景!H14*0.7+低情景!H14*0.3</f>
        <v>3338.3399999999997</v>
      </c>
      <c r="I14" s="48">
        <f>高情景!I14*0.7+低情景!I14*0.3</f>
        <v>3779.17</v>
      </c>
      <c r="J14" s="101">
        <f>高情景!J14*0.75+低情景!J14*0.25</f>
        <v>4250</v>
      </c>
      <c r="K14" s="48">
        <f>高情景!K14*0.75+低情景!K14*0.25</f>
        <v>4450</v>
      </c>
      <c r="L14" s="48">
        <f>高情景!L14*0.75+低情景!L14*0.25</f>
        <v>4650</v>
      </c>
      <c r="M14" s="48">
        <f>高情景!M14*0.75+低情景!M14*0.25</f>
        <v>4850</v>
      </c>
      <c r="N14" s="48">
        <f>高情景!N14*0.72+低情景!N14*0.28</f>
        <v>5032</v>
      </c>
      <c r="O14" s="108">
        <f>高情景!O14*0.7+低情景!O14*0.3</f>
        <v>5220</v>
      </c>
      <c r="P14" s="48">
        <f>高情景!P14*0.7+低情景!P14*0.3</f>
        <v>5340</v>
      </c>
      <c r="Q14" s="48">
        <f>高情景!Q14*0.68+低情景!Q14*0.32</f>
        <v>5448</v>
      </c>
      <c r="R14" s="48">
        <f>高情景!R14*0.65+低情景!R14*0.35</f>
        <v>5550</v>
      </c>
      <c r="S14" s="48">
        <f>高情景!S14*0.6+低情景!S14*0.4</f>
        <v>5640</v>
      </c>
      <c r="T14" s="101">
        <f>高情景!T14*0.55+低情景!T14*0.45</f>
        <v>5730</v>
      </c>
      <c r="U14" s="48">
        <f>高情景!U14*0.55+低情景!U14*0.45</f>
        <v>5781</v>
      </c>
      <c r="V14" s="48">
        <f>高情景!V14*0.55+低情景!V14*0.45</f>
        <v>5832</v>
      </c>
      <c r="W14" s="48">
        <f>高情景!W14*0.55+低情景!W14*0.45</f>
        <v>5883</v>
      </c>
      <c r="X14" s="48">
        <f>高情景!X14*0.55+低情景!X14*0.45</f>
        <v>5934</v>
      </c>
      <c r="Y14" s="101">
        <f>高情景!Y14*0.55+低情景!Y14*0.45</f>
        <v>5985</v>
      </c>
      <c r="Z14" s="48">
        <f>高情景!Z14*0.55+低情景!Z14*0.45</f>
        <v>5987</v>
      </c>
      <c r="AA14" s="48">
        <f>高情景!AA14*0.55+低情景!AA14*0.45</f>
        <v>5989</v>
      </c>
      <c r="AB14" s="48">
        <f>高情景!AB14*0.55+低情景!AB14*0.45</f>
        <v>5991</v>
      </c>
      <c r="AC14" s="48">
        <f>高情景!AC14*0.55+低情景!AC14*0.45</f>
        <v>5993</v>
      </c>
      <c r="AD14" s="101">
        <f>高情景!AD14*0.55+低情景!AD14*0.45</f>
        <v>5995</v>
      </c>
      <c r="AE14" s="48">
        <f>高情景!AE14*0.55+低情景!AE14*0.45</f>
        <v>5950.5</v>
      </c>
      <c r="AF14" s="48">
        <f>高情景!AF14*0.55+低情景!AF14*0.45</f>
        <v>5906</v>
      </c>
      <c r="AG14" s="48">
        <f>高情景!AG14*0.55+低情景!AG14*0.45</f>
        <v>5861.5</v>
      </c>
      <c r="AH14" s="48">
        <f>高情景!AH14*0.55+低情景!AH14*0.45</f>
        <v>5817</v>
      </c>
      <c r="AI14" s="101">
        <f>高情景!AI14*0.55+低情景!AI14*0.45</f>
        <v>5772.5</v>
      </c>
      <c r="AJ14" s="48">
        <f>高情景!AJ14*0.55+低情景!AJ14*0.45</f>
        <v>5712.5</v>
      </c>
      <c r="AK14" s="48">
        <f>高情景!AK14*0.55+低情景!AK14*0.45</f>
        <v>5652.5</v>
      </c>
      <c r="AL14" s="48">
        <f>高情景!AL14*0.55+低情景!AL14*0.45</f>
        <v>5592.5</v>
      </c>
      <c r="AM14" s="48">
        <f>高情景!AM14*0.55+低情景!AM14*0.45</f>
        <v>5532.5</v>
      </c>
      <c r="AN14" s="101">
        <f>高情景!AN14*0.55+低情景!AN14*0.45</f>
        <v>5472.5</v>
      </c>
      <c r="AO14" s="48">
        <f>高情景!AO14*0.55+低情景!AO14*0.45</f>
        <v>5422.5</v>
      </c>
      <c r="AP14" s="48">
        <f>高情景!AP14*0.55+低情景!AP14*0.45</f>
        <v>5372.5</v>
      </c>
      <c r="AQ14" s="48">
        <f>高情景!AQ14*0.55+低情景!AQ14*0.45</f>
        <v>5322.5</v>
      </c>
      <c r="AR14" s="48">
        <f>高情景!AR14*0.55+低情景!AR14*0.45</f>
        <v>5272.5</v>
      </c>
      <c r="AS14" s="104">
        <f>高情景!AS14*0.55+低情景!AS14*0.45</f>
        <v>5222.5</v>
      </c>
    </row>
    <row r="15" spans="1:46" x14ac:dyDescent="0.15">
      <c r="A15" s="17" t="s">
        <v>32</v>
      </c>
      <c r="B15" s="8" t="s">
        <v>36</v>
      </c>
      <c r="C15" s="9" t="s">
        <v>18</v>
      </c>
      <c r="D15" s="8" t="s">
        <v>26</v>
      </c>
      <c r="E15" s="47">
        <f>高情景!E15*0.5+低情景!E15*0.5</f>
        <v>5117.13</v>
      </c>
      <c r="F15" s="48">
        <f>高情景!F15*0.5+低情景!F15*0.5</f>
        <v>5189.38</v>
      </c>
      <c r="G15" s="101">
        <f>高情景!G15*0.7+低情景!G15*0.3</f>
        <v>5321.01</v>
      </c>
      <c r="H15" s="48">
        <f>高情景!H15*0.7+低情景!H15*0.3</f>
        <v>5607.34</v>
      </c>
      <c r="I15" s="48">
        <f>高情景!I15*0.7+低情景!I15*0.3</f>
        <v>5893.67</v>
      </c>
      <c r="J15" s="101">
        <f>高情景!J15*0.75+低情景!J15*0.25</f>
        <v>6200</v>
      </c>
      <c r="K15" s="48">
        <f>高情景!K15*0.75+低情景!K15*0.25</f>
        <v>6380</v>
      </c>
      <c r="L15" s="48">
        <f>高情景!L15*0.75+低情景!L15*0.25</f>
        <v>6560</v>
      </c>
      <c r="M15" s="48">
        <f>高情景!M15*0.75+低情景!M15*0.25</f>
        <v>6740</v>
      </c>
      <c r="N15" s="48">
        <f>高情景!N15*0.72+低情景!N15*0.28</f>
        <v>6908</v>
      </c>
      <c r="O15" s="108">
        <f>高情景!O15*0.7+低情景!O15*0.3</f>
        <v>7080</v>
      </c>
      <c r="P15" s="48">
        <f>高情景!P15*0.7+低情景!P15*0.3</f>
        <v>7186</v>
      </c>
      <c r="Q15" s="48">
        <f>高情景!Q15*0.68+低情景!Q15*0.32</f>
        <v>7284.8</v>
      </c>
      <c r="R15" s="48">
        <f>高情景!R15*0.65+低情景!R15*0.35</f>
        <v>7381</v>
      </c>
      <c r="S15" s="48">
        <f>高情景!S15*0.6+低情景!S15*0.4</f>
        <v>7472</v>
      </c>
      <c r="T15" s="101">
        <f>高情景!T15*0.55+低情景!T15*0.45</f>
        <v>7565</v>
      </c>
      <c r="U15" s="48">
        <f>高情景!U15*0.55+低情景!U15*0.45</f>
        <v>7616</v>
      </c>
      <c r="V15" s="48">
        <f>高情景!V15*0.55+低情景!V15*0.45</f>
        <v>7667</v>
      </c>
      <c r="W15" s="48">
        <f>高情景!W15*0.55+低情景!W15*0.45</f>
        <v>7718</v>
      </c>
      <c r="X15" s="48">
        <f>高情景!X15*0.55+低情景!X15*0.45</f>
        <v>7769</v>
      </c>
      <c r="Y15" s="101">
        <f>高情景!Y15*0.55+低情景!Y15*0.45</f>
        <v>7820</v>
      </c>
      <c r="Z15" s="48">
        <f>高情景!Z15*0.55+低情景!Z15*0.45</f>
        <v>7833</v>
      </c>
      <c r="AA15" s="48">
        <f>高情景!AA15*0.55+低情景!AA15*0.45</f>
        <v>7846</v>
      </c>
      <c r="AB15" s="48">
        <f>高情景!AB15*0.55+低情景!AB15*0.45</f>
        <v>7859</v>
      </c>
      <c r="AC15" s="48">
        <f>高情景!AC15*0.55+低情景!AC15*0.45</f>
        <v>7872</v>
      </c>
      <c r="AD15" s="101">
        <f>高情景!AD15*0.55+低情景!AD15*0.45</f>
        <v>7885</v>
      </c>
      <c r="AE15" s="48">
        <f>高情景!AE15*0.55+低情景!AE15*0.45</f>
        <v>7889</v>
      </c>
      <c r="AF15" s="48">
        <f>高情景!AF15*0.55+低情景!AF15*0.45</f>
        <v>7893</v>
      </c>
      <c r="AG15" s="48">
        <f>高情景!AG15*0.55+低情景!AG15*0.45</f>
        <v>7897</v>
      </c>
      <c r="AH15" s="48">
        <f>高情景!AH15*0.55+低情景!AH15*0.45</f>
        <v>7901</v>
      </c>
      <c r="AI15" s="101">
        <f>高情景!AI15*0.55+低情景!AI15*0.45</f>
        <v>7905</v>
      </c>
      <c r="AJ15" s="48">
        <f>高情景!AJ15*0.55+低情景!AJ15*0.45</f>
        <v>7889</v>
      </c>
      <c r="AK15" s="48">
        <f>高情景!AK15*0.55+低情景!AK15*0.45</f>
        <v>7873</v>
      </c>
      <c r="AL15" s="48">
        <f>高情景!AL15*0.55+低情景!AL15*0.45</f>
        <v>7857</v>
      </c>
      <c r="AM15" s="48">
        <f>高情景!AM15*0.55+低情景!AM15*0.45</f>
        <v>7841</v>
      </c>
      <c r="AN15" s="101">
        <f>高情景!AN15*0.55+低情景!AN15*0.45</f>
        <v>7825</v>
      </c>
      <c r="AO15" s="48">
        <f>高情景!AO15*0.55+低情景!AO15*0.45</f>
        <v>7809</v>
      </c>
      <c r="AP15" s="48">
        <f>高情景!AP15*0.55+低情景!AP15*0.45</f>
        <v>7793</v>
      </c>
      <c r="AQ15" s="48">
        <f>高情景!AQ15*0.55+低情景!AQ15*0.45</f>
        <v>7777</v>
      </c>
      <c r="AR15" s="48">
        <f>高情景!AR15*0.55+低情景!AR15*0.45</f>
        <v>7761</v>
      </c>
      <c r="AS15" s="104">
        <f>高情景!AS15*0.55+低情景!AS15*0.45</f>
        <v>7745</v>
      </c>
    </row>
    <row r="16" spans="1:46" x14ac:dyDescent="0.15">
      <c r="A16" s="17" t="s">
        <v>37</v>
      </c>
      <c r="B16" s="8" t="s">
        <v>38</v>
      </c>
      <c r="C16" s="9" t="s">
        <v>18</v>
      </c>
      <c r="D16" s="8" t="s">
        <v>26</v>
      </c>
      <c r="E16" s="47">
        <f>高情景!E16*0.5+低情景!E16*0.5</f>
        <v>239470.83</v>
      </c>
      <c r="F16" s="48">
        <f>高情景!F16*0.5+低情景!F16*0.5</f>
        <v>237724.49</v>
      </c>
      <c r="G16" s="101">
        <f>高情景!G16*0.7+低情景!G16*0.3</f>
        <v>212927.18</v>
      </c>
      <c r="H16" s="48">
        <f>高情景!H16*0.7+低情景!H16*0.3</f>
        <v>219951.45333333331</v>
      </c>
      <c r="I16" s="48">
        <f>高情景!I16*0.7+低情景!I16*0.3</f>
        <v>226975.72666666665</v>
      </c>
      <c r="J16" s="101">
        <f>高情景!J16*0.75+低情景!J16*0.25</f>
        <v>235000</v>
      </c>
      <c r="K16" s="48">
        <f>高情景!K16*0.75+低情景!K16*0.25</f>
        <v>237100</v>
      </c>
      <c r="L16" s="48">
        <f>高情景!L16*0.75+低情景!L16*0.25</f>
        <v>239200</v>
      </c>
      <c r="M16" s="48">
        <f>高情景!M16*0.75+低情景!M16*0.25</f>
        <v>241300</v>
      </c>
      <c r="N16" s="48">
        <f>高情景!N16*0.72+低情景!N16*0.28</f>
        <v>242368</v>
      </c>
      <c r="O16" s="108">
        <f>高情景!O16*0.7+低情景!O16*0.3</f>
        <v>243600</v>
      </c>
      <c r="P16" s="48">
        <f>高情景!P16*0.7+低情景!P16*0.3</f>
        <v>240600</v>
      </c>
      <c r="Q16" s="48">
        <f>高情景!Q16*0.68+低情景!Q16*0.32</f>
        <v>236840</v>
      </c>
      <c r="R16" s="48">
        <f>高情景!R16*0.65+低情景!R16*0.35</f>
        <v>232700</v>
      </c>
      <c r="S16" s="48">
        <f>高情景!S16*0.6+低情景!S16*0.4</f>
        <v>227800</v>
      </c>
      <c r="T16" s="101">
        <f>高情景!T16*0.55+低情景!T16*0.45</f>
        <v>222900</v>
      </c>
      <c r="U16" s="48">
        <f>高情景!U16*0.55+低情景!U16*0.45</f>
        <v>218610</v>
      </c>
      <c r="V16" s="48">
        <f>高情景!V16*0.55+低情景!V16*0.45</f>
        <v>214320</v>
      </c>
      <c r="W16" s="48">
        <f>高情景!W16*0.55+低情景!W16*0.45</f>
        <v>210030</v>
      </c>
      <c r="X16" s="48">
        <f>高情景!X16*0.55+低情景!X16*0.45</f>
        <v>205740</v>
      </c>
      <c r="Y16" s="101">
        <f>高情景!Y16*0.55+低情景!Y16*0.45</f>
        <v>201450</v>
      </c>
      <c r="Z16" s="48">
        <f>高情景!Z16*0.55+低情景!Z16*0.45</f>
        <v>195560</v>
      </c>
      <c r="AA16" s="48">
        <f>高情景!AA16*0.55+低情景!AA16*0.45</f>
        <v>189670</v>
      </c>
      <c r="AB16" s="48">
        <f>高情景!AB16*0.55+低情景!AB16*0.45</f>
        <v>183780</v>
      </c>
      <c r="AC16" s="48">
        <f>高情景!AC16*0.55+低情景!AC16*0.45</f>
        <v>177890</v>
      </c>
      <c r="AD16" s="101">
        <f>高情景!AD16*0.55+低情景!AD16*0.45</f>
        <v>172000</v>
      </c>
      <c r="AE16" s="48">
        <f>高情景!AE16*0.55+低情景!AE16*0.45</f>
        <v>167780</v>
      </c>
      <c r="AF16" s="48">
        <f>高情景!AF16*0.55+低情景!AF16*0.45</f>
        <v>163560</v>
      </c>
      <c r="AG16" s="48">
        <f>高情景!AG16*0.55+低情景!AG16*0.45</f>
        <v>159340</v>
      </c>
      <c r="AH16" s="48">
        <f>高情景!AH16*0.55+低情景!AH16*0.45</f>
        <v>155120</v>
      </c>
      <c r="AI16" s="101">
        <f>高情景!AI16*0.55+低情景!AI16*0.45</f>
        <v>150900</v>
      </c>
      <c r="AJ16" s="48">
        <f>高情景!AJ16*0.55+低情景!AJ16*0.45</f>
        <v>148120</v>
      </c>
      <c r="AK16" s="48">
        <f>高情景!AK16*0.55+低情景!AK16*0.45</f>
        <v>145340</v>
      </c>
      <c r="AL16" s="48">
        <f>高情景!AL16*0.55+低情景!AL16*0.45</f>
        <v>142560</v>
      </c>
      <c r="AM16" s="48">
        <f>高情景!AM16*0.55+低情景!AM16*0.45</f>
        <v>139780</v>
      </c>
      <c r="AN16" s="101">
        <f>高情景!AN16*0.55+低情景!AN16*0.45</f>
        <v>137000</v>
      </c>
      <c r="AO16" s="48">
        <f>高情景!AO16*0.55+低情景!AO16*0.45</f>
        <v>135577.11596</v>
      </c>
      <c r="AP16" s="48">
        <f>高情景!AP16*0.55+低情景!AP16*0.45</f>
        <v>134154.23192000002</v>
      </c>
      <c r="AQ16" s="48">
        <f>高情景!AQ16*0.55+低情景!AQ16*0.45</f>
        <v>132731.34788000002</v>
      </c>
      <c r="AR16" s="48">
        <f>高情景!AR16*0.55+低情景!AR16*0.45</f>
        <v>131308.46384000001</v>
      </c>
      <c r="AS16" s="104">
        <f>高情景!AS16*0.55+低情景!AS16*0.45</f>
        <v>129885.57979999999</v>
      </c>
      <c r="AT16" s="106">
        <f>AS16/G16</f>
        <v>0.61</v>
      </c>
    </row>
    <row r="17" spans="1:48" x14ac:dyDescent="0.15">
      <c r="A17" s="17" t="s">
        <v>37</v>
      </c>
      <c r="B17" s="8" t="s">
        <v>39</v>
      </c>
      <c r="C17" s="9" t="s">
        <v>40</v>
      </c>
      <c r="D17" s="8" t="s">
        <v>26</v>
      </c>
      <c r="E17" s="47">
        <f>高情景!E17*0.5+低情景!E17*0.5</f>
        <v>95227.79</v>
      </c>
      <c r="F17" s="48">
        <f>高情景!F17*0.5+低情景!F17*0.5</f>
        <v>101727.37</v>
      </c>
      <c r="G17" s="101">
        <f>高情景!G17*0.7+低情景!G17*0.3</f>
        <v>101668.65</v>
      </c>
      <c r="H17" s="48">
        <f>高情景!H17*0.7+低情景!H17*0.3</f>
        <v>107279.09999999999</v>
      </c>
      <c r="I17" s="48">
        <f>高情景!I17*0.7+低情景!I17*0.3</f>
        <v>112889.54999999999</v>
      </c>
      <c r="J17" s="101">
        <f>高情景!J17*0.75+低情景!J17*0.25</f>
        <v>118750</v>
      </c>
      <c r="K17" s="48">
        <f>高情景!K17*0.75+低情景!K17*0.25</f>
        <v>120550</v>
      </c>
      <c r="L17" s="48">
        <f>高情景!L17*0.75+低情景!L17*0.25</f>
        <v>122350</v>
      </c>
      <c r="M17" s="48">
        <f>高情景!M17*0.75+低情景!M17*0.25</f>
        <v>124150</v>
      </c>
      <c r="N17" s="48">
        <f>高情景!N17*0.72+低情景!N17*0.28</f>
        <v>125704</v>
      </c>
      <c r="O17" s="108">
        <f>高情景!O17*0.7+低情景!O17*0.3</f>
        <v>127300</v>
      </c>
      <c r="P17" s="48">
        <f>高情景!P17*0.7+低情景!P17*0.3</f>
        <v>126980</v>
      </c>
      <c r="Q17" s="48">
        <f>高情景!Q17*0.68+低情景!Q17*0.32</f>
        <v>126464</v>
      </c>
      <c r="R17" s="48">
        <f>高情景!R17*0.65+低情景!R17*0.35</f>
        <v>125830</v>
      </c>
      <c r="S17" s="48">
        <f>高情景!S17*0.6+低情景!S17*0.4</f>
        <v>124960</v>
      </c>
      <c r="T17" s="101">
        <f>高情景!T17*0.55+低情景!T17*0.45</f>
        <v>124050</v>
      </c>
      <c r="U17" s="48">
        <f>高情景!U17*0.55+低情景!U17*0.45</f>
        <v>122490</v>
      </c>
      <c r="V17" s="48">
        <f>高情景!V17*0.55+低情景!V17*0.45</f>
        <v>120930</v>
      </c>
      <c r="W17" s="48">
        <f>高情景!W17*0.55+低情景!W17*0.45</f>
        <v>119370</v>
      </c>
      <c r="X17" s="48">
        <f>高情景!X17*0.55+低情景!X17*0.45</f>
        <v>117810</v>
      </c>
      <c r="Y17" s="101">
        <f>高情景!Y17*0.55+低情景!Y17*0.45</f>
        <v>116250</v>
      </c>
      <c r="Z17" s="48">
        <f>高情景!Z17*0.55+低情景!Z17*0.45</f>
        <v>114510</v>
      </c>
      <c r="AA17" s="48">
        <f>高情景!AA17*0.55+低情景!AA17*0.45</f>
        <v>112770</v>
      </c>
      <c r="AB17" s="48">
        <f>高情景!AB17*0.55+低情景!AB17*0.45</f>
        <v>111030</v>
      </c>
      <c r="AC17" s="48">
        <f>高情景!AC17*0.55+低情景!AC17*0.45</f>
        <v>109290</v>
      </c>
      <c r="AD17" s="101">
        <f>高情景!AD17*0.55+低情景!AD17*0.45</f>
        <v>107550</v>
      </c>
      <c r="AE17" s="48">
        <f>高情景!AE17*0.55+低情景!AE17*0.45</f>
        <v>105390</v>
      </c>
      <c r="AF17" s="48">
        <f>高情景!AF17*0.55+低情景!AF17*0.45</f>
        <v>103230</v>
      </c>
      <c r="AG17" s="48">
        <f>高情景!AG17*0.55+低情景!AG17*0.45</f>
        <v>101070</v>
      </c>
      <c r="AH17" s="48">
        <f>高情景!AH17*0.55+低情景!AH17*0.45</f>
        <v>98910</v>
      </c>
      <c r="AI17" s="101">
        <f>高情景!AI17*0.55+低情景!AI17*0.45</f>
        <v>96750</v>
      </c>
      <c r="AJ17" s="48">
        <f>高情景!AJ17*0.55+低情景!AJ17*0.45</f>
        <v>95420</v>
      </c>
      <c r="AK17" s="48">
        <f>高情景!AK17*0.55+低情景!AK17*0.45</f>
        <v>94090</v>
      </c>
      <c r="AL17" s="48">
        <f>高情景!AL17*0.55+低情景!AL17*0.45</f>
        <v>92760</v>
      </c>
      <c r="AM17" s="48">
        <f>高情景!AM17*0.55+低情景!AM17*0.45</f>
        <v>91430</v>
      </c>
      <c r="AN17" s="101">
        <f>高情景!AN17*0.55+低情景!AN17*0.45</f>
        <v>90100</v>
      </c>
      <c r="AO17" s="48">
        <f>高情景!AO17*0.55+低情景!AO17*0.45</f>
        <v>88550</v>
      </c>
      <c r="AP17" s="48">
        <f>高情景!AP17*0.55+低情景!AP17*0.45</f>
        <v>87000</v>
      </c>
      <c r="AQ17" s="48">
        <f>高情景!AQ17*0.55+低情景!AQ17*0.45</f>
        <v>85450</v>
      </c>
      <c r="AR17" s="48">
        <f>高情景!AR17*0.55+低情景!AR17*0.45</f>
        <v>83900</v>
      </c>
      <c r="AS17" s="104">
        <f>高情景!AS17*0.55+低情景!AS17*0.45</f>
        <v>82350</v>
      </c>
      <c r="AT17" s="106">
        <f t="shared" ref="AT17:AT18" si="0">AS17/G17</f>
        <v>0.80998419866891125</v>
      </c>
    </row>
    <row r="18" spans="1:48" x14ac:dyDescent="0.15">
      <c r="A18" s="18" t="s">
        <v>41</v>
      </c>
      <c r="B18" s="8" t="s">
        <v>42</v>
      </c>
      <c r="C18" s="9" t="s">
        <v>18</v>
      </c>
      <c r="D18" s="8" t="s">
        <v>26</v>
      </c>
      <c r="E18" s="47">
        <f>高情景!E18*0.5+低情景!E18*0.5</f>
        <v>106476.68</v>
      </c>
      <c r="F18" s="48">
        <f>高情景!F18*0.5+低情景!F18*0.5</f>
        <v>103524.26</v>
      </c>
      <c r="G18" s="101">
        <f>高情景!G18*0.7+低情景!G18*0.3</f>
        <v>101795.9</v>
      </c>
      <c r="H18" s="48">
        <f>高情景!H18*0.7+低情景!H18*0.3</f>
        <v>108463.93333333332</v>
      </c>
      <c r="I18" s="48">
        <f>高情景!I18*0.7+低情景!I18*0.3</f>
        <v>115131.96666666666</v>
      </c>
      <c r="J18" s="101">
        <f>高情景!J18*0.75+低情景!J18*0.25</f>
        <v>122500</v>
      </c>
      <c r="K18" s="48">
        <f>高情景!K18*0.75+低情景!K18*0.25</f>
        <v>124800</v>
      </c>
      <c r="L18" s="48">
        <f>高情景!L18*0.75+低情景!L18*0.25</f>
        <v>127100</v>
      </c>
      <c r="M18" s="48">
        <f>高情景!M18*0.75+低情景!M18*0.25</f>
        <v>129400</v>
      </c>
      <c r="N18" s="48">
        <f>高情景!N18*0.72+低情景!N18*0.28</f>
        <v>131040</v>
      </c>
      <c r="O18" s="108">
        <f>高情景!O18*0.7+低情景!O18*0.3</f>
        <v>132800</v>
      </c>
      <c r="P18" s="48">
        <f>高情景!P18*0.7+低情景!P18*0.3</f>
        <v>132520</v>
      </c>
      <c r="Q18" s="48">
        <f>高情景!Q18*0.68+低情景!Q18*0.32</f>
        <v>131696</v>
      </c>
      <c r="R18" s="48">
        <f>高情景!R18*0.65+低情景!R18*0.35</f>
        <v>130520</v>
      </c>
      <c r="S18" s="48">
        <f>高情景!S18*0.6+低情景!S18*0.4</f>
        <v>128640</v>
      </c>
      <c r="T18" s="101">
        <f>高情景!T18*0.55+低情景!T18*0.45</f>
        <v>126600</v>
      </c>
      <c r="U18" s="48">
        <f>高情景!U18*0.55+低情景!U18*0.45</f>
        <v>124910</v>
      </c>
      <c r="V18" s="48">
        <f>高情景!V18*0.55+低情景!V18*0.45</f>
        <v>123220</v>
      </c>
      <c r="W18" s="48">
        <f>高情景!W18*0.55+低情景!W18*0.45</f>
        <v>121530</v>
      </c>
      <c r="X18" s="48">
        <f>高情景!X18*0.55+低情景!X18*0.45</f>
        <v>119840</v>
      </c>
      <c r="Y18" s="101">
        <f>高情景!Y18*0.55+低情景!Y18*0.45</f>
        <v>118150</v>
      </c>
      <c r="Z18" s="48">
        <f>高情景!Z18*0.55+低情景!Z18*0.45</f>
        <v>115510</v>
      </c>
      <c r="AA18" s="48">
        <f>高情景!AA18*0.55+低情景!AA18*0.45</f>
        <v>112870</v>
      </c>
      <c r="AB18" s="48">
        <f>高情景!AB18*0.55+低情景!AB18*0.45</f>
        <v>110230</v>
      </c>
      <c r="AC18" s="48">
        <f>高情景!AC18*0.55+低情景!AC18*0.45</f>
        <v>107590</v>
      </c>
      <c r="AD18" s="101">
        <f>高情景!AD18*0.55+低情景!AD18*0.45</f>
        <v>104950</v>
      </c>
      <c r="AE18" s="48">
        <f>高情景!AE18*0.55+低情景!AE18*0.45</f>
        <v>102220</v>
      </c>
      <c r="AF18" s="48">
        <f>高情景!AF18*0.55+低情景!AF18*0.45</f>
        <v>99490</v>
      </c>
      <c r="AG18" s="48">
        <f>高情景!AG18*0.55+低情景!AG18*0.45</f>
        <v>96760</v>
      </c>
      <c r="AH18" s="48">
        <f>高情景!AH18*0.55+低情景!AH18*0.45</f>
        <v>94030</v>
      </c>
      <c r="AI18" s="101">
        <f>高情景!AI18*0.55+低情景!AI18*0.45</f>
        <v>91300</v>
      </c>
      <c r="AJ18" s="48">
        <f>高情景!AJ18*0.55+低情景!AJ18*0.45</f>
        <v>88880</v>
      </c>
      <c r="AK18" s="48">
        <f>高情景!AK18*0.55+低情景!AK18*0.45</f>
        <v>86460</v>
      </c>
      <c r="AL18" s="48">
        <f>高情景!AL18*0.55+低情景!AL18*0.45</f>
        <v>84040</v>
      </c>
      <c r="AM18" s="48">
        <f>高情景!AM18*0.55+低情景!AM18*0.45</f>
        <v>81620</v>
      </c>
      <c r="AN18" s="101">
        <f>高情景!AN18*0.55+低情景!AN18*0.45</f>
        <v>79200</v>
      </c>
      <c r="AO18" s="48">
        <f>高情景!AO18*0.55+低情景!AO18*0.45</f>
        <v>76797.058799999999</v>
      </c>
      <c r="AP18" s="48">
        <f>高情景!AP18*0.55+低情景!AP18*0.45</f>
        <v>74394.117599999998</v>
      </c>
      <c r="AQ18" s="48">
        <f>高情景!AQ18*0.55+低情景!AQ18*0.45</f>
        <v>71991.176399999997</v>
      </c>
      <c r="AR18" s="48">
        <f>高情景!AR18*0.55+低情景!AR18*0.45</f>
        <v>69588.235199999996</v>
      </c>
      <c r="AS18" s="104">
        <f>高情景!AS18*0.55+低情景!AS18*0.45</f>
        <v>67185.293999999994</v>
      </c>
      <c r="AT18" s="106">
        <f t="shared" si="0"/>
        <v>0.66</v>
      </c>
    </row>
    <row r="19" spans="1:48" x14ac:dyDescent="0.15">
      <c r="A19" s="17" t="s">
        <v>43</v>
      </c>
      <c r="B19" s="8" t="s">
        <v>44</v>
      </c>
      <c r="C19" s="9" t="s">
        <v>18</v>
      </c>
      <c r="D19" s="8" t="s">
        <v>26</v>
      </c>
      <c r="E19" s="47">
        <f>高情景!E19*0.5+低情景!E19*0.5</f>
        <v>3708.04</v>
      </c>
      <c r="F19" s="48">
        <f>高情景!F19*0.5+低情景!F19*0.5</f>
        <v>3850.32</v>
      </c>
      <c r="G19" s="101">
        <f>高情景!G19*0.7+低情景!G19*0.3</f>
        <v>4014.4299999999994</v>
      </c>
      <c r="H19" s="48">
        <f>高情景!H19*0.7+低情景!H19*0.3</f>
        <v>4317.9533333333329</v>
      </c>
      <c r="I19" s="48">
        <f>高情景!I19*0.7+低情景!I19*0.3</f>
        <v>4621.4766666666656</v>
      </c>
      <c r="J19" s="101">
        <f>高情景!J19*0.75+低情景!J19*0.25</f>
        <v>4937.5</v>
      </c>
      <c r="K19" s="48">
        <f>高情景!K19*0.75+低情景!K19*0.25</f>
        <v>5167.5</v>
      </c>
      <c r="L19" s="48">
        <f>高情景!L19*0.75+低情景!L19*0.25</f>
        <v>5397.5</v>
      </c>
      <c r="M19" s="48">
        <f>高情景!M19*0.75+低情景!M19*0.25</f>
        <v>5627.5</v>
      </c>
      <c r="N19" s="48">
        <f>高情景!N19*0.72+低情景!N19*0.28</f>
        <v>5835.6</v>
      </c>
      <c r="O19" s="108">
        <f>高情景!O19*0.7+低情景!O19*0.3</f>
        <v>6045</v>
      </c>
      <c r="P19" s="48">
        <f>高情景!P19*0.7+低情景!P19*0.3</f>
        <v>6167</v>
      </c>
      <c r="Q19" s="48">
        <f>高情景!Q19*0.68+低情景!Q19*0.32</f>
        <v>6269.6</v>
      </c>
      <c r="R19" s="48">
        <f>高情景!R19*0.65+低情景!R19*0.35</f>
        <v>6359.5</v>
      </c>
      <c r="S19" s="48">
        <f>高情景!S19*0.6+低情景!S19*0.4</f>
        <v>6424</v>
      </c>
      <c r="T19" s="101">
        <f>高情景!T19*0.55+低情景!T19*0.45</f>
        <v>6482.5</v>
      </c>
      <c r="U19" s="48">
        <f>高情景!U19*0.55+低情景!U19*0.45</f>
        <v>6486.5</v>
      </c>
      <c r="V19" s="48">
        <f>高情景!V19*0.55+低情景!V19*0.45</f>
        <v>6490.5</v>
      </c>
      <c r="W19" s="48">
        <f>高情景!W19*0.55+低情景!W19*0.45</f>
        <v>6494.5</v>
      </c>
      <c r="X19" s="48">
        <f>高情景!X19*0.55+低情景!X19*0.45</f>
        <v>6498.5</v>
      </c>
      <c r="Y19" s="101">
        <f>高情景!Y19*0.55+低情景!Y19*0.45</f>
        <v>6502.5</v>
      </c>
      <c r="Z19" s="48">
        <f>高情景!Z19*0.55+低情景!Z19*0.45</f>
        <v>6451</v>
      </c>
      <c r="AA19" s="48">
        <f>高情景!AA19*0.55+低情景!AA19*0.45</f>
        <v>6399.5</v>
      </c>
      <c r="AB19" s="48">
        <f>高情景!AB19*0.55+低情景!AB19*0.45</f>
        <v>6348</v>
      </c>
      <c r="AC19" s="48">
        <f>高情景!AC19*0.55+低情景!AC19*0.45</f>
        <v>6296.5</v>
      </c>
      <c r="AD19" s="101">
        <f>高情景!AD19*0.55+低情景!AD19*0.45</f>
        <v>6245</v>
      </c>
      <c r="AE19" s="48">
        <f>高情景!AE19*0.55+低情景!AE19*0.45</f>
        <v>6145</v>
      </c>
      <c r="AF19" s="48">
        <f>高情景!AF19*0.55+低情景!AF19*0.45</f>
        <v>6045</v>
      </c>
      <c r="AG19" s="48">
        <f>高情景!AG19*0.55+低情景!AG19*0.45</f>
        <v>5945</v>
      </c>
      <c r="AH19" s="48">
        <f>高情景!AH19*0.55+低情景!AH19*0.45</f>
        <v>5845</v>
      </c>
      <c r="AI19" s="101">
        <f>高情景!AI19*0.55+低情景!AI19*0.45</f>
        <v>5745</v>
      </c>
      <c r="AJ19" s="48">
        <f>高情景!AJ19*0.55+低情景!AJ19*0.45</f>
        <v>5621</v>
      </c>
      <c r="AK19" s="48">
        <f>高情景!AK19*0.55+低情景!AK19*0.45</f>
        <v>5497</v>
      </c>
      <c r="AL19" s="48">
        <f>高情景!AL19*0.55+低情景!AL19*0.45</f>
        <v>5373</v>
      </c>
      <c r="AM19" s="48">
        <f>高情景!AM19*0.55+低情景!AM19*0.45</f>
        <v>5249</v>
      </c>
      <c r="AN19" s="101">
        <f>高情景!AN19*0.55+低情景!AN19*0.45</f>
        <v>5125</v>
      </c>
      <c r="AO19" s="48">
        <f>高情景!AO19*0.55+低情景!AO19*0.45</f>
        <v>4992</v>
      </c>
      <c r="AP19" s="48">
        <f>高情景!AP19*0.55+低情景!AP19*0.45</f>
        <v>4859</v>
      </c>
      <c r="AQ19" s="48">
        <f>高情景!AQ19*0.55+低情景!AQ19*0.45</f>
        <v>4726</v>
      </c>
      <c r="AR19" s="48">
        <f>高情景!AR19*0.55+低情景!AR19*0.45</f>
        <v>4593</v>
      </c>
      <c r="AS19" s="104">
        <f>高情景!AS19*0.55+低情景!AS19*0.45</f>
        <v>4460</v>
      </c>
    </row>
    <row r="20" spans="1:48" x14ac:dyDescent="0.15">
      <c r="A20" s="17" t="s">
        <v>43</v>
      </c>
      <c r="B20" s="39" t="s">
        <v>45</v>
      </c>
      <c r="C20" s="9" t="s">
        <v>18</v>
      </c>
      <c r="D20" s="8" t="s">
        <v>46</v>
      </c>
      <c r="E20" s="47">
        <f>高情景!E20*0.5+低情景!E20*0.5</f>
        <v>1002.51</v>
      </c>
      <c r="F20" s="48">
        <f>高情景!F20*0.5+低情景!F20*0.5</f>
        <v>1048.67</v>
      </c>
      <c r="G20" s="101">
        <f>高情景!G20*0.7+低情景!G20*0.3</f>
        <v>1111.53</v>
      </c>
      <c r="H20" s="48">
        <f>高情景!H20*0.7+低情景!H20*0.3</f>
        <v>1257.6866666666667</v>
      </c>
      <c r="I20" s="48">
        <f>高情景!I20*0.7+低情景!I20*0.3</f>
        <v>1403.8433333333332</v>
      </c>
      <c r="J20" s="101">
        <f>高情景!J20*0.75+低情景!J20*0.25</f>
        <v>1550</v>
      </c>
      <c r="K20" s="48">
        <f>高情景!K20*0.75+低情景!K20*0.25</f>
        <v>1625</v>
      </c>
      <c r="L20" s="48">
        <f>高情景!L20*0.75+低情景!L20*0.25</f>
        <v>1700</v>
      </c>
      <c r="M20" s="48">
        <f>高情景!M20*0.75+低情景!M20*0.25</f>
        <v>1775</v>
      </c>
      <c r="N20" s="48">
        <f>高情景!N20*0.72+低情景!N20*0.28</f>
        <v>1852.4</v>
      </c>
      <c r="O20" s="108">
        <f>高情景!O20*0.7+低情景!O20*0.3</f>
        <v>1930</v>
      </c>
      <c r="P20" s="48">
        <f>高情景!P20*0.7+低情景!P20*0.3</f>
        <v>1976</v>
      </c>
      <c r="Q20" s="48">
        <f>高情景!Q20*0.68+低情景!Q20*0.32</f>
        <v>2024.8000000000002</v>
      </c>
      <c r="R20" s="48">
        <f>高情景!R20*0.65+低情景!R20*0.35</f>
        <v>2076</v>
      </c>
      <c r="S20" s="48">
        <f>高情景!S20*0.6+低情景!S20*0.4</f>
        <v>2132</v>
      </c>
      <c r="T20" s="101">
        <f>高情景!T20*0.55+低情景!T20*0.45</f>
        <v>2190</v>
      </c>
      <c r="U20" s="48">
        <f>高情景!U20*0.55+低情景!U20*0.45</f>
        <v>2219</v>
      </c>
      <c r="V20" s="48">
        <f>高情景!V20*0.55+低情景!V20*0.45</f>
        <v>2248</v>
      </c>
      <c r="W20" s="48">
        <f>高情景!W20*0.55+低情景!W20*0.45</f>
        <v>2277</v>
      </c>
      <c r="X20" s="48">
        <f>高情景!X20*0.55+低情景!X20*0.45</f>
        <v>2306</v>
      </c>
      <c r="Y20" s="101">
        <f>高情景!Y20*0.55+低情景!Y20*0.45</f>
        <v>2335</v>
      </c>
      <c r="Z20" s="48">
        <f>高情景!Z20*0.55+低情景!Z20*0.45</f>
        <v>2358.5</v>
      </c>
      <c r="AA20" s="48">
        <f>高情景!AA20*0.55+低情景!AA20*0.45</f>
        <v>2382</v>
      </c>
      <c r="AB20" s="48">
        <f>高情景!AB20*0.55+低情景!AB20*0.45</f>
        <v>2405.5</v>
      </c>
      <c r="AC20" s="48">
        <f>高情景!AC20*0.55+低情景!AC20*0.45</f>
        <v>2429</v>
      </c>
      <c r="AD20" s="101">
        <f>高情景!AD20*0.55+低情景!AD20*0.45</f>
        <v>2452.5</v>
      </c>
      <c r="AE20" s="48">
        <f>高情景!AE20*0.55+低情景!AE20*0.45</f>
        <v>2471.5</v>
      </c>
      <c r="AF20" s="48">
        <f>高情景!AF20*0.55+低情景!AF20*0.45</f>
        <v>2490.5</v>
      </c>
      <c r="AG20" s="48">
        <f>高情景!AG20*0.55+低情景!AG20*0.45</f>
        <v>2509.5</v>
      </c>
      <c r="AH20" s="48">
        <f>高情景!AH20*0.55+低情景!AH20*0.45</f>
        <v>2528.5</v>
      </c>
      <c r="AI20" s="101">
        <f>高情景!AI20*0.55+低情景!AI20*0.45</f>
        <v>2547.5</v>
      </c>
      <c r="AJ20" s="48">
        <f>高情景!AJ20*0.55+低情景!AJ20*0.45</f>
        <v>2564.6999999999998</v>
      </c>
      <c r="AK20" s="48">
        <f>高情景!AK20*0.55+低情景!AK20*0.45</f>
        <v>2581.9</v>
      </c>
      <c r="AL20" s="48">
        <f>高情景!AL20*0.55+低情景!AL20*0.45</f>
        <v>2599.1000000000004</v>
      </c>
      <c r="AM20" s="48">
        <f>高情景!AM20*0.55+低情景!AM20*0.45</f>
        <v>2616.3000000000002</v>
      </c>
      <c r="AN20" s="101">
        <f>高情景!AN20*0.55+低情景!AN20*0.45</f>
        <v>2633.5</v>
      </c>
      <c r="AO20" s="48">
        <f>高情景!AO20*0.55+低情景!AO20*0.45</f>
        <v>2648.7</v>
      </c>
      <c r="AP20" s="48">
        <f>高情景!AP20*0.55+低情景!AP20*0.45</f>
        <v>2663.9000000000005</v>
      </c>
      <c r="AQ20" s="48">
        <f>高情景!AQ20*0.55+低情景!AQ20*0.45</f>
        <v>2679.1000000000004</v>
      </c>
      <c r="AR20" s="48">
        <f>高情景!AR20*0.55+低情景!AR20*0.45</f>
        <v>2694.3</v>
      </c>
      <c r="AS20" s="104">
        <f>高情景!AS20*0.55+低情景!AS20*0.45</f>
        <v>2709.5</v>
      </c>
    </row>
    <row r="21" spans="1:48" x14ac:dyDescent="0.15">
      <c r="A21" s="20" t="s">
        <v>47</v>
      </c>
      <c r="B21" s="21" t="s">
        <v>48</v>
      </c>
      <c r="C21" s="22" t="s">
        <v>49</v>
      </c>
      <c r="D21" s="21" t="s">
        <v>50</v>
      </c>
      <c r="E21" s="49">
        <f>高情景!E21*0.5+低情景!E21*0.5</f>
        <v>2532.4899999999998</v>
      </c>
      <c r="F21" s="50">
        <f>高情景!F21*0.5+低情景!F21*0.5</f>
        <v>2625.7</v>
      </c>
      <c r="G21" s="102">
        <f>高情景!G21*0.7+低情景!G21*0.3</f>
        <v>2713.63</v>
      </c>
      <c r="H21" s="50">
        <f>高情景!H21*0.7+低情景!H21*0.3</f>
        <v>2961.3696166666668</v>
      </c>
      <c r="I21" s="50">
        <f>高情景!I21*0.7+低情景!I21*0.3</f>
        <v>3209.1092333333331</v>
      </c>
      <c r="J21" s="102">
        <f>高情景!J21*0.75+低情景!J21*0.25</f>
        <v>3450.517625</v>
      </c>
      <c r="K21" s="50">
        <f>高情景!K21*0.75+低情景!K21*0.25</f>
        <v>3552.7551842592593</v>
      </c>
      <c r="L21" s="50">
        <f>高情景!L21*0.75+低情景!L21*0.25</f>
        <v>3654.9927435185182</v>
      </c>
      <c r="M21" s="50">
        <f>高情景!M21*0.75+低情景!M21*0.25</f>
        <v>3757.2303027777771</v>
      </c>
      <c r="N21" s="50">
        <f>高情景!N21*0.72+低情景!N21*0.28</f>
        <v>3863.7168174814806</v>
      </c>
      <c r="O21" s="109">
        <f>高情景!O21*0.7+低情景!O21*0.3</f>
        <v>3968.9746055555552</v>
      </c>
      <c r="P21" s="50">
        <f>高情景!P21*0.7+低情景!P21*0.3</f>
        <v>4020.1871811111105</v>
      </c>
      <c r="Q21" s="50">
        <f>高情景!Q21*0.68+低情景!Q21*0.32</f>
        <v>4074.3824671111106</v>
      </c>
      <c r="R21" s="50">
        <f>高情景!R21*0.65+低情景!R21*0.35</f>
        <v>4130.1629042592576</v>
      </c>
      <c r="S21" s="50">
        <f>高情景!S21*0.6+低情景!S21*0.4</f>
        <v>4189.1136437037021</v>
      </c>
      <c r="T21" s="102">
        <f>高情景!T21*0.55+低情景!T21*0.45</f>
        <v>4248.2519749999992</v>
      </c>
      <c r="U21" s="50">
        <f>高情景!U21*0.55+低情景!U21*0.45</f>
        <v>4259.0150574999989</v>
      </c>
      <c r="V21" s="50">
        <f>高情景!V21*0.55+低情景!V21*0.45</f>
        <v>4269.7781399999994</v>
      </c>
      <c r="W21" s="50">
        <f>高情景!W21*0.55+低情景!W21*0.45</f>
        <v>4280.5412225</v>
      </c>
      <c r="X21" s="50">
        <f>高情景!X21*0.55+低情景!X21*0.45</f>
        <v>4291.3043049999997</v>
      </c>
      <c r="Y21" s="102">
        <f>高情景!Y21*0.55+低情景!Y21*0.45</f>
        <v>4302.0673874999993</v>
      </c>
      <c r="Z21" s="50">
        <f>高情景!Z21*0.55+低情景!Z21*0.45</f>
        <v>4301.3758229230762</v>
      </c>
      <c r="AA21" s="50">
        <f>高情景!AA21*0.55+低情景!AA21*0.45</f>
        <v>4300.684258346153</v>
      </c>
      <c r="AB21" s="50">
        <f>高情景!AB21*0.55+低情景!AB21*0.45</f>
        <v>4299.9926937692308</v>
      </c>
      <c r="AC21" s="50">
        <f>高情景!AC21*0.55+低情景!AC21*0.45</f>
        <v>4299.3011291923067</v>
      </c>
      <c r="AD21" s="102">
        <f>高情景!AD21*0.55+低情景!AD21*0.45</f>
        <v>4298.6095646153844</v>
      </c>
      <c r="AE21" s="50">
        <f>高情景!AE21*0.55+低情景!AE21*0.45</f>
        <v>4285.1764097259611</v>
      </c>
      <c r="AF21" s="50">
        <f>高情景!AF21*0.55+低情景!AF21*0.45</f>
        <v>4271.7432548365377</v>
      </c>
      <c r="AG21" s="50">
        <f>高情景!AG21*0.55+低情景!AG21*0.45</f>
        <v>4258.3100999471153</v>
      </c>
      <c r="AH21" s="50">
        <f>高情景!AH21*0.55+低情景!AH21*0.45</f>
        <v>4244.8769450576929</v>
      </c>
      <c r="AI21" s="102">
        <f>高情景!AI21*0.55+低情景!AI21*0.45</f>
        <v>4231.4437901682686</v>
      </c>
      <c r="AJ21" s="50">
        <f>高情景!AJ21*0.55+低情景!AJ21*0.45</f>
        <v>4226.0705282125</v>
      </c>
      <c r="AK21" s="50">
        <f>高情景!AK21*0.55+低情景!AK21*0.45</f>
        <v>4220.6972662567305</v>
      </c>
      <c r="AL21" s="50">
        <f>高情景!AL21*0.55+低情景!AL21*0.45</f>
        <v>4215.324004300961</v>
      </c>
      <c r="AM21" s="50">
        <f>高情景!AM21*0.55+低情景!AM21*0.45</f>
        <v>4209.9507423451923</v>
      </c>
      <c r="AN21" s="102">
        <f>高情景!AN21*0.55+低情景!AN21*0.45</f>
        <v>4204.5774803894228</v>
      </c>
      <c r="AO21" s="50">
        <f>高情景!AO21*0.55+低情景!AO21*0.45</f>
        <v>4196.517587455769</v>
      </c>
      <c r="AP21" s="50">
        <f>高情景!AP21*0.55+低情景!AP21*0.45</f>
        <v>4188.4576945221152</v>
      </c>
      <c r="AQ21" s="50">
        <f>高情景!AQ21*0.55+低情景!AQ21*0.45</f>
        <v>4180.3978015884613</v>
      </c>
      <c r="AR21" s="50">
        <f>高情景!AR21*0.55+低情景!AR21*0.45</f>
        <v>4172.3379086548066</v>
      </c>
      <c r="AS21" s="105">
        <f>高情景!AS21*0.55+低情景!AS21*0.45</f>
        <v>4164.2780157211537</v>
      </c>
    </row>
    <row r="25" spans="1:48" ht="15" x14ac:dyDescent="0.25">
      <c r="A25" s="74" t="s">
        <v>99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 x14ac:dyDescent="0.15">
      <c r="A26" s="51" t="s">
        <v>53</v>
      </c>
      <c r="B26" s="51" t="s">
        <v>54</v>
      </c>
      <c r="C26" s="52" t="s">
        <v>55</v>
      </c>
      <c r="D26" s="53" t="s">
        <v>56</v>
      </c>
      <c r="E26" s="53" t="s">
        <v>57</v>
      </c>
      <c r="F26" s="41">
        <v>2018</v>
      </c>
      <c r="G26" s="42">
        <v>2019</v>
      </c>
      <c r="H26" s="42">
        <v>2020</v>
      </c>
      <c r="I26" s="42">
        <v>2021</v>
      </c>
      <c r="J26" s="42">
        <v>2022</v>
      </c>
      <c r="K26" s="42">
        <v>2023</v>
      </c>
      <c r="L26" s="42">
        <v>2024</v>
      </c>
      <c r="M26" s="42">
        <v>2025</v>
      </c>
      <c r="N26" s="42">
        <v>2026</v>
      </c>
      <c r="O26" s="42">
        <v>2027</v>
      </c>
      <c r="P26" s="42">
        <v>2028</v>
      </c>
      <c r="Q26" s="42">
        <v>2029</v>
      </c>
      <c r="R26" s="42">
        <v>2030</v>
      </c>
      <c r="S26" s="42">
        <v>2031</v>
      </c>
      <c r="T26" s="42">
        <v>2032</v>
      </c>
      <c r="U26" s="42">
        <v>2033</v>
      </c>
      <c r="V26" s="42">
        <v>2034</v>
      </c>
      <c r="W26" s="42">
        <v>2035</v>
      </c>
      <c r="X26" s="42">
        <v>2036</v>
      </c>
      <c r="Y26" s="42">
        <v>2037</v>
      </c>
      <c r="Z26" s="42">
        <v>2038</v>
      </c>
      <c r="AA26" s="42">
        <v>2039</v>
      </c>
      <c r="AB26" s="42">
        <v>2040</v>
      </c>
      <c r="AC26" s="42">
        <v>2041</v>
      </c>
      <c r="AD26" s="42">
        <v>2042</v>
      </c>
      <c r="AE26" s="42">
        <v>2043</v>
      </c>
      <c r="AF26" s="42">
        <v>2044</v>
      </c>
      <c r="AG26" s="42">
        <v>2045</v>
      </c>
      <c r="AH26" s="42">
        <v>2046</v>
      </c>
      <c r="AI26" s="42">
        <v>2047</v>
      </c>
      <c r="AJ26" s="42">
        <v>2048</v>
      </c>
      <c r="AK26" s="42">
        <v>2049</v>
      </c>
      <c r="AL26" s="42">
        <v>2050</v>
      </c>
      <c r="AM26" s="42">
        <v>2051</v>
      </c>
      <c r="AN26" s="42">
        <v>2052</v>
      </c>
      <c r="AO26" s="42">
        <v>2053</v>
      </c>
      <c r="AP26" s="42">
        <v>2054</v>
      </c>
      <c r="AQ26" s="42">
        <v>2055</v>
      </c>
      <c r="AR26" s="42">
        <v>2056</v>
      </c>
      <c r="AS26" s="42">
        <v>2057</v>
      </c>
      <c r="AT26" s="42">
        <v>2058</v>
      </c>
      <c r="AU26" s="42">
        <v>2059</v>
      </c>
      <c r="AV26" s="43">
        <v>2060</v>
      </c>
    </row>
    <row r="27" spans="1:48" ht="14.25" x14ac:dyDescent="0.2">
      <c r="A27" s="54" t="s">
        <v>58</v>
      </c>
      <c r="B27" s="54" t="s">
        <v>59</v>
      </c>
      <c r="C27" s="55" t="s">
        <v>60</v>
      </c>
      <c r="D27" s="56" t="s">
        <v>61</v>
      </c>
      <c r="E27" s="57" t="s">
        <v>62</v>
      </c>
      <c r="F27" s="90">
        <f>F40</f>
        <v>13.953799999999999</v>
      </c>
      <c r="G27" s="91">
        <f t="shared" ref="G27:AV27" si="1">G40</f>
        <v>14.007930999999999</v>
      </c>
      <c r="H27" s="91">
        <f t="shared" si="1"/>
        <v>14.131351629999999</v>
      </c>
      <c r="I27" s="91">
        <f t="shared" si="1"/>
        <v>14.16016011</v>
      </c>
      <c r="J27" s="91">
        <f t="shared" si="1"/>
        <v>14.188968259999999</v>
      </c>
      <c r="K27" s="91">
        <f t="shared" si="1"/>
        <v>14.21777659</v>
      </c>
      <c r="L27" s="91">
        <f t="shared" si="1"/>
        <v>14.246584739999999</v>
      </c>
      <c r="M27" s="91">
        <f t="shared" si="1"/>
        <v>14.27539322</v>
      </c>
      <c r="N27" s="91">
        <f t="shared" si="1"/>
        <v>14.27109347</v>
      </c>
      <c r="O27" s="91">
        <f t="shared" si="1"/>
        <v>14.2667936</v>
      </c>
      <c r="P27" s="91">
        <f t="shared" si="1"/>
        <v>14.26249434</v>
      </c>
      <c r="Q27" s="91">
        <f t="shared" si="1"/>
        <v>14.258194469999999</v>
      </c>
      <c r="R27" s="91">
        <f t="shared" si="1"/>
        <v>14.25389472</v>
      </c>
      <c r="S27" s="91">
        <f t="shared" si="1"/>
        <v>14.234383210000001</v>
      </c>
      <c r="T27" s="91">
        <f t="shared" si="1"/>
        <v>14.21487207</v>
      </c>
      <c r="U27" s="91">
        <f t="shared" si="1"/>
        <v>14.19536108</v>
      </c>
      <c r="V27" s="91">
        <f t="shared" si="1"/>
        <v>14.175849940000001</v>
      </c>
      <c r="W27" s="91">
        <f t="shared" si="1"/>
        <v>14.15633843</v>
      </c>
      <c r="X27" s="91">
        <f t="shared" si="1"/>
        <v>14.120965379999999</v>
      </c>
      <c r="Y27" s="91">
        <f t="shared" si="1"/>
        <v>14.08559209</v>
      </c>
      <c r="Z27" s="91">
        <f t="shared" si="1"/>
        <v>14.050218709999999</v>
      </c>
      <c r="AA27" s="91">
        <f t="shared" si="1"/>
        <v>14.01484542</v>
      </c>
      <c r="AB27" s="91">
        <f t="shared" si="1"/>
        <v>13.97947237</v>
      </c>
      <c r="AC27" s="91">
        <f t="shared" si="1"/>
        <v>13.93101401</v>
      </c>
      <c r="AD27" s="91">
        <f t="shared" si="1"/>
        <v>13.882555740000001</v>
      </c>
      <c r="AE27" s="91">
        <f t="shared" si="1"/>
        <v>13.83409724</v>
      </c>
      <c r="AF27" s="91">
        <f t="shared" si="1"/>
        <v>13.785638970000001</v>
      </c>
      <c r="AG27" s="91">
        <f t="shared" si="1"/>
        <v>13.737180609999999</v>
      </c>
      <c r="AH27" s="91">
        <f t="shared" si="1"/>
        <v>13.66731802</v>
      </c>
      <c r="AI27" s="91">
        <f t="shared" si="1"/>
        <v>13.597455719999999</v>
      </c>
      <c r="AJ27" s="91">
        <f t="shared" si="1"/>
        <v>13.52759292</v>
      </c>
      <c r="AK27" s="91">
        <f t="shared" si="1"/>
        <v>13.45773062</v>
      </c>
      <c r="AL27" s="91">
        <f t="shared" si="1"/>
        <v>13.38786803</v>
      </c>
      <c r="AM27" s="91">
        <f t="shared" si="1"/>
        <v>13.29363728</v>
      </c>
      <c r="AN27" s="91">
        <f t="shared" si="1"/>
        <v>13.19940598</v>
      </c>
      <c r="AO27" s="91">
        <f t="shared" si="1"/>
        <v>13.105175389999999</v>
      </c>
      <c r="AP27" s="91">
        <f t="shared" si="1"/>
        <v>13.010944090000001</v>
      </c>
      <c r="AQ27" s="91">
        <f t="shared" si="1"/>
        <v>12.916713339999999</v>
      </c>
      <c r="AR27" s="91">
        <f t="shared" si="1"/>
        <v>12.803761980000001</v>
      </c>
      <c r="AS27" s="91">
        <f t="shared" si="1"/>
        <v>12.690810539999999</v>
      </c>
      <c r="AT27" s="91">
        <f t="shared" si="1"/>
        <v>12.577859249999999</v>
      </c>
      <c r="AU27" s="91">
        <f t="shared" si="1"/>
        <v>12.46490781</v>
      </c>
      <c r="AV27" s="92">
        <f t="shared" si="1"/>
        <v>12.351956449999999</v>
      </c>
    </row>
    <row r="28" spans="1:48" x14ac:dyDescent="0.15">
      <c r="A28" s="58" t="s">
        <v>63</v>
      </c>
      <c r="B28" s="59" t="s">
        <v>64</v>
      </c>
      <c r="C28" s="60" t="s">
        <v>65</v>
      </c>
      <c r="D28" s="61" t="s">
        <v>66</v>
      </c>
      <c r="E28" s="62" t="s">
        <v>67</v>
      </c>
      <c r="F28" s="75">
        <v>36.979999999999997</v>
      </c>
      <c r="G28" s="76">
        <v>38.46</v>
      </c>
      <c r="H28" s="77">
        <f>E2</f>
        <v>39.020000000000003</v>
      </c>
      <c r="I28" s="77">
        <f t="shared" ref="I28:AV30" si="2">F2</f>
        <v>41.26</v>
      </c>
      <c r="J28" s="77">
        <f t="shared" si="2"/>
        <v>45.59</v>
      </c>
      <c r="K28" s="77">
        <f t="shared" si="2"/>
        <v>46.826666666666668</v>
      </c>
      <c r="L28" s="77">
        <f t="shared" si="2"/>
        <v>48.063333333333325</v>
      </c>
      <c r="M28" s="77">
        <f t="shared" si="2"/>
        <v>49.25</v>
      </c>
      <c r="N28" s="77">
        <f t="shared" si="2"/>
        <v>50.05</v>
      </c>
      <c r="O28" s="77">
        <f t="shared" si="2"/>
        <v>50.849999999999994</v>
      </c>
      <c r="P28" s="77">
        <f t="shared" si="2"/>
        <v>51.649999999999991</v>
      </c>
      <c r="Q28" s="77">
        <f t="shared" si="2"/>
        <v>52.47999999999999</v>
      </c>
      <c r="R28" s="77">
        <f t="shared" si="2"/>
        <v>53.3</v>
      </c>
      <c r="S28" s="77">
        <f t="shared" si="2"/>
        <v>53.449999999999989</v>
      </c>
      <c r="T28" s="77">
        <f t="shared" si="2"/>
        <v>53.599999999999994</v>
      </c>
      <c r="U28" s="77">
        <f t="shared" si="2"/>
        <v>53.724999999999994</v>
      </c>
      <c r="V28" s="77">
        <f t="shared" si="2"/>
        <v>53.799999999999983</v>
      </c>
      <c r="W28" s="77">
        <f t="shared" si="2"/>
        <v>53.825000000000003</v>
      </c>
      <c r="X28" s="77">
        <f t="shared" si="2"/>
        <v>53.190000000000005</v>
      </c>
      <c r="Y28" s="77">
        <f t="shared" si="2"/>
        <v>52.555000000000007</v>
      </c>
      <c r="Z28" s="77">
        <f t="shared" si="2"/>
        <v>51.92</v>
      </c>
      <c r="AA28" s="77">
        <f t="shared" si="2"/>
        <v>51.285000000000011</v>
      </c>
      <c r="AB28" s="77">
        <f t="shared" si="2"/>
        <v>50.650000000000006</v>
      </c>
      <c r="AC28" s="77">
        <f t="shared" si="2"/>
        <v>49.67</v>
      </c>
      <c r="AD28" s="77">
        <f t="shared" si="2"/>
        <v>48.690000000000005</v>
      </c>
      <c r="AE28" s="77">
        <f t="shared" si="2"/>
        <v>47.710000000000008</v>
      </c>
      <c r="AF28" s="77">
        <f t="shared" si="2"/>
        <v>46.730000000000004</v>
      </c>
      <c r="AG28" s="77">
        <f t="shared" si="2"/>
        <v>45.75</v>
      </c>
      <c r="AH28" s="77">
        <f t="shared" si="2"/>
        <v>44.860000000000007</v>
      </c>
      <c r="AI28" s="77">
        <f t="shared" si="2"/>
        <v>43.970000000000006</v>
      </c>
      <c r="AJ28" s="77">
        <f t="shared" si="2"/>
        <v>43.080000000000005</v>
      </c>
      <c r="AK28" s="77">
        <f t="shared" si="2"/>
        <v>42.190000000000012</v>
      </c>
      <c r="AL28" s="77">
        <f t="shared" si="2"/>
        <v>41.300000000000004</v>
      </c>
      <c r="AM28" s="77">
        <f t="shared" si="2"/>
        <v>40.300000000000004</v>
      </c>
      <c r="AN28" s="77">
        <f t="shared" si="2"/>
        <v>39.299999999999997</v>
      </c>
      <c r="AO28" s="77">
        <f t="shared" si="2"/>
        <v>38.299999999999997</v>
      </c>
      <c r="AP28" s="77">
        <f t="shared" si="2"/>
        <v>37.299999999999997</v>
      </c>
      <c r="AQ28" s="77">
        <f t="shared" si="2"/>
        <v>36.300000000000004</v>
      </c>
      <c r="AR28" s="77">
        <f t="shared" si="2"/>
        <v>35.410000000000004</v>
      </c>
      <c r="AS28" s="77">
        <f t="shared" si="2"/>
        <v>34.520000000000003</v>
      </c>
      <c r="AT28" s="77">
        <f t="shared" si="2"/>
        <v>33.63000000000001</v>
      </c>
      <c r="AU28" s="77">
        <f t="shared" si="2"/>
        <v>32.740000000000009</v>
      </c>
      <c r="AV28" s="78">
        <f t="shared" si="2"/>
        <v>31.85</v>
      </c>
    </row>
    <row r="29" spans="1:48" x14ac:dyDescent="0.15">
      <c r="A29" s="63" t="s">
        <v>68</v>
      </c>
      <c r="B29" s="64" t="s">
        <v>64</v>
      </c>
      <c r="C29" s="65" t="s">
        <v>69</v>
      </c>
      <c r="D29" s="61" t="s">
        <v>66</v>
      </c>
      <c r="E29" s="62" t="s">
        <v>70</v>
      </c>
      <c r="F29" s="75">
        <v>1.8932</v>
      </c>
      <c r="G29" s="76">
        <v>1.9100999999999999</v>
      </c>
      <c r="H29" s="79">
        <f>E3</f>
        <v>1.9477</v>
      </c>
      <c r="I29" s="79">
        <f t="shared" si="2"/>
        <v>1.9887999999999999</v>
      </c>
      <c r="J29" s="79">
        <f t="shared" si="2"/>
        <v>2.0472000000000001</v>
      </c>
      <c r="K29" s="79">
        <f t="shared" si="2"/>
        <v>2.0911333333333335</v>
      </c>
      <c r="L29" s="79">
        <f t="shared" si="2"/>
        <v>2.1350666666666664</v>
      </c>
      <c r="M29" s="79">
        <f t="shared" si="2"/>
        <v>2.1775000000000002</v>
      </c>
      <c r="N29" s="79">
        <f t="shared" si="2"/>
        <v>2.1895000000000002</v>
      </c>
      <c r="O29" s="79">
        <f t="shared" si="2"/>
        <v>2.2015000000000002</v>
      </c>
      <c r="P29" s="79">
        <f t="shared" si="2"/>
        <v>2.2135000000000002</v>
      </c>
      <c r="Q29" s="79">
        <f t="shared" si="2"/>
        <v>2.2292800000000006</v>
      </c>
      <c r="R29" s="79">
        <f t="shared" si="2"/>
        <v>2.2450000000000001</v>
      </c>
      <c r="S29" s="79">
        <f t="shared" si="2"/>
        <v>2.258</v>
      </c>
      <c r="T29" s="79">
        <f t="shared" si="2"/>
        <v>2.2736000000000001</v>
      </c>
      <c r="U29" s="79">
        <f t="shared" si="2"/>
        <v>2.29</v>
      </c>
      <c r="V29" s="79">
        <f t="shared" si="2"/>
        <v>2.3079999999999998</v>
      </c>
      <c r="W29" s="79">
        <f t="shared" si="2"/>
        <v>2.3250000000000002</v>
      </c>
      <c r="X29" s="79">
        <f t="shared" si="2"/>
        <v>2.3254000000000001</v>
      </c>
      <c r="Y29" s="79">
        <f t="shared" si="2"/>
        <v>2.3258000000000001</v>
      </c>
      <c r="Z29" s="79">
        <f t="shared" si="2"/>
        <v>2.3262</v>
      </c>
      <c r="AA29" s="79">
        <f t="shared" si="2"/>
        <v>2.3266</v>
      </c>
      <c r="AB29" s="79">
        <f t="shared" si="2"/>
        <v>2.327</v>
      </c>
      <c r="AC29" s="79">
        <f t="shared" si="2"/>
        <v>2.3087999999999997</v>
      </c>
      <c r="AD29" s="79">
        <f t="shared" si="2"/>
        <v>2.2905999999999995</v>
      </c>
      <c r="AE29" s="79">
        <f t="shared" si="2"/>
        <v>2.2724000000000002</v>
      </c>
      <c r="AF29" s="79">
        <f t="shared" si="2"/>
        <v>2.2542</v>
      </c>
      <c r="AG29" s="79">
        <f t="shared" si="2"/>
        <v>2.2360000000000002</v>
      </c>
      <c r="AH29" s="79">
        <f t="shared" si="2"/>
        <v>2.2088000000000001</v>
      </c>
      <c r="AI29" s="79">
        <f t="shared" si="2"/>
        <v>2.1816</v>
      </c>
      <c r="AJ29" s="79">
        <f t="shared" si="2"/>
        <v>2.1544000000000003</v>
      </c>
      <c r="AK29" s="79">
        <f t="shared" si="2"/>
        <v>2.1272000000000002</v>
      </c>
      <c r="AL29" s="79">
        <f t="shared" si="2"/>
        <v>2.1000000000000005</v>
      </c>
      <c r="AM29" s="79">
        <f t="shared" si="2"/>
        <v>2.0610000000000004</v>
      </c>
      <c r="AN29" s="79">
        <f t="shared" si="2"/>
        <v>2.0220000000000002</v>
      </c>
      <c r="AO29" s="79">
        <f t="shared" si="2"/>
        <v>1.9830000000000001</v>
      </c>
      <c r="AP29" s="79">
        <f t="shared" si="2"/>
        <v>1.9440000000000002</v>
      </c>
      <c r="AQ29" s="79">
        <f t="shared" si="2"/>
        <v>1.905</v>
      </c>
      <c r="AR29" s="79">
        <f t="shared" si="2"/>
        <v>1.8804000000000001</v>
      </c>
      <c r="AS29" s="79">
        <f t="shared" si="2"/>
        <v>1.8558000000000001</v>
      </c>
      <c r="AT29" s="79">
        <f t="shared" si="2"/>
        <v>1.8311999999999999</v>
      </c>
      <c r="AU29" s="79">
        <f t="shared" si="2"/>
        <v>1.8066</v>
      </c>
      <c r="AV29" s="80">
        <f t="shared" si="2"/>
        <v>1.782</v>
      </c>
    </row>
    <row r="30" spans="1:48" x14ac:dyDescent="0.15">
      <c r="A30" s="63" t="s">
        <v>68</v>
      </c>
      <c r="B30" s="64" t="s">
        <v>64</v>
      </c>
      <c r="C30" s="65" t="s">
        <v>71</v>
      </c>
      <c r="D30" s="61" t="s">
        <v>72</v>
      </c>
      <c r="E30" s="62" t="s">
        <v>70</v>
      </c>
      <c r="F30" s="75">
        <v>1601.59</v>
      </c>
      <c r="G30" s="76">
        <v>1761.74</v>
      </c>
      <c r="H30" s="81">
        <f>E4</f>
        <v>1924.95</v>
      </c>
      <c r="I30" s="81">
        <f t="shared" si="2"/>
        <v>2075.84</v>
      </c>
      <c r="J30" s="81">
        <f t="shared" si="2"/>
        <v>2201.0999999999995</v>
      </c>
      <c r="K30" s="81">
        <f t="shared" si="2"/>
        <v>2309.1</v>
      </c>
      <c r="L30" s="81">
        <f t="shared" si="2"/>
        <v>2417.1</v>
      </c>
      <c r="M30" s="81">
        <f t="shared" si="2"/>
        <v>2519.75</v>
      </c>
      <c r="N30" s="81">
        <f t="shared" si="2"/>
        <v>2590.8000000000002</v>
      </c>
      <c r="O30" s="81">
        <f t="shared" si="2"/>
        <v>2661.8500000000004</v>
      </c>
      <c r="P30" s="81">
        <f t="shared" si="2"/>
        <v>2732.9</v>
      </c>
      <c r="Q30" s="81">
        <f t="shared" si="2"/>
        <v>2811.7920000000004</v>
      </c>
      <c r="R30" s="81">
        <f t="shared" si="2"/>
        <v>2890</v>
      </c>
      <c r="S30" s="81">
        <f t="shared" si="2"/>
        <v>2933</v>
      </c>
      <c r="T30" s="81">
        <f t="shared" si="2"/>
        <v>2982.4</v>
      </c>
      <c r="U30" s="81">
        <f t="shared" si="2"/>
        <v>3035.5</v>
      </c>
      <c r="V30" s="81">
        <f t="shared" si="2"/>
        <v>3096</v>
      </c>
      <c r="W30" s="81">
        <f t="shared" si="2"/>
        <v>3157.5</v>
      </c>
      <c r="X30" s="81">
        <f t="shared" si="2"/>
        <v>3197.5</v>
      </c>
      <c r="Y30" s="81">
        <f t="shared" si="2"/>
        <v>3237.5</v>
      </c>
      <c r="Z30" s="81">
        <f t="shared" si="2"/>
        <v>3277.5</v>
      </c>
      <c r="AA30" s="81">
        <f t="shared" si="2"/>
        <v>3317.5</v>
      </c>
      <c r="AB30" s="81">
        <f t="shared" si="2"/>
        <v>3357.5</v>
      </c>
      <c r="AC30" s="81">
        <f t="shared" si="2"/>
        <v>3380.2000000000003</v>
      </c>
      <c r="AD30" s="81">
        <f t="shared" si="2"/>
        <v>3402.9000000000005</v>
      </c>
      <c r="AE30" s="81">
        <f t="shared" si="2"/>
        <v>3425.6000000000004</v>
      </c>
      <c r="AF30" s="81">
        <f t="shared" si="2"/>
        <v>3448.3</v>
      </c>
      <c r="AG30" s="81">
        <f t="shared" si="2"/>
        <v>3471</v>
      </c>
      <c r="AH30" s="81">
        <f t="shared" si="2"/>
        <v>3488.3</v>
      </c>
      <c r="AI30" s="81">
        <f t="shared" si="2"/>
        <v>3505.6000000000004</v>
      </c>
      <c r="AJ30" s="81">
        <f t="shared" si="2"/>
        <v>3522.9000000000005</v>
      </c>
      <c r="AK30" s="81">
        <f t="shared" si="2"/>
        <v>3540.2000000000003</v>
      </c>
      <c r="AL30" s="81">
        <f t="shared" si="2"/>
        <v>3557.5</v>
      </c>
      <c r="AM30" s="81">
        <f t="shared" si="2"/>
        <v>3577.5</v>
      </c>
      <c r="AN30" s="81">
        <f t="shared" si="2"/>
        <v>3597.5</v>
      </c>
      <c r="AO30" s="81">
        <f t="shared" si="2"/>
        <v>3617.5</v>
      </c>
      <c r="AP30" s="81">
        <f t="shared" si="2"/>
        <v>3637.5</v>
      </c>
      <c r="AQ30" s="81">
        <f t="shared" si="2"/>
        <v>3657.5</v>
      </c>
      <c r="AR30" s="81">
        <f t="shared" si="2"/>
        <v>3662</v>
      </c>
      <c r="AS30" s="81">
        <f t="shared" si="2"/>
        <v>3666.5</v>
      </c>
      <c r="AT30" s="81">
        <f t="shared" si="2"/>
        <v>3671</v>
      </c>
      <c r="AU30" s="81">
        <f t="shared" si="2"/>
        <v>3675.5</v>
      </c>
      <c r="AV30" s="82">
        <f t="shared" si="2"/>
        <v>3680</v>
      </c>
    </row>
    <row r="31" spans="1:48" x14ac:dyDescent="0.15">
      <c r="A31" s="63" t="s">
        <v>73</v>
      </c>
      <c r="B31" s="64" t="s">
        <v>74</v>
      </c>
      <c r="C31" s="65" t="s">
        <v>75</v>
      </c>
      <c r="D31" s="61" t="s">
        <v>66</v>
      </c>
      <c r="E31" s="62" t="s">
        <v>76</v>
      </c>
      <c r="F31" s="75">
        <v>6</v>
      </c>
      <c r="G31" s="76">
        <v>6.5</v>
      </c>
      <c r="H31" s="79">
        <f>E10</f>
        <v>6.7441000000000004</v>
      </c>
      <c r="I31" s="79">
        <f t="shared" ref="I31:AV31" si="3">F10</f>
        <v>7</v>
      </c>
      <c r="J31" s="79">
        <f t="shared" si="3"/>
        <v>6.7590000000000003</v>
      </c>
      <c r="K31" s="79">
        <f t="shared" si="3"/>
        <v>6.9040495310668231</v>
      </c>
      <c r="L31" s="79">
        <f t="shared" si="3"/>
        <v>7.0490990621336449</v>
      </c>
      <c r="M31" s="79">
        <f t="shared" si="3"/>
        <v>7.1891962192262593</v>
      </c>
      <c r="N31" s="79">
        <f t="shared" si="3"/>
        <v>7.2288152110199295</v>
      </c>
      <c r="O31" s="79">
        <f t="shared" si="3"/>
        <v>7.2684342028135998</v>
      </c>
      <c r="P31" s="79">
        <f t="shared" si="3"/>
        <v>7.3080531946072682</v>
      </c>
      <c r="Q31" s="79">
        <f t="shared" si="3"/>
        <v>7.3601521688159446</v>
      </c>
      <c r="R31" s="79">
        <f t="shared" si="3"/>
        <v>7.4120530480656495</v>
      </c>
      <c r="S31" s="79">
        <f t="shared" si="3"/>
        <v>7.4549736225087919</v>
      </c>
      <c r="T31" s="79">
        <f t="shared" si="3"/>
        <v>7.5064783118405627</v>
      </c>
      <c r="U31" s="79">
        <f t="shared" si="3"/>
        <v>7.5606242672919093</v>
      </c>
      <c r="V31" s="79">
        <f t="shared" si="3"/>
        <v>7.6200527549824137</v>
      </c>
      <c r="W31" s="79">
        <f t="shared" si="3"/>
        <v>7.6761796600234451</v>
      </c>
      <c r="X31" s="79">
        <f t="shared" si="3"/>
        <v>7.6775002930832343</v>
      </c>
      <c r="Y31" s="79">
        <f t="shared" si="3"/>
        <v>7.6788209261430236</v>
      </c>
      <c r="Z31" s="79">
        <f t="shared" si="3"/>
        <v>7.6801415592028128</v>
      </c>
      <c r="AA31" s="79">
        <f t="shared" si="3"/>
        <v>7.6814621922626021</v>
      </c>
      <c r="AB31" s="79">
        <f t="shared" si="3"/>
        <v>7.6827828253223904</v>
      </c>
      <c r="AC31" s="79">
        <f t="shared" si="3"/>
        <v>7.6226940211019922</v>
      </c>
      <c r="AD31" s="79">
        <f t="shared" si="3"/>
        <v>7.562605216881594</v>
      </c>
      <c r="AE31" s="79">
        <f t="shared" si="3"/>
        <v>7.502516412661195</v>
      </c>
      <c r="AF31" s="79">
        <f t="shared" si="3"/>
        <v>7.4424276084407968</v>
      </c>
      <c r="AG31" s="79">
        <f t="shared" si="3"/>
        <v>7.3823388042203977</v>
      </c>
      <c r="AH31" s="79">
        <f t="shared" si="3"/>
        <v>7.2925357561547468</v>
      </c>
      <c r="AI31" s="79">
        <f t="shared" si="3"/>
        <v>7.2027327080890977</v>
      </c>
      <c r="AJ31" s="79">
        <f t="shared" si="3"/>
        <v>7.1129296600234468</v>
      </c>
      <c r="AK31" s="79">
        <f t="shared" si="3"/>
        <v>7.023126611957796</v>
      </c>
      <c r="AL31" s="79">
        <f t="shared" si="3"/>
        <v>6.9333235638921451</v>
      </c>
      <c r="AM31" s="79">
        <f t="shared" si="3"/>
        <v>6.8045618405627195</v>
      </c>
      <c r="AN31" s="79">
        <f t="shared" si="3"/>
        <v>6.6758001172332939</v>
      </c>
      <c r="AO31" s="79">
        <f t="shared" si="3"/>
        <v>6.5470383939038674</v>
      </c>
      <c r="AP31" s="79">
        <f t="shared" si="3"/>
        <v>6.4182766705744418</v>
      </c>
      <c r="AQ31" s="79">
        <f t="shared" si="3"/>
        <v>6.2895149472450171</v>
      </c>
      <c r="AR31" s="79">
        <f t="shared" si="3"/>
        <v>6.2082960140679946</v>
      </c>
      <c r="AS31" s="79">
        <f t="shared" si="3"/>
        <v>6.127077080890972</v>
      </c>
      <c r="AT31" s="79">
        <f t="shared" si="3"/>
        <v>6.0458581477139504</v>
      </c>
      <c r="AU31" s="79">
        <f t="shared" si="3"/>
        <v>5.9646392145369287</v>
      </c>
      <c r="AV31" s="80">
        <f t="shared" si="3"/>
        <v>5.8834202813599052</v>
      </c>
    </row>
    <row r="32" spans="1:48" x14ac:dyDescent="0.15">
      <c r="A32" s="63" t="s">
        <v>77</v>
      </c>
      <c r="B32" s="64" t="s">
        <v>74</v>
      </c>
      <c r="C32" s="65" t="s">
        <v>78</v>
      </c>
      <c r="D32" s="61" t="s">
        <v>79</v>
      </c>
      <c r="E32" s="66" t="s">
        <v>80</v>
      </c>
      <c r="F32" s="75">
        <v>2688.48</v>
      </c>
      <c r="G32" s="76">
        <v>2522.4899999999998</v>
      </c>
      <c r="H32" s="76">
        <v>2795</v>
      </c>
      <c r="I32" s="76">
        <v>2820</v>
      </c>
      <c r="J32" s="76">
        <v>2850</v>
      </c>
      <c r="K32" s="76">
        <f>J32+($M32-$J32)/3</f>
        <v>2900</v>
      </c>
      <c r="L32" s="76">
        <f>K32+($M32-$J32)/3</f>
        <v>2950</v>
      </c>
      <c r="M32" s="76">
        <v>3000</v>
      </c>
      <c r="N32" s="76">
        <f>M32+($U32-$M32)/8</f>
        <v>3025</v>
      </c>
      <c r="O32" s="76">
        <f t="shared" ref="O32:T32" si="4">N32+($U32-$M32)/8</f>
        <v>3050</v>
      </c>
      <c r="P32" s="76">
        <f t="shared" si="4"/>
        <v>3075</v>
      </c>
      <c r="Q32" s="76">
        <f t="shared" si="4"/>
        <v>3100</v>
      </c>
      <c r="R32" s="76">
        <f t="shared" si="4"/>
        <v>3125</v>
      </c>
      <c r="S32" s="76">
        <f t="shared" si="4"/>
        <v>3150</v>
      </c>
      <c r="T32" s="76">
        <f t="shared" si="4"/>
        <v>3175</v>
      </c>
      <c r="U32" s="76">
        <v>3200</v>
      </c>
      <c r="V32" s="81">
        <f>U32+($AG32-$U32)/12</f>
        <v>3179.1666666666665</v>
      </c>
      <c r="W32" s="81">
        <f t="shared" ref="W32:AF32" si="5">V32+($AG32-$U32)/12</f>
        <v>3158.333333333333</v>
      </c>
      <c r="X32" s="81">
        <f t="shared" si="5"/>
        <v>3137.4999999999995</v>
      </c>
      <c r="Y32" s="81">
        <f t="shared" si="5"/>
        <v>3116.6666666666661</v>
      </c>
      <c r="Z32" s="81">
        <f t="shared" si="5"/>
        <v>3095.8333333333326</v>
      </c>
      <c r="AA32" s="81">
        <f t="shared" si="5"/>
        <v>3074.9999999999991</v>
      </c>
      <c r="AB32" s="81">
        <f t="shared" si="5"/>
        <v>3054.1666666666656</v>
      </c>
      <c r="AC32" s="81">
        <f t="shared" si="5"/>
        <v>3033.3333333333321</v>
      </c>
      <c r="AD32" s="81">
        <f t="shared" si="5"/>
        <v>3012.4999999999986</v>
      </c>
      <c r="AE32" s="81">
        <f t="shared" si="5"/>
        <v>2991.6666666666652</v>
      </c>
      <c r="AF32" s="81">
        <f t="shared" si="5"/>
        <v>2970.8333333333317</v>
      </c>
      <c r="AG32" s="76">
        <v>2950</v>
      </c>
      <c r="AH32" s="81">
        <f>AG32+($AV32-$AG32)/15</f>
        <v>2932</v>
      </c>
      <c r="AI32" s="81">
        <f t="shared" ref="AI32:AU32" si="6">AH32+($AV32-$AG32)/15</f>
        <v>2914</v>
      </c>
      <c r="AJ32" s="76">
        <f t="shared" si="6"/>
        <v>2896</v>
      </c>
      <c r="AK32" s="81">
        <f t="shared" si="6"/>
        <v>2878</v>
      </c>
      <c r="AL32" s="81">
        <f t="shared" si="6"/>
        <v>2860</v>
      </c>
      <c r="AM32" s="81">
        <f t="shared" si="6"/>
        <v>2842</v>
      </c>
      <c r="AN32" s="81">
        <f t="shared" si="6"/>
        <v>2824</v>
      </c>
      <c r="AO32" s="81">
        <f t="shared" si="6"/>
        <v>2806</v>
      </c>
      <c r="AP32" s="81">
        <f t="shared" si="6"/>
        <v>2788</v>
      </c>
      <c r="AQ32" s="81">
        <f t="shared" si="6"/>
        <v>2770</v>
      </c>
      <c r="AR32" s="81">
        <f t="shared" si="6"/>
        <v>2752</v>
      </c>
      <c r="AS32" s="81">
        <f t="shared" si="6"/>
        <v>2734</v>
      </c>
      <c r="AT32" s="81">
        <f t="shared" si="6"/>
        <v>2716</v>
      </c>
      <c r="AU32" s="81">
        <f t="shared" si="6"/>
        <v>2698</v>
      </c>
      <c r="AV32" s="83">
        <v>2680</v>
      </c>
    </row>
    <row r="33" spans="1:48" x14ac:dyDescent="0.15">
      <c r="A33" s="63" t="s">
        <v>77</v>
      </c>
      <c r="B33" s="64" t="s">
        <v>81</v>
      </c>
      <c r="C33" s="65" t="s">
        <v>82</v>
      </c>
      <c r="D33" s="61" t="s">
        <v>79</v>
      </c>
      <c r="E33" s="66" t="s">
        <v>80</v>
      </c>
      <c r="F33" s="75">
        <v>137.54</v>
      </c>
      <c r="G33" s="76">
        <v>140.04</v>
      </c>
      <c r="H33" s="76">
        <v>155.71</v>
      </c>
      <c r="I33" s="76">
        <v>189</v>
      </c>
      <c r="J33" s="81">
        <f>I33+($M33-$I33)/4</f>
        <v>199.25</v>
      </c>
      <c r="K33" s="81">
        <f>J33+($M33-$I33)/4</f>
        <v>209.5</v>
      </c>
      <c r="L33" s="81">
        <f>K33+($M33-$I33)/4</f>
        <v>219.75</v>
      </c>
      <c r="M33" s="76">
        <v>230</v>
      </c>
      <c r="N33" s="81">
        <f>M33+($V33-$M33)/9</f>
        <v>232.22222222222223</v>
      </c>
      <c r="O33" s="81">
        <f t="shared" ref="O33:U33" si="7">N33+($V33-$M33)/9</f>
        <v>234.44444444444446</v>
      </c>
      <c r="P33" s="81">
        <f t="shared" si="7"/>
        <v>236.66666666666669</v>
      </c>
      <c r="Q33" s="81">
        <f t="shared" si="7"/>
        <v>238.88888888888891</v>
      </c>
      <c r="R33" s="81">
        <f t="shared" si="7"/>
        <v>241.11111111111114</v>
      </c>
      <c r="S33" s="81">
        <f t="shared" si="7"/>
        <v>243.33333333333337</v>
      </c>
      <c r="T33" s="81">
        <f t="shared" si="7"/>
        <v>245.5555555555556</v>
      </c>
      <c r="U33" s="81">
        <f t="shared" si="7"/>
        <v>247.77777777777783</v>
      </c>
      <c r="V33" s="76">
        <v>250</v>
      </c>
      <c r="W33" s="81">
        <f>V33+($AG33-$V33)/11</f>
        <v>248.18181818181819</v>
      </c>
      <c r="X33" s="81">
        <f t="shared" ref="X33:AF33" si="8">W33+($AG33-$V33)/11</f>
        <v>246.36363636363637</v>
      </c>
      <c r="Y33" s="81">
        <f t="shared" si="8"/>
        <v>244.54545454545456</v>
      </c>
      <c r="Z33" s="81">
        <f t="shared" si="8"/>
        <v>242.72727272727275</v>
      </c>
      <c r="AA33" s="81">
        <f t="shared" si="8"/>
        <v>240.90909090909093</v>
      </c>
      <c r="AB33" s="81">
        <f t="shared" si="8"/>
        <v>239.09090909090912</v>
      </c>
      <c r="AC33" s="81">
        <f t="shared" si="8"/>
        <v>237.27272727272731</v>
      </c>
      <c r="AD33" s="81">
        <f t="shared" si="8"/>
        <v>235.4545454545455</v>
      </c>
      <c r="AE33" s="81">
        <f t="shared" si="8"/>
        <v>233.63636363636368</v>
      </c>
      <c r="AF33" s="81">
        <f t="shared" si="8"/>
        <v>231.81818181818187</v>
      </c>
      <c r="AG33" s="76">
        <v>230</v>
      </c>
      <c r="AH33" s="81">
        <f>AG33+($AV33-$AG33)/15</f>
        <v>227</v>
      </c>
      <c r="AI33" s="81">
        <f t="shared" ref="AI33:AU33" si="9">AH33+($AV33-$AG33)/15</f>
        <v>224</v>
      </c>
      <c r="AJ33" s="81">
        <f t="shared" si="9"/>
        <v>221</v>
      </c>
      <c r="AK33" s="81">
        <f t="shared" si="9"/>
        <v>218</v>
      </c>
      <c r="AL33" s="81">
        <f t="shared" si="9"/>
        <v>215</v>
      </c>
      <c r="AM33" s="81">
        <f t="shared" si="9"/>
        <v>212</v>
      </c>
      <c r="AN33" s="81">
        <f t="shared" si="9"/>
        <v>209</v>
      </c>
      <c r="AO33" s="81">
        <f t="shared" si="9"/>
        <v>206</v>
      </c>
      <c r="AP33" s="81">
        <f t="shared" si="9"/>
        <v>203</v>
      </c>
      <c r="AQ33" s="81">
        <f t="shared" si="9"/>
        <v>200</v>
      </c>
      <c r="AR33" s="81">
        <f t="shared" si="9"/>
        <v>197</v>
      </c>
      <c r="AS33" s="81">
        <f t="shared" si="9"/>
        <v>194</v>
      </c>
      <c r="AT33" s="81">
        <f t="shared" si="9"/>
        <v>191</v>
      </c>
      <c r="AU33" s="81">
        <f t="shared" si="9"/>
        <v>188</v>
      </c>
      <c r="AV33" s="83">
        <v>185</v>
      </c>
    </row>
    <row r="34" spans="1:48" x14ac:dyDescent="0.15">
      <c r="A34" s="63" t="s">
        <v>77</v>
      </c>
      <c r="B34" s="64" t="s">
        <v>81</v>
      </c>
      <c r="C34" s="65" t="s">
        <v>83</v>
      </c>
      <c r="D34" s="61" t="s">
        <v>79</v>
      </c>
      <c r="E34" s="66" t="s">
        <v>80</v>
      </c>
      <c r="F34" s="75">
        <v>246.85</v>
      </c>
      <c r="G34" s="76">
        <v>244.17</v>
      </c>
      <c r="H34" s="76">
        <v>232.31</v>
      </c>
      <c r="I34" s="76">
        <v>224.95</v>
      </c>
      <c r="J34" s="76">
        <v>201.43</v>
      </c>
      <c r="K34" s="81">
        <f t="shared" ref="K34:L34" si="10">J34+($M34-$J34)/3</f>
        <v>194.28666666666666</v>
      </c>
      <c r="L34" s="81">
        <f t="shared" si="10"/>
        <v>187.14333333333332</v>
      </c>
      <c r="M34" s="76">
        <v>180</v>
      </c>
      <c r="N34" s="76">
        <f>M34+($W34-$M34)/10</f>
        <v>176.5</v>
      </c>
      <c r="O34" s="76">
        <f>N34+($W34-$M34)/10</f>
        <v>173</v>
      </c>
      <c r="P34" s="76">
        <f t="shared" ref="P34:V34" si="11">O34+($W34-$M34)/10</f>
        <v>169.5</v>
      </c>
      <c r="Q34" s="76">
        <f t="shared" si="11"/>
        <v>166</v>
      </c>
      <c r="R34" s="76">
        <f t="shared" si="11"/>
        <v>162.5</v>
      </c>
      <c r="S34" s="76">
        <f t="shared" si="11"/>
        <v>159</v>
      </c>
      <c r="T34" s="76">
        <f t="shared" si="11"/>
        <v>155.5</v>
      </c>
      <c r="U34" s="76">
        <f t="shared" si="11"/>
        <v>152</v>
      </c>
      <c r="V34" s="76">
        <f t="shared" si="11"/>
        <v>148.5</v>
      </c>
      <c r="W34" s="76">
        <v>145</v>
      </c>
      <c r="X34" s="76">
        <f>W34+($AV34-$W34)/25</f>
        <v>142.80000000000001</v>
      </c>
      <c r="Y34" s="76">
        <f t="shared" ref="Y34:AU34" si="12">X34+($AV34-$W34)/25</f>
        <v>140.60000000000002</v>
      </c>
      <c r="Z34" s="76">
        <f t="shared" si="12"/>
        <v>138.40000000000003</v>
      </c>
      <c r="AA34" s="76">
        <f t="shared" si="12"/>
        <v>136.20000000000005</v>
      </c>
      <c r="AB34" s="76">
        <f t="shared" si="12"/>
        <v>134.00000000000006</v>
      </c>
      <c r="AC34" s="76">
        <f t="shared" si="12"/>
        <v>131.80000000000007</v>
      </c>
      <c r="AD34" s="76">
        <f t="shared" si="12"/>
        <v>129.60000000000008</v>
      </c>
      <c r="AE34" s="76">
        <f t="shared" si="12"/>
        <v>127.40000000000008</v>
      </c>
      <c r="AF34" s="76">
        <f t="shared" si="12"/>
        <v>125.20000000000007</v>
      </c>
      <c r="AG34" s="76">
        <f t="shared" si="12"/>
        <v>123.00000000000007</v>
      </c>
      <c r="AH34" s="76">
        <f t="shared" si="12"/>
        <v>120.80000000000007</v>
      </c>
      <c r="AI34" s="76">
        <f t="shared" si="12"/>
        <v>118.60000000000007</v>
      </c>
      <c r="AJ34" s="76">
        <f t="shared" si="12"/>
        <v>116.40000000000006</v>
      </c>
      <c r="AK34" s="76">
        <f t="shared" si="12"/>
        <v>114.20000000000006</v>
      </c>
      <c r="AL34" s="76">
        <f t="shared" si="12"/>
        <v>112.00000000000006</v>
      </c>
      <c r="AM34" s="76">
        <f t="shared" si="12"/>
        <v>109.80000000000005</v>
      </c>
      <c r="AN34" s="76">
        <f t="shared" si="12"/>
        <v>107.60000000000005</v>
      </c>
      <c r="AO34" s="76">
        <f t="shared" si="12"/>
        <v>105.40000000000005</v>
      </c>
      <c r="AP34" s="76">
        <f t="shared" si="12"/>
        <v>103.20000000000005</v>
      </c>
      <c r="AQ34" s="76">
        <f t="shared" si="12"/>
        <v>101.00000000000004</v>
      </c>
      <c r="AR34" s="76">
        <f t="shared" si="12"/>
        <v>98.80000000000004</v>
      </c>
      <c r="AS34" s="76">
        <f t="shared" si="12"/>
        <v>96.600000000000037</v>
      </c>
      <c r="AT34" s="76">
        <f t="shared" si="12"/>
        <v>94.400000000000034</v>
      </c>
      <c r="AU34" s="76">
        <f t="shared" si="12"/>
        <v>92.200000000000031</v>
      </c>
      <c r="AV34" s="83">
        <v>90</v>
      </c>
    </row>
    <row r="35" spans="1:48" x14ac:dyDescent="0.15">
      <c r="A35" s="63" t="s">
        <v>77</v>
      </c>
      <c r="B35" s="64" t="s">
        <v>84</v>
      </c>
      <c r="C35" s="65" t="s">
        <v>85</v>
      </c>
      <c r="D35" s="61" t="s">
        <v>79</v>
      </c>
      <c r="E35" s="66" t="s">
        <v>80</v>
      </c>
      <c r="F35" s="75">
        <v>85.17</v>
      </c>
      <c r="G35" s="76">
        <v>88.95</v>
      </c>
      <c r="H35" s="76">
        <v>86.69</v>
      </c>
      <c r="I35" s="76">
        <v>93.16</v>
      </c>
      <c r="J35" s="76">
        <f>I35+($M35-$I35)/4</f>
        <v>97.37</v>
      </c>
      <c r="K35" s="76">
        <f t="shared" ref="K35:L35" si="13">J35+($M35-$I35)/4</f>
        <v>101.58000000000001</v>
      </c>
      <c r="L35" s="76">
        <f t="shared" si="13"/>
        <v>105.79000000000002</v>
      </c>
      <c r="M35" s="76">
        <v>110</v>
      </c>
      <c r="N35" s="81">
        <f>M35+($U35-$M35)/8</f>
        <v>111.875</v>
      </c>
      <c r="O35" s="81">
        <f t="shared" ref="O35:T35" si="14">N35+($U35-$M35)/8</f>
        <v>113.75</v>
      </c>
      <c r="P35" s="81">
        <f t="shared" si="14"/>
        <v>115.625</v>
      </c>
      <c r="Q35" s="81">
        <f t="shared" si="14"/>
        <v>117.5</v>
      </c>
      <c r="R35" s="81">
        <f t="shared" si="14"/>
        <v>119.375</v>
      </c>
      <c r="S35" s="81">
        <f t="shared" si="14"/>
        <v>121.25</v>
      </c>
      <c r="T35" s="81">
        <f t="shared" si="14"/>
        <v>123.125</v>
      </c>
      <c r="U35" s="76">
        <v>125</v>
      </c>
      <c r="V35" s="81">
        <f>U35+($AG35-$U35)/12</f>
        <v>123.75</v>
      </c>
      <c r="W35" s="81">
        <f t="shared" ref="W35:AF35" si="15">V35+($AG35-$U35)/12</f>
        <v>122.5</v>
      </c>
      <c r="X35" s="81">
        <f t="shared" si="15"/>
        <v>121.25</v>
      </c>
      <c r="Y35" s="81">
        <f t="shared" si="15"/>
        <v>120</v>
      </c>
      <c r="Z35" s="81">
        <f t="shared" si="15"/>
        <v>118.75</v>
      </c>
      <c r="AA35" s="81">
        <f t="shared" si="15"/>
        <v>117.5</v>
      </c>
      <c r="AB35" s="81">
        <f t="shared" si="15"/>
        <v>116.25</v>
      </c>
      <c r="AC35" s="81">
        <f t="shared" si="15"/>
        <v>115</v>
      </c>
      <c r="AD35" s="81">
        <f t="shared" si="15"/>
        <v>113.75</v>
      </c>
      <c r="AE35" s="81">
        <f t="shared" si="15"/>
        <v>112.5</v>
      </c>
      <c r="AF35" s="81">
        <f t="shared" si="15"/>
        <v>111.25</v>
      </c>
      <c r="AG35" s="76">
        <v>110</v>
      </c>
      <c r="AH35" s="81">
        <f>AG35+($AV35-$AG35)/15</f>
        <v>108.66666666666667</v>
      </c>
      <c r="AI35" s="81">
        <f t="shared" ref="AI35:AU35" si="16">AH35+($AV35-$AG35)/15</f>
        <v>107.33333333333334</v>
      </c>
      <c r="AJ35" s="81">
        <f t="shared" si="16"/>
        <v>106.00000000000001</v>
      </c>
      <c r="AK35" s="81">
        <f t="shared" si="16"/>
        <v>104.66666666666669</v>
      </c>
      <c r="AL35" s="81">
        <f t="shared" si="16"/>
        <v>103.33333333333336</v>
      </c>
      <c r="AM35" s="81">
        <f t="shared" si="16"/>
        <v>102.00000000000003</v>
      </c>
      <c r="AN35" s="81">
        <f t="shared" si="16"/>
        <v>100.6666666666667</v>
      </c>
      <c r="AO35" s="81">
        <f t="shared" si="16"/>
        <v>99.333333333333371</v>
      </c>
      <c r="AP35" s="81">
        <f t="shared" si="16"/>
        <v>98.000000000000043</v>
      </c>
      <c r="AQ35" s="81">
        <f t="shared" si="16"/>
        <v>96.666666666666714</v>
      </c>
      <c r="AR35" s="81">
        <f t="shared" si="16"/>
        <v>95.333333333333385</v>
      </c>
      <c r="AS35" s="81">
        <f t="shared" si="16"/>
        <v>94.000000000000057</v>
      </c>
      <c r="AT35" s="81">
        <f t="shared" si="16"/>
        <v>92.666666666666728</v>
      </c>
      <c r="AU35" s="81">
        <f t="shared" si="16"/>
        <v>91.3333333333334</v>
      </c>
      <c r="AV35" s="83">
        <v>90</v>
      </c>
    </row>
    <row r="36" spans="1:48" x14ac:dyDescent="0.15">
      <c r="A36" s="63" t="s">
        <v>86</v>
      </c>
      <c r="B36" s="64" t="s">
        <v>74</v>
      </c>
      <c r="C36" s="65" t="s">
        <v>87</v>
      </c>
      <c r="D36" s="61" t="s">
        <v>79</v>
      </c>
      <c r="E36" s="62" t="s">
        <v>88</v>
      </c>
      <c r="F36" s="75">
        <v>223609.62</v>
      </c>
      <c r="G36" s="76">
        <v>234430.62</v>
      </c>
      <c r="H36" s="81">
        <f>E16</f>
        <v>239470.83</v>
      </c>
      <c r="I36" s="81">
        <f t="shared" ref="I36:AV36" si="17">F16</f>
        <v>237724.49</v>
      </c>
      <c r="J36" s="81">
        <f t="shared" si="17"/>
        <v>212927.18</v>
      </c>
      <c r="K36" s="81">
        <f t="shared" si="17"/>
        <v>219951.45333333331</v>
      </c>
      <c r="L36" s="81">
        <f t="shared" si="17"/>
        <v>226975.72666666665</v>
      </c>
      <c r="M36" s="81">
        <f t="shared" si="17"/>
        <v>235000</v>
      </c>
      <c r="N36" s="81">
        <f t="shared" si="17"/>
        <v>237100</v>
      </c>
      <c r="O36" s="81">
        <f t="shared" si="17"/>
        <v>239200</v>
      </c>
      <c r="P36" s="81">
        <f t="shared" si="17"/>
        <v>241300</v>
      </c>
      <c r="Q36" s="81">
        <f t="shared" si="17"/>
        <v>242368</v>
      </c>
      <c r="R36" s="81">
        <f t="shared" si="17"/>
        <v>243600</v>
      </c>
      <c r="S36" s="81">
        <f t="shared" si="17"/>
        <v>240600</v>
      </c>
      <c r="T36" s="81">
        <f t="shared" si="17"/>
        <v>236840</v>
      </c>
      <c r="U36" s="81">
        <f t="shared" si="17"/>
        <v>232700</v>
      </c>
      <c r="V36" s="81">
        <f t="shared" si="17"/>
        <v>227800</v>
      </c>
      <c r="W36" s="81">
        <f t="shared" si="17"/>
        <v>222900</v>
      </c>
      <c r="X36" s="81">
        <f t="shared" si="17"/>
        <v>218610</v>
      </c>
      <c r="Y36" s="81">
        <f t="shared" si="17"/>
        <v>214320</v>
      </c>
      <c r="Z36" s="81">
        <f t="shared" si="17"/>
        <v>210030</v>
      </c>
      <c r="AA36" s="81">
        <f t="shared" si="17"/>
        <v>205740</v>
      </c>
      <c r="AB36" s="81">
        <f t="shared" si="17"/>
        <v>201450</v>
      </c>
      <c r="AC36" s="81">
        <f t="shared" si="17"/>
        <v>195560</v>
      </c>
      <c r="AD36" s="81">
        <f t="shared" si="17"/>
        <v>189670</v>
      </c>
      <c r="AE36" s="81">
        <f t="shared" si="17"/>
        <v>183780</v>
      </c>
      <c r="AF36" s="81">
        <f t="shared" si="17"/>
        <v>177890</v>
      </c>
      <c r="AG36" s="81">
        <f t="shared" si="17"/>
        <v>172000</v>
      </c>
      <c r="AH36" s="81">
        <f t="shared" si="17"/>
        <v>167780</v>
      </c>
      <c r="AI36" s="81">
        <f t="shared" si="17"/>
        <v>163560</v>
      </c>
      <c r="AJ36" s="81">
        <f t="shared" si="17"/>
        <v>159340</v>
      </c>
      <c r="AK36" s="81">
        <f t="shared" si="17"/>
        <v>155120</v>
      </c>
      <c r="AL36" s="81">
        <f t="shared" si="17"/>
        <v>150900</v>
      </c>
      <c r="AM36" s="81">
        <f t="shared" si="17"/>
        <v>148120</v>
      </c>
      <c r="AN36" s="81">
        <f t="shared" si="17"/>
        <v>145340</v>
      </c>
      <c r="AO36" s="81">
        <f t="shared" si="17"/>
        <v>142560</v>
      </c>
      <c r="AP36" s="81">
        <f t="shared" si="17"/>
        <v>139780</v>
      </c>
      <c r="AQ36" s="81">
        <f t="shared" si="17"/>
        <v>137000</v>
      </c>
      <c r="AR36" s="81">
        <f t="shared" si="17"/>
        <v>135577.11596</v>
      </c>
      <c r="AS36" s="81">
        <f t="shared" si="17"/>
        <v>134154.23192000002</v>
      </c>
      <c r="AT36" s="81">
        <f t="shared" si="17"/>
        <v>132731.34788000002</v>
      </c>
      <c r="AU36" s="81">
        <f t="shared" si="17"/>
        <v>131308.46384000001</v>
      </c>
      <c r="AV36" s="82">
        <f t="shared" si="17"/>
        <v>129885.57979999999</v>
      </c>
    </row>
    <row r="37" spans="1:48" x14ac:dyDescent="0.15">
      <c r="A37" s="63" t="s">
        <v>89</v>
      </c>
      <c r="B37" s="64" t="s">
        <v>90</v>
      </c>
      <c r="C37" s="65" t="s">
        <v>91</v>
      </c>
      <c r="D37" s="61" t="s">
        <v>79</v>
      </c>
      <c r="E37" s="62" t="s">
        <v>88</v>
      </c>
      <c r="F37" s="75">
        <v>92903.84</v>
      </c>
      <c r="G37" s="76">
        <v>99541.89</v>
      </c>
      <c r="H37" s="81">
        <f>E18</f>
        <v>106476.68</v>
      </c>
      <c r="I37" s="81">
        <f t="shared" ref="I37:AV38" si="18">F18</f>
        <v>103524.26</v>
      </c>
      <c r="J37" s="81">
        <f t="shared" si="18"/>
        <v>101795.9</v>
      </c>
      <c r="K37" s="81">
        <f>H18</f>
        <v>108463.93333333332</v>
      </c>
      <c r="L37" s="81">
        <f t="shared" si="18"/>
        <v>115131.96666666666</v>
      </c>
      <c r="M37" s="81">
        <f t="shared" si="18"/>
        <v>122500</v>
      </c>
      <c r="N37" s="81">
        <f t="shared" si="18"/>
        <v>124800</v>
      </c>
      <c r="O37" s="81">
        <f t="shared" si="18"/>
        <v>127100</v>
      </c>
      <c r="P37" s="81">
        <f t="shared" si="18"/>
        <v>129400</v>
      </c>
      <c r="Q37" s="81">
        <f t="shared" si="18"/>
        <v>131040</v>
      </c>
      <c r="R37" s="81">
        <f t="shared" si="18"/>
        <v>132800</v>
      </c>
      <c r="S37" s="81">
        <f t="shared" si="18"/>
        <v>132520</v>
      </c>
      <c r="T37" s="81">
        <f t="shared" si="18"/>
        <v>131696</v>
      </c>
      <c r="U37" s="81">
        <f t="shared" si="18"/>
        <v>130520</v>
      </c>
      <c r="V37" s="81">
        <f t="shared" si="18"/>
        <v>128640</v>
      </c>
      <c r="W37" s="81">
        <f t="shared" si="18"/>
        <v>126600</v>
      </c>
      <c r="X37" s="81">
        <f t="shared" si="18"/>
        <v>124910</v>
      </c>
      <c r="Y37" s="81">
        <f t="shared" si="18"/>
        <v>123220</v>
      </c>
      <c r="Z37" s="81">
        <f t="shared" si="18"/>
        <v>121530</v>
      </c>
      <c r="AA37" s="81">
        <f t="shared" si="18"/>
        <v>119840</v>
      </c>
      <c r="AB37" s="81">
        <f t="shared" si="18"/>
        <v>118150</v>
      </c>
      <c r="AC37" s="81">
        <f t="shared" si="18"/>
        <v>115510</v>
      </c>
      <c r="AD37" s="81">
        <f t="shared" si="18"/>
        <v>112870</v>
      </c>
      <c r="AE37" s="81">
        <f t="shared" si="18"/>
        <v>110230</v>
      </c>
      <c r="AF37" s="81">
        <f t="shared" si="18"/>
        <v>107590</v>
      </c>
      <c r="AG37" s="81">
        <f t="shared" si="18"/>
        <v>104950</v>
      </c>
      <c r="AH37" s="81">
        <f t="shared" si="18"/>
        <v>102220</v>
      </c>
      <c r="AI37" s="81">
        <f t="shared" si="18"/>
        <v>99490</v>
      </c>
      <c r="AJ37" s="81">
        <f t="shared" si="18"/>
        <v>96760</v>
      </c>
      <c r="AK37" s="81">
        <f t="shared" si="18"/>
        <v>94030</v>
      </c>
      <c r="AL37" s="81">
        <f t="shared" si="18"/>
        <v>91300</v>
      </c>
      <c r="AM37" s="81">
        <f t="shared" si="18"/>
        <v>88880</v>
      </c>
      <c r="AN37" s="81">
        <f t="shared" si="18"/>
        <v>86460</v>
      </c>
      <c r="AO37" s="81">
        <f t="shared" si="18"/>
        <v>84040</v>
      </c>
      <c r="AP37" s="81">
        <f t="shared" si="18"/>
        <v>81620</v>
      </c>
      <c r="AQ37" s="81">
        <f t="shared" si="18"/>
        <v>79200</v>
      </c>
      <c r="AR37" s="81">
        <f t="shared" si="18"/>
        <v>76797.058799999999</v>
      </c>
      <c r="AS37" s="81">
        <f t="shared" si="18"/>
        <v>74394.117599999998</v>
      </c>
      <c r="AT37" s="81">
        <f t="shared" si="18"/>
        <v>71991.176399999997</v>
      </c>
      <c r="AU37" s="81">
        <f t="shared" si="18"/>
        <v>69588.235199999996</v>
      </c>
      <c r="AV37" s="82">
        <f t="shared" si="18"/>
        <v>67185.293999999994</v>
      </c>
    </row>
    <row r="38" spans="1:48" x14ac:dyDescent="0.15">
      <c r="A38" s="63" t="s">
        <v>92</v>
      </c>
      <c r="B38" s="64" t="s">
        <v>84</v>
      </c>
      <c r="C38" s="65" t="s">
        <v>93</v>
      </c>
      <c r="D38" s="61" t="s">
        <v>79</v>
      </c>
      <c r="E38" s="62" t="s">
        <v>88</v>
      </c>
      <c r="F38" s="75">
        <v>3683.1</v>
      </c>
      <c r="G38" s="76">
        <v>3512.96</v>
      </c>
      <c r="H38" s="76">
        <f>E19</f>
        <v>3708.04</v>
      </c>
      <c r="I38" s="76">
        <f t="shared" si="18"/>
        <v>3850.32</v>
      </c>
      <c r="J38" s="76">
        <f t="shared" si="18"/>
        <v>4014.4299999999994</v>
      </c>
      <c r="K38" s="76">
        <f t="shared" si="18"/>
        <v>4317.9533333333329</v>
      </c>
      <c r="L38" s="76">
        <f t="shared" si="18"/>
        <v>4621.4766666666656</v>
      </c>
      <c r="M38" s="76">
        <f t="shared" si="18"/>
        <v>4937.5</v>
      </c>
      <c r="N38" s="76">
        <f t="shared" si="18"/>
        <v>5167.5</v>
      </c>
      <c r="O38" s="76">
        <f t="shared" si="18"/>
        <v>5397.5</v>
      </c>
      <c r="P38" s="76">
        <f t="shared" si="18"/>
        <v>5627.5</v>
      </c>
      <c r="Q38" s="76">
        <f t="shared" si="18"/>
        <v>5835.6</v>
      </c>
      <c r="R38" s="76">
        <f t="shared" si="18"/>
        <v>6045</v>
      </c>
      <c r="S38" s="76">
        <f t="shared" si="18"/>
        <v>6167</v>
      </c>
      <c r="T38" s="76">
        <f t="shared" si="18"/>
        <v>6269.6</v>
      </c>
      <c r="U38" s="76">
        <f t="shared" si="18"/>
        <v>6359.5</v>
      </c>
      <c r="V38" s="76">
        <f t="shared" si="18"/>
        <v>6424</v>
      </c>
      <c r="W38" s="76">
        <f t="shared" si="18"/>
        <v>6482.5</v>
      </c>
      <c r="X38" s="76">
        <f t="shared" si="18"/>
        <v>6486.5</v>
      </c>
      <c r="Y38" s="76">
        <f t="shared" si="18"/>
        <v>6490.5</v>
      </c>
      <c r="Z38" s="76">
        <f t="shared" si="18"/>
        <v>6494.5</v>
      </c>
      <c r="AA38" s="76">
        <f t="shared" si="18"/>
        <v>6498.5</v>
      </c>
      <c r="AB38" s="76">
        <f t="shared" si="18"/>
        <v>6502.5</v>
      </c>
      <c r="AC38" s="76">
        <f t="shared" si="18"/>
        <v>6451</v>
      </c>
      <c r="AD38" s="76">
        <f t="shared" si="18"/>
        <v>6399.5</v>
      </c>
      <c r="AE38" s="76">
        <f t="shared" si="18"/>
        <v>6348</v>
      </c>
      <c r="AF38" s="76">
        <f t="shared" si="18"/>
        <v>6296.5</v>
      </c>
      <c r="AG38" s="76">
        <f t="shared" si="18"/>
        <v>6245</v>
      </c>
      <c r="AH38" s="76">
        <f t="shared" si="18"/>
        <v>6145</v>
      </c>
      <c r="AI38" s="76">
        <f t="shared" si="18"/>
        <v>6045</v>
      </c>
      <c r="AJ38" s="76">
        <f t="shared" si="18"/>
        <v>5945</v>
      </c>
      <c r="AK38" s="76">
        <f t="shared" si="18"/>
        <v>5845</v>
      </c>
      <c r="AL38" s="76">
        <f t="shared" si="18"/>
        <v>5745</v>
      </c>
      <c r="AM38" s="76">
        <f t="shared" si="18"/>
        <v>5621</v>
      </c>
      <c r="AN38" s="76">
        <f t="shared" si="18"/>
        <v>5497</v>
      </c>
      <c r="AO38" s="76">
        <f t="shared" si="18"/>
        <v>5373</v>
      </c>
      <c r="AP38" s="76">
        <f t="shared" si="18"/>
        <v>5249</v>
      </c>
      <c r="AQ38" s="76">
        <f t="shared" si="18"/>
        <v>5125</v>
      </c>
      <c r="AR38" s="76">
        <f t="shared" si="18"/>
        <v>4992</v>
      </c>
      <c r="AS38" s="76">
        <f t="shared" si="18"/>
        <v>4859</v>
      </c>
      <c r="AT38" s="76">
        <f t="shared" si="18"/>
        <v>4726</v>
      </c>
      <c r="AU38" s="76">
        <f t="shared" si="18"/>
        <v>4593</v>
      </c>
      <c r="AV38" s="83">
        <f t="shared" si="18"/>
        <v>4460</v>
      </c>
    </row>
    <row r="39" spans="1:48" ht="14.25" x14ac:dyDescent="0.2">
      <c r="A39" s="63" t="s">
        <v>94</v>
      </c>
      <c r="B39" s="64" t="s">
        <v>84</v>
      </c>
      <c r="C39" s="67" t="s">
        <v>95</v>
      </c>
      <c r="D39" s="61" t="s">
        <v>96</v>
      </c>
      <c r="E39" s="68" t="s">
        <v>62</v>
      </c>
      <c r="F39" s="96">
        <v>68449</v>
      </c>
      <c r="G39" s="81">
        <v>72255</v>
      </c>
      <c r="H39" s="81">
        <v>75110</v>
      </c>
      <c r="I39" s="81">
        <v>83128</v>
      </c>
      <c r="J39" s="81">
        <v>86372</v>
      </c>
      <c r="K39" s="81">
        <v>92908</v>
      </c>
      <c r="L39" s="81">
        <v>98236</v>
      </c>
      <c r="M39" s="81">
        <v>103441</v>
      </c>
      <c r="N39" s="81">
        <v>108529</v>
      </c>
      <c r="O39" s="81">
        <v>113482</v>
      </c>
      <c r="P39" s="81">
        <v>118298</v>
      </c>
      <c r="Q39" s="81">
        <v>122964</v>
      </c>
      <c r="R39" s="81">
        <v>127474</v>
      </c>
      <c r="S39" s="81">
        <v>131817</v>
      </c>
      <c r="T39" s="81">
        <v>135982</v>
      </c>
      <c r="U39" s="81">
        <v>139961</v>
      </c>
      <c r="V39" s="81">
        <v>143743</v>
      </c>
      <c r="W39" s="81">
        <v>147316</v>
      </c>
      <c r="X39" s="81">
        <v>150667</v>
      </c>
      <c r="Y39" s="81">
        <v>153788</v>
      </c>
      <c r="Z39" s="81">
        <v>156673</v>
      </c>
      <c r="AA39" s="81">
        <v>159316</v>
      </c>
      <c r="AB39" s="81">
        <v>161710</v>
      </c>
      <c r="AC39" s="81">
        <v>163854</v>
      </c>
      <c r="AD39" s="81">
        <v>165743</v>
      </c>
      <c r="AE39" s="81">
        <v>167375</v>
      </c>
      <c r="AF39" s="81">
        <v>168754</v>
      </c>
      <c r="AG39" s="81">
        <v>169877</v>
      </c>
      <c r="AH39" s="81">
        <v>170749</v>
      </c>
      <c r="AI39" s="81">
        <v>171374</v>
      </c>
      <c r="AJ39" s="81">
        <v>171758</v>
      </c>
      <c r="AK39" s="81">
        <v>171907</v>
      </c>
      <c r="AL39" s="81">
        <v>171827</v>
      </c>
      <c r="AM39" s="81">
        <v>171527</v>
      </c>
      <c r="AN39" s="81">
        <v>171015</v>
      </c>
      <c r="AO39" s="81">
        <v>170299</v>
      </c>
      <c r="AP39" s="81">
        <v>169391</v>
      </c>
      <c r="AQ39" s="81">
        <v>168299</v>
      </c>
      <c r="AR39" s="81">
        <v>167033</v>
      </c>
      <c r="AS39" s="81">
        <v>165602</v>
      </c>
      <c r="AT39" s="81">
        <v>164017</v>
      </c>
      <c r="AU39" s="81">
        <v>162290</v>
      </c>
      <c r="AV39" s="82">
        <v>160429</v>
      </c>
    </row>
    <row r="40" spans="1:48" ht="14.25" x14ac:dyDescent="0.2">
      <c r="A40" s="69" t="s">
        <v>97</v>
      </c>
      <c r="B40" s="70" t="s">
        <v>98</v>
      </c>
      <c r="C40" s="71" t="s">
        <v>60</v>
      </c>
      <c r="D40" s="72" t="s">
        <v>61</v>
      </c>
      <c r="E40" s="73" t="s">
        <v>62</v>
      </c>
      <c r="F40" s="97">
        <v>13.953799999999999</v>
      </c>
      <c r="G40" s="98">
        <v>14.007930999999999</v>
      </c>
      <c r="H40" s="98">
        <v>14.131351629999999</v>
      </c>
      <c r="I40" s="98">
        <v>14.16016011</v>
      </c>
      <c r="J40" s="98">
        <v>14.188968259999999</v>
      </c>
      <c r="K40" s="98">
        <v>14.21777659</v>
      </c>
      <c r="L40" s="98">
        <v>14.246584739999999</v>
      </c>
      <c r="M40" s="98">
        <v>14.27539322</v>
      </c>
      <c r="N40" s="98">
        <v>14.27109347</v>
      </c>
      <c r="O40" s="98">
        <v>14.2667936</v>
      </c>
      <c r="P40" s="98">
        <v>14.26249434</v>
      </c>
      <c r="Q40" s="98">
        <v>14.258194469999999</v>
      </c>
      <c r="R40" s="98">
        <v>14.25389472</v>
      </c>
      <c r="S40" s="98">
        <v>14.234383210000001</v>
      </c>
      <c r="T40" s="98">
        <v>14.21487207</v>
      </c>
      <c r="U40" s="98">
        <v>14.19536108</v>
      </c>
      <c r="V40" s="98">
        <v>14.175849940000001</v>
      </c>
      <c r="W40" s="98">
        <v>14.15633843</v>
      </c>
      <c r="X40" s="98">
        <v>14.120965379999999</v>
      </c>
      <c r="Y40" s="98">
        <v>14.08559209</v>
      </c>
      <c r="Z40" s="98">
        <v>14.050218709999999</v>
      </c>
      <c r="AA40" s="98">
        <v>14.01484542</v>
      </c>
      <c r="AB40" s="98">
        <v>13.97947237</v>
      </c>
      <c r="AC40" s="98">
        <v>13.93101401</v>
      </c>
      <c r="AD40" s="98">
        <v>13.882555740000001</v>
      </c>
      <c r="AE40" s="98">
        <v>13.83409724</v>
      </c>
      <c r="AF40" s="98">
        <v>13.785638970000001</v>
      </c>
      <c r="AG40" s="98">
        <v>13.737180609999999</v>
      </c>
      <c r="AH40" s="98">
        <v>13.66731802</v>
      </c>
      <c r="AI40" s="98">
        <v>13.597455719999999</v>
      </c>
      <c r="AJ40" s="98">
        <v>13.52759292</v>
      </c>
      <c r="AK40" s="98">
        <v>13.45773062</v>
      </c>
      <c r="AL40" s="98">
        <v>13.38786803</v>
      </c>
      <c r="AM40" s="98">
        <v>13.29363728</v>
      </c>
      <c r="AN40" s="98">
        <v>13.19940598</v>
      </c>
      <c r="AO40" s="98">
        <v>13.105175389999999</v>
      </c>
      <c r="AP40" s="98">
        <v>13.010944090000001</v>
      </c>
      <c r="AQ40" s="98">
        <v>12.916713339999999</v>
      </c>
      <c r="AR40" s="98">
        <v>12.803761980000001</v>
      </c>
      <c r="AS40" s="98">
        <v>12.690810539999999</v>
      </c>
      <c r="AT40" s="98">
        <v>12.577859249999999</v>
      </c>
      <c r="AU40" s="98">
        <v>12.46490781</v>
      </c>
      <c r="AV40" s="99">
        <v>12.351956449999999</v>
      </c>
    </row>
  </sheetData>
  <phoneticPr fontId="3" type="noConversion"/>
  <hyperlinks>
    <hyperlink ref="D8" r:id="rId1" display="https://www.sohu.com/a/716515038_121388092" xr:uid="{1166C550-C5A6-4F3C-8D25-0A5973C9CBB9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0"/>
  <sheetViews>
    <sheetView topLeftCell="U1" zoomScale="80" zoomScaleNormal="80" workbookViewId="0">
      <selection sqref="A1:AS21"/>
    </sheetView>
  </sheetViews>
  <sheetFormatPr defaultRowHeight="14.25" x14ac:dyDescent="0.2"/>
  <cols>
    <col min="1" max="1" width="22.5" customWidth="1"/>
    <col min="4" max="4" width="20.375" customWidth="1"/>
  </cols>
  <sheetData>
    <row r="1" spans="1:45" x14ac:dyDescent="0.2">
      <c r="A1" s="1" t="s">
        <v>0</v>
      </c>
      <c r="B1" s="1" t="s">
        <v>1</v>
      </c>
      <c r="C1" s="2" t="s">
        <v>2</v>
      </c>
      <c r="D1" s="1" t="s">
        <v>3</v>
      </c>
      <c r="E1" s="3">
        <v>2020</v>
      </c>
      <c r="F1" s="2">
        <v>2021</v>
      </c>
      <c r="G1" s="4">
        <v>2022</v>
      </c>
      <c r="H1" s="4">
        <v>2023</v>
      </c>
      <c r="I1" s="4">
        <v>2024</v>
      </c>
      <c r="J1" s="3">
        <v>2025</v>
      </c>
      <c r="K1" s="5">
        <v>2026</v>
      </c>
      <c r="L1" s="6">
        <v>2027</v>
      </c>
      <c r="M1" s="6">
        <v>2028</v>
      </c>
      <c r="N1" s="6">
        <v>2029</v>
      </c>
      <c r="O1" s="3">
        <v>2030</v>
      </c>
      <c r="P1" s="2">
        <v>2031</v>
      </c>
      <c r="Q1" s="4">
        <v>2032</v>
      </c>
      <c r="R1" s="4">
        <v>2033</v>
      </c>
      <c r="S1" s="4">
        <v>2034</v>
      </c>
      <c r="T1" s="3">
        <v>2035</v>
      </c>
      <c r="U1" s="2">
        <v>2036</v>
      </c>
      <c r="V1" s="4">
        <v>2037</v>
      </c>
      <c r="W1" s="4">
        <v>2038</v>
      </c>
      <c r="X1" s="4">
        <v>2039</v>
      </c>
      <c r="Y1" s="3">
        <v>2040</v>
      </c>
      <c r="Z1" s="2">
        <v>2041</v>
      </c>
      <c r="AA1" s="4">
        <v>2042</v>
      </c>
      <c r="AB1" s="4">
        <v>2043</v>
      </c>
      <c r="AC1" s="4">
        <v>2044</v>
      </c>
      <c r="AD1" s="3">
        <v>2045</v>
      </c>
      <c r="AE1" s="2">
        <v>2046</v>
      </c>
      <c r="AF1" s="4">
        <v>2047</v>
      </c>
      <c r="AG1" s="4">
        <v>2048</v>
      </c>
      <c r="AH1" s="4">
        <v>2049</v>
      </c>
      <c r="AI1" s="3">
        <v>2050</v>
      </c>
      <c r="AJ1" s="2">
        <v>2051</v>
      </c>
      <c r="AK1" s="4">
        <v>2052</v>
      </c>
      <c r="AL1" s="4">
        <v>2053</v>
      </c>
      <c r="AM1" s="4">
        <v>2054</v>
      </c>
      <c r="AN1" s="3">
        <v>2055</v>
      </c>
      <c r="AO1" s="2">
        <v>2056</v>
      </c>
      <c r="AP1" s="4">
        <v>2057</v>
      </c>
      <c r="AQ1" s="4">
        <v>2058</v>
      </c>
      <c r="AR1" s="4">
        <v>2059</v>
      </c>
      <c r="AS1" s="3">
        <v>2060</v>
      </c>
    </row>
    <row r="2" spans="1:45" x14ac:dyDescent="0.2">
      <c r="A2" s="7" t="s">
        <v>4</v>
      </c>
      <c r="B2" s="8" t="s">
        <v>5</v>
      </c>
      <c r="C2" s="9" t="s">
        <v>6</v>
      </c>
      <c r="D2" s="8" t="s">
        <v>7</v>
      </c>
      <c r="E2" s="33">
        <v>39.020000000000003</v>
      </c>
      <c r="F2" s="31">
        <v>41.26</v>
      </c>
      <c r="G2" s="27">
        <v>45.59</v>
      </c>
      <c r="H2" s="12">
        <f>G2+($J2-$G2)/3</f>
        <v>47.06</v>
      </c>
      <c r="I2" s="12">
        <f>H2+($J2-$G2)/3</f>
        <v>48.53</v>
      </c>
      <c r="J2" s="10">
        <v>50</v>
      </c>
      <c r="K2" s="11">
        <f>J2+($O2-$J2)/5</f>
        <v>50.8</v>
      </c>
      <c r="L2" s="12">
        <f>K2+($O2-$J2)/5</f>
        <v>51.599999999999994</v>
      </c>
      <c r="M2" s="12">
        <f t="shared" ref="M2:N2" si="0">L2+($O2-$J2)/5</f>
        <v>52.399999999999991</v>
      </c>
      <c r="N2" s="12">
        <f t="shared" si="0"/>
        <v>53.199999999999989</v>
      </c>
      <c r="O2" s="13">
        <v>54</v>
      </c>
      <c r="P2" s="11">
        <f>O2+($T2-$O2)/5</f>
        <v>53.8</v>
      </c>
      <c r="Q2" s="12">
        <f t="shared" ref="Q2:S2" si="1">P2+($T2-$O2)/5</f>
        <v>53.599999999999994</v>
      </c>
      <c r="R2" s="12">
        <f t="shared" si="1"/>
        <v>53.399999999999991</v>
      </c>
      <c r="S2" s="12">
        <f t="shared" si="1"/>
        <v>53.199999999999989</v>
      </c>
      <c r="T2" s="14">
        <v>53</v>
      </c>
      <c r="U2" s="11">
        <f>T2+($Y2-$T2)/5</f>
        <v>52.2</v>
      </c>
      <c r="V2" s="12">
        <f t="shared" ref="V2:X2" si="2">U2+($Y2-$T2)/5</f>
        <v>51.400000000000006</v>
      </c>
      <c r="W2" s="12">
        <f t="shared" si="2"/>
        <v>50.600000000000009</v>
      </c>
      <c r="X2" s="12">
        <f t="shared" si="2"/>
        <v>49.800000000000011</v>
      </c>
      <c r="Y2" s="15">
        <v>49</v>
      </c>
      <c r="Z2" s="11">
        <f>Y2+($AD2-$Y2)/5</f>
        <v>47.8</v>
      </c>
      <c r="AA2" s="12">
        <f t="shared" ref="AA2:AC2" si="3">Z2+($AD2-$Y2)/5</f>
        <v>46.599999999999994</v>
      </c>
      <c r="AB2" s="12">
        <f t="shared" si="3"/>
        <v>45.399999999999991</v>
      </c>
      <c r="AC2" s="12">
        <f t="shared" si="3"/>
        <v>44.199999999999989</v>
      </c>
      <c r="AD2" s="16">
        <v>43</v>
      </c>
      <c r="AE2" s="11">
        <f>AD2+($AI2-$AD2)/5</f>
        <v>42</v>
      </c>
      <c r="AF2" s="12">
        <f t="shared" ref="AF2:AH2" si="4">AE2+($AI2-$AD2)/5</f>
        <v>41</v>
      </c>
      <c r="AG2" s="12">
        <f t="shared" si="4"/>
        <v>40</v>
      </c>
      <c r="AH2" s="12">
        <f t="shared" si="4"/>
        <v>39</v>
      </c>
      <c r="AI2" s="16">
        <v>38</v>
      </c>
      <c r="AJ2" s="11">
        <f>AI2+($AN2-$AI2)/5</f>
        <v>37</v>
      </c>
      <c r="AK2" s="12">
        <f t="shared" ref="AK2:AM2" si="5">AJ2+($AN2-$AI2)/5</f>
        <v>36</v>
      </c>
      <c r="AL2" s="12">
        <f t="shared" si="5"/>
        <v>35</v>
      </c>
      <c r="AM2" s="12">
        <f t="shared" si="5"/>
        <v>34</v>
      </c>
      <c r="AN2" s="16">
        <v>33</v>
      </c>
      <c r="AO2" s="11">
        <f>AN2+($AS2-$AN2)/5</f>
        <v>32</v>
      </c>
      <c r="AP2" s="12">
        <f t="shared" ref="AP2:AR2" si="6">AO2+($AS2-$AN2)/5</f>
        <v>31</v>
      </c>
      <c r="AQ2" s="12">
        <f t="shared" si="6"/>
        <v>30</v>
      </c>
      <c r="AR2" s="12">
        <f t="shared" si="6"/>
        <v>29</v>
      </c>
      <c r="AS2" s="16">
        <v>28</v>
      </c>
    </row>
    <row r="3" spans="1:45" x14ac:dyDescent="0.2">
      <c r="A3" s="17" t="s">
        <v>8</v>
      </c>
      <c r="B3" s="8" t="s">
        <v>9</v>
      </c>
      <c r="C3" s="9" t="s">
        <v>6</v>
      </c>
      <c r="D3" s="8" t="s">
        <v>10</v>
      </c>
      <c r="E3" s="34">
        <v>1.9477</v>
      </c>
      <c r="F3" s="32">
        <v>1.9887999999999999</v>
      </c>
      <c r="G3" s="28">
        <v>2.0472000000000001</v>
      </c>
      <c r="H3" s="12">
        <f t="shared" ref="H3:I3" si="7">G3+($J3-$G3)/3</f>
        <v>2.0981333333333336</v>
      </c>
      <c r="I3" s="12">
        <f t="shared" si="7"/>
        <v>2.1490666666666671</v>
      </c>
      <c r="J3" s="10">
        <v>2.2000000000000002</v>
      </c>
      <c r="K3" s="11">
        <f t="shared" ref="K3:N18" si="8">J3+($O3-$J3)/5</f>
        <v>2.23</v>
      </c>
      <c r="L3" s="12">
        <f t="shared" si="8"/>
        <v>2.2599999999999998</v>
      </c>
      <c r="M3" s="12">
        <f t="shared" si="8"/>
        <v>2.2899999999999996</v>
      </c>
      <c r="N3" s="12">
        <f t="shared" si="8"/>
        <v>2.3199999999999994</v>
      </c>
      <c r="O3" s="10">
        <v>2.35</v>
      </c>
      <c r="P3" s="11">
        <f t="shared" ref="P3:S18" si="9">O3+($T3-$O3)/5</f>
        <v>2.3559999999999999</v>
      </c>
      <c r="Q3" s="12">
        <f t="shared" si="9"/>
        <v>2.3619999999999997</v>
      </c>
      <c r="R3" s="12">
        <f t="shared" si="9"/>
        <v>2.3679999999999994</v>
      </c>
      <c r="S3" s="12">
        <f t="shared" si="9"/>
        <v>2.3739999999999992</v>
      </c>
      <c r="T3" s="10">
        <v>2.38</v>
      </c>
      <c r="U3" s="11">
        <f t="shared" ref="U3:X18" si="10">T3+($Y3-$T3)/5</f>
        <v>2.3759999999999999</v>
      </c>
      <c r="V3" s="12">
        <f t="shared" si="10"/>
        <v>2.3719999999999999</v>
      </c>
      <c r="W3" s="12">
        <f t="shared" si="10"/>
        <v>2.3679999999999999</v>
      </c>
      <c r="X3" s="12">
        <f t="shared" si="10"/>
        <v>2.3639999999999999</v>
      </c>
      <c r="Y3" s="10">
        <v>2.36</v>
      </c>
      <c r="Z3" s="11">
        <f t="shared" ref="Z3:AC18" si="11">Y3+($AD3-$Y3)/5</f>
        <v>2.3439999999999999</v>
      </c>
      <c r="AA3" s="12">
        <f t="shared" si="11"/>
        <v>2.3279999999999998</v>
      </c>
      <c r="AB3" s="12">
        <f t="shared" si="11"/>
        <v>2.3119999999999998</v>
      </c>
      <c r="AC3" s="12">
        <f t="shared" si="11"/>
        <v>2.2959999999999998</v>
      </c>
      <c r="AD3" s="10">
        <v>2.2799999999999998</v>
      </c>
      <c r="AE3" s="11">
        <f t="shared" ref="AE3:AH18" si="12">AD3+($AI3-$AD3)/5</f>
        <v>2.2439999999999998</v>
      </c>
      <c r="AF3" s="12">
        <f t="shared" si="12"/>
        <v>2.2079999999999997</v>
      </c>
      <c r="AG3" s="12">
        <f t="shared" si="12"/>
        <v>2.1719999999999997</v>
      </c>
      <c r="AH3" s="12">
        <f t="shared" si="12"/>
        <v>2.1359999999999997</v>
      </c>
      <c r="AI3" s="10">
        <v>2.1</v>
      </c>
      <c r="AJ3" s="11">
        <f t="shared" ref="AJ3:AM18" si="13">AI3+($AN3-$AI3)/5</f>
        <v>2.0500000000000003</v>
      </c>
      <c r="AK3" s="12">
        <f t="shared" si="13"/>
        <v>2.0000000000000004</v>
      </c>
      <c r="AL3" s="12">
        <f t="shared" si="13"/>
        <v>1.9500000000000004</v>
      </c>
      <c r="AM3" s="12">
        <f t="shared" si="13"/>
        <v>1.9000000000000004</v>
      </c>
      <c r="AN3" s="10">
        <v>1.85</v>
      </c>
      <c r="AO3" s="11">
        <f t="shared" ref="AO3:AR18" si="14">AN3+($AS3-$AN3)/5</f>
        <v>1.81</v>
      </c>
      <c r="AP3" s="12">
        <f t="shared" si="14"/>
        <v>1.77</v>
      </c>
      <c r="AQ3" s="12">
        <f t="shared" si="14"/>
        <v>1.73</v>
      </c>
      <c r="AR3" s="12">
        <f t="shared" si="14"/>
        <v>1.69</v>
      </c>
      <c r="AS3" s="10">
        <v>1.65</v>
      </c>
    </row>
    <row r="4" spans="1:45" x14ac:dyDescent="0.2">
      <c r="A4" s="17" t="s">
        <v>8</v>
      </c>
      <c r="B4" s="8" t="s">
        <v>11</v>
      </c>
      <c r="C4" s="9" t="s">
        <v>12</v>
      </c>
      <c r="D4" s="8" t="s">
        <v>10</v>
      </c>
      <c r="E4" s="35">
        <v>1924.95</v>
      </c>
      <c r="F4" s="11">
        <v>2075.84</v>
      </c>
      <c r="G4" s="29">
        <v>2201.1</v>
      </c>
      <c r="H4" s="12">
        <f t="shared" ref="H4:I4" si="15">G4+($J4-$G4)/3</f>
        <v>2334.0666666666666</v>
      </c>
      <c r="I4" s="12">
        <f t="shared" si="15"/>
        <v>2467.0333333333333</v>
      </c>
      <c r="J4" s="10">
        <v>2600</v>
      </c>
      <c r="K4" s="11">
        <f t="shared" si="8"/>
        <v>2700</v>
      </c>
      <c r="L4" s="12">
        <f t="shared" si="8"/>
        <v>2800</v>
      </c>
      <c r="M4" s="12">
        <f t="shared" si="8"/>
        <v>2900</v>
      </c>
      <c r="N4" s="12">
        <f t="shared" si="8"/>
        <v>3000</v>
      </c>
      <c r="O4" s="10">
        <v>3100</v>
      </c>
      <c r="P4" s="11">
        <f t="shared" si="9"/>
        <v>3150</v>
      </c>
      <c r="Q4" s="12">
        <f t="shared" si="9"/>
        <v>3200</v>
      </c>
      <c r="R4" s="12">
        <f t="shared" si="9"/>
        <v>3250</v>
      </c>
      <c r="S4" s="12">
        <f t="shared" si="9"/>
        <v>3300</v>
      </c>
      <c r="T4" s="10">
        <v>3350</v>
      </c>
      <c r="U4" s="11">
        <f t="shared" si="10"/>
        <v>3390</v>
      </c>
      <c r="V4" s="12">
        <f t="shared" si="10"/>
        <v>3430</v>
      </c>
      <c r="W4" s="12">
        <f t="shared" si="10"/>
        <v>3470</v>
      </c>
      <c r="X4" s="12">
        <f t="shared" si="10"/>
        <v>3510</v>
      </c>
      <c r="Y4" s="10">
        <v>3550</v>
      </c>
      <c r="Z4" s="11">
        <f t="shared" si="11"/>
        <v>3576</v>
      </c>
      <c r="AA4" s="12">
        <f t="shared" si="11"/>
        <v>3602</v>
      </c>
      <c r="AB4" s="12">
        <f t="shared" si="11"/>
        <v>3628</v>
      </c>
      <c r="AC4" s="12">
        <f t="shared" si="11"/>
        <v>3654</v>
      </c>
      <c r="AD4" s="10">
        <v>3680</v>
      </c>
      <c r="AE4" s="11">
        <f t="shared" si="12"/>
        <v>3694</v>
      </c>
      <c r="AF4" s="12">
        <f t="shared" si="12"/>
        <v>3708</v>
      </c>
      <c r="AG4" s="12">
        <f t="shared" si="12"/>
        <v>3722</v>
      </c>
      <c r="AH4" s="12">
        <f t="shared" si="12"/>
        <v>3736</v>
      </c>
      <c r="AI4" s="10">
        <v>3750</v>
      </c>
      <c r="AJ4" s="11">
        <f t="shared" si="13"/>
        <v>3770</v>
      </c>
      <c r="AK4" s="12">
        <f t="shared" si="13"/>
        <v>3790</v>
      </c>
      <c r="AL4" s="12">
        <f t="shared" si="13"/>
        <v>3810</v>
      </c>
      <c r="AM4" s="12">
        <f t="shared" si="13"/>
        <v>3830</v>
      </c>
      <c r="AN4" s="10">
        <v>3850</v>
      </c>
      <c r="AO4" s="11">
        <f t="shared" si="14"/>
        <v>3860</v>
      </c>
      <c r="AP4" s="12">
        <f t="shared" si="14"/>
        <v>3870</v>
      </c>
      <c r="AQ4" s="12">
        <f t="shared" si="14"/>
        <v>3880</v>
      </c>
      <c r="AR4" s="12">
        <f t="shared" si="14"/>
        <v>3890</v>
      </c>
      <c r="AS4" s="10">
        <v>3900</v>
      </c>
    </row>
    <row r="5" spans="1:45" x14ac:dyDescent="0.2">
      <c r="A5" s="18" t="s">
        <v>13</v>
      </c>
      <c r="B5" s="8" t="s">
        <v>14</v>
      </c>
      <c r="C5" s="9" t="s">
        <v>6</v>
      </c>
      <c r="D5" s="8" t="s">
        <v>15</v>
      </c>
      <c r="E5" s="34">
        <v>8.6671999999999993</v>
      </c>
      <c r="F5" s="32">
        <v>9.8053000000000008</v>
      </c>
      <c r="G5" s="28">
        <v>9.6786999999999992</v>
      </c>
      <c r="H5" s="12">
        <f>H18/G18*G5</f>
        <v>10.002100132585563</v>
      </c>
      <c r="I5" s="12">
        <f>I18/H18*H5</f>
        <v>10.325500265171126</v>
      </c>
      <c r="J5" s="16">
        <f>J18/G18*G5</f>
        <v>10.648900397756689</v>
      </c>
      <c r="K5" s="11">
        <f t="shared" si="8"/>
        <v>10.72496397202638</v>
      </c>
      <c r="L5" s="12">
        <f t="shared" si="8"/>
        <v>10.801027546296071</v>
      </c>
      <c r="M5" s="12">
        <f t="shared" si="8"/>
        <v>10.877091120565762</v>
      </c>
      <c r="N5" s="12">
        <f t="shared" si="8"/>
        <v>10.953154694835453</v>
      </c>
      <c r="O5" s="16">
        <f>O18/J18*J5</f>
        <v>11.029218269105144</v>
      </c>
      <c r="P5" s="11">
        <f t="shared" si="9"/>
        <v>10.896107014133186</v>
      </c>
      <c r="Q5" s="12">
        <f t="shared" si="9"/>
        <v>10.762995759161228</v>
      </c>
      <c r="R5" s="12">
        <f t="shared" si="9"/>
        <v>10.62988450418927</v>
      </c>
      <c r="S5" s="12">
        <f t="shared" si="9"/>
        <v>10.496773249217313</v>
      </c>
      <c r="T5" s="16">
        <f>T18/O18*O5</f>
        <v>10.363661994245351</v>
      </c>
      <c r="U5" s="11">
        <f t="shared" si="10"/>
        <v>10.192518952138547</v>
      </c>
      <c r="V5" s="12">
        <f t="shared" si="10"/>
        <v>10.021375910031743</v>
      </c>
      <c r="W5" s="12">
        <f t="shared" si="10"/>
        <v>9.8502328679249391</v>
      </c>
      <c r="X5" s="12">
        <f t="shared" si="10"/>
        <v>9.679089825818135</v>
      </c>
      <c r="Y5" s="16">
        <f>Y18/T18*T5</f>
        <v>9.5079467837113327</v>
      </c>
      <c r="Z5" s="11">
        <f t="shared" si="11"/>
        <v>9.2987719544696841</v>
      </c>
      <c r="AA5" s="12">
        <f t="shared" si="11"/>
        <v>9.0895971252280354</v>
      </c>
      <c r="AB5" s="12">
        <f t="shared" si="11"/>
        <v>8.8804222959863868</v>
      </c>
      <c r="AC5" s="12">
        <f t="shared" si="11"/>
        <v>8.6712474667447381</v>
      </c>
      <c r="AD5" s="16">
        <f>AD18/Y18*Y5</f>
        <v>8.4620726375030859</v>
      </c>
      <c r="AE5" s="11">
        <f t="shared" si="12"/>
        <v>8.2338819146940132</v>
      </c>
      <c r="AF5" s="12">
        <f t="shared" si="12"/>
        <v>8.0056911918849405</v>
      </c>
      <c r="AG5" s="12">
        <f t="shared" si="12"/>
        <v>7.7775004690758687</v>
      </c>
      <c r="AH5" s="12">
        <f t="shared" si="12"/>
        <v>7.5493097462667969</v>
      </c>
      <c r="AI5" s="16">
        <f>AI18/AD18*AD5</f>
        <v>7.3211190234577259</v>
      </c>
      <c r="AJ5" s="11">
        <f t="shared" si="13"/>
        <v>7.1119441942160764</v>
      </c>
      <c r="AK5" s="12">
        <f t="shared" si="13"/>
        <v>6.9027693649744268</v>
      </c>
      <c r="AL5" s="12">
        <f t="shared" si="13"/>
        <v>6.6935945357327773</v>
      </c>
      <c r="AM5" s="12">
        <f t="shared" si="13"/>
        <v>6.4844197064911278</v>
      </c>
      <c r="AN5" s="16">
        <f>AN18/AI18*AI5</f>
        <v>6.2752448772494791</v>
      </c>
      <c r="AO5" s="11">
        <f t="shared" si="14"/>
        <v>6.084852901799584</v>
      </c>
      <c r="AP5" s="12">
        <f t="shared" si="14"/>
        <v>5.894460926349689</v>
      </c>
      <c r="AQ5" s="12">
        <f t="shared" si="14"/>
        <v>5.7040689508997939</v>
      </c>
      <c r="AR5" s="12">
        <f t="shared" si="14"/>
        <v>5.5136769754498989</v>
      </c>
      <c r="AS5" s="16">
        <f>AS18/AN18*AN5</f>
        <v>5.323285000000002</v>
      </c>
    </row>
    <row r="6" spans="1:45" x14ac:dyDescent="0.2">
      <c r="A6" s="17" t="s">
        <v>16</v>
      </c>
      <c r="B6" s="8" t="s">
        <v>17</v>
      </c>
      <c r="C6" s="9" t="s">
        <v>18</v>
      </c>
      <c r="D6" s="8" t="s">
        <v>19</v>
      </c>
      <c r="E6" s="33">
        <v>172</v>
      </c>
      <c r="F6" s="11">
        <v>191</v>
      </c>
      <c r="G6" s="29">
        <v>194</v>
      </c>
      <c r="H6" s="12">
        <f t="shared" ref="H6:I6" si="16">G6+($J6-$G6)/3</f>
        <v>219.50933697995856</v>
      </c>
      <c r="I6" s="12">
        <f t="shared" si="16"/>
        <v>245.01867395991712</v>
      </c>
      <c r="J6" s="19">
        <f>J20/G20*G6</f>
        <v>270.52801093987568</v>
      </c>
      <c r="K6" s="11">
        <f t="shared" si="8"/>
        <v>286.23608899444912</v>
      </c>
      <c r="L6" s="12">
        <f t="shared" si="8"/>
        <v>301.94416704902255</v>
      </c>
      <c r="M6" s="12">
        <f t="shared" si="8"/>
        <v>317.65224510359599</v>
      </c>
      <c r="N6" s="12">
        <f t="shared" si="8"/>
        <v>333.36032315816942</v>
      </c>
      <c r="O6" s="19">
        <f>O20/J20*J6</f>
        <v>349.0684012127428</v>
      </c>
      <c r="P6" s="11">
        <f t="shared" si="9"/>
        <v>359.54045324912505</v>
      </c>
      <c r="Q6" s="12">
        <f t="shared" si="9"/>
        <v>370.0125052855073</v>
      </c>
      <c r="R6" s="12">
        <f t="shared" si="9"/>
        <v>380.48455732188955</v>
      </c>
      <c r="S6" s="12">
        <f t="shared" si="9"/>
        <v>390.95660935827181</v>
      </c>
      <c r="T6" s="19">
        <f>T20/O20*O6</f>
        <v>401.42866139465417</v>
      </c>
      <c r="U6" s="11">
        <f t="shared" si="10"/>
        <v>408.41002941890901</v>
      </c>
      <c r="V6" s="12">
        <f t="shared" si="10"/>
        <v>415.39139744316384</v>
      </c>
      <c r="W6" s="12">
        <f t="shared" si="10"/>
        <v>422.37276546741867</v>
      </c>
      <c r="X6" s="12">
        <f t="shared" si="10"/>
        <v>429.35413349167351</v>
      </c>
      <c r="Y6" s="19">
        <f>Y20/T20*T6</f>
        <v>436.3355015159284</v>
      </c>
      <c r="Z6" s="11">
        <f t="shared" si="11"/>
        <v>443.31686954018323</v>
      </c>
      <c r="AA6" s="12">
        <f t="shared" si="11"/>
        <v>450.29823756443807</v>
      </c>
      <c r="AB6" s="12">
        <f t="shared" si="11"/>
        <v>457.2796055886929</v>
      </c>
      <c r="AC6" s="12">
        <f t="shared" si="11"/>
        <v>464.26097361294774</v>
      </c>
      <c r="AD6" s="19">
        <f>AD20/Y20*Y6</f>
        <v>471.24234163720268</v>
      </c>
      <c r="AE6" s="11">
        <f t="shared" si="12"/>
        <v>476.47836765539381</v>
      </c>
      <c r="AF6" s="12">
        <f t="shared" si="12"/>
        <v>481.71439367358494</v>
      </c>
      <c r="AG6" s="12">
        <f t="shared" si="12"/>
        <v>486.95041969177606</v>
      </c>
      <c r="AH6" s="12">
        <f t="shared" si="12"/>
        <v>492.18644570996719</v>
      </c>
      <c r="AI6" s="19">
        <f>AI20/AD20*AD6</f>
        <v>497.42247172815843</v>
      </c>
      <c r="AJ6" s="11">
        <f t="shared" si="13"/>
        <v>501.96036094392406</v>
      </c>
      <c r="AK6" s="12">
        <f t="shared" si="13"/>
        <v>506.49825015968969</v>
      </c>
      <c r="AL6" s="12">
        <f t="shared" si="13"/>
        <v>511.03613937545532</v>
      </c>
      <c r="AM6" s="12">
        <f t="shared" si="13"/>
        <v>515.57402859122101</v>
      </c>
      <c r="AN6" s="19">
        <f>AN20/AI20*AI6</f>
        <v>520.11191780698664</v>
      </c>
      <c r="AO6" s="11">
        <f t="shared" si="14"/>
        <v>524.30073862153949</v>
      </c>
      <c r="AP6" s="12">
        <f t="shared" si="14"/>
        <v>528.48955943609235</v>
      </c>
      <c r="AQ6" s="12">
        <f t="shared" si="14"/>
        <v>532.6783802506452</v>
      </c>
      <c r="AR6" s="12">
        <f t="shared" si="14"/>
        <v>536.86720106519806</v>
      </c>
      <c r="AS6" s="19">
        <f>AS20/AN20*AN6</f>
        <v>541.05602187975114</v>
      </c>
    </row>
    <row r="7" spans="1:45" x14ac:dyDescent="0.2">
      <c r="A7" s="17" t="s">
        <v>16</v>
      </c>
      <c r="B7" s="8" t="s">
        <v>20</v>
      </c>
      <c r="C7" s="9" t="s">
        <v>18</v>
      </c>
      <c r="D7" s="8" t="s">
        <v>51</v>
      </c>
      <c r="E7" s="33">
        <v>9269</v>
      </c>
      <c r="F7" s="11">
        <v>8500</v>
      </c>
      <c r="G7" s="29">
        <v>9000</v>
      </c>
      <c r="H7" s="12">
        <f t="shared" ref="H7:I7" si="17">G7+($J7-$G7)/3</f>
        <v>9549.6944771735962</v>
      </c>
      <c r="I7" s="12">
        <f t="shared" si="17"/>
        <v>10099.388954347192</v>
      </c>
      <c r="J7" s="19">
        <f>J19/G19*G7</f>
        <v>10649.08343152079</v>
      </c>
      <c r="K7" s="11">
        <f t="shared" si="8"/>
        <v>10962.951153712982</v>
      </c>
      <c r="L7" s="12">
        <f t="shared" si="8"/>
        <v>11276.818875905174</v>
      </c>
      <c r="M7" s="12">
        <f t="shared" si="8"/>
        <v>11590.686598097365</v>
      </c>
      <c r="N7" s="12">
        <f t="shared" si="8"/>
        <v>11904.554320289557</v>
      </c>
      <c r="O7" s="19">
        <f>O19/J19*J7</f>
        <v>12218.422042481749</v>
      </c>
      <c r="P7" s="11">
        <f t="shared" si="9"/>
        <v>12397.775026591573</v>
      </c>
      <c r="Q7" s="12">
        <f t="shared" si="9"/>
        <v>12577.128010701397</v>
      </c>
      <c r="R7" s="12">
        <f t="shared" si="9"/>
        <v>12756.480994811222</v>
      </c>
      <c r="S7" s="12">
        <f t="shared" si="9"/>
        <v>12935.833978921046</v>
      </c>
      <c r="T7" s="19">
        <f>T19/O19*O7</f>
        <v>13115.186963030868</v>
      </c>
      <c r="U7" s="11">
        <f t="shared" si="10"/>
        <v>13025.510470975956</v>
      </c>
      <c r="V7" s="12">
        <f t="shared" si="10"/>
        <v>12935.833978921044</v>
      </c>
      <c r="W7" s="12">
        <f t="shared" si="10"/>
        <v>12846.157486866132</v>
      </c>
      <c r="X7" s="12">
        <f t="shared" si="10"/>
        <v>12756.48099481122</v>
      </c>
      <c r="Y7" s="19">
        <f>Y19/T19*T7</f>
        <v>12666.804502756309</v>
      </c>
      <c r="Z7" s="11">
        <f t="shared" si="11"/>
        <v>12465.032395632757</v>
      </c>
      <c r="AA7" s="12">
        <f t="shared" si="11"/>
        <v>12263.260288509206</v>
      </c>
      <c r="AB7" s="12">
        <f t="shared" si="11"/>
        <v>12061.488181385654</v>
      </c>
      <c r="AC7" s="12">
        <f t="shared" si="11"/>
        <v>11859.716074262102</v>
      </c>
      <c r="AD7" s="19">
        <f>AD19/Y19*Y7</f>
        <v>11657.94396713855</v>
      </c>
      <c r="AE7" s="11">
        <f t="shared" si="12"/>
        <v>11433.75273700127</v>
      </c>
      <c r="AF7" s="12">
        <f t="shared" si="12"/>
        <v>11209.561506863991</v>
      </c>
      <c r="AG7" s="12">
        <f t="shared" si="12"/>
        <v>10985.370276726711</v>
      </c>
      <c r="AH7" s="12">
        <f t="shared" si="12"/>
        <v>10761.179046589432</v>
      </c>
      <c r="AI7" s="19">
        <f>AI19/AD19*AD7</f>
        <v>10536.987816452151</v>
      </c>
      <c r="AJ7" s="11">
        <f t="shared" si="13"/>
        <v>10357.634832342326</v>
      </c>
      <c r="AK7" s="12">
        <f t="shared" si="13"/>
        <v>10178.281848232502</v>
      </c>
      <c r="AL7" s="12">
        <f t="shared" si="13"/>
        <v>9998.9288641226776</v>
      </c>
      <c r="AM7" s="12">
        <f t="shared" si="13"/>
        <v>9819.5758800128533</v>
      </c>
      <c r="AN7" s="19">
        <f>AN19/AI19*AI7</f>
        <v>9640.2228959030308</v>
      </c>
      <c r="AO7" s="11">
        <f t="shared" si="14"/>
        <v>9416.0316657657513</v>
      </c>
      <c r="AP7" s="12">
        <f t="shared" si="14"/>
        <v>9191.8404356284718</v>
      </c>
      <c r="AQ7" s="12">
        <f t="shared" si="14"/>
        <v>8967.6492054911923</v>
      </c>
      <c r="AR7" s="12">
        <f t="shared" si="14"/>
        <v>8743.4579753539128</v>
      </c>
      <c r="AS7" s="19">
        <f>AS19/AN19*AN7</f>
        <v>8519.2667452166315</v>
      </c>
    </row>
    <row r="8" spans="1:45" x14ac:dyDescent="0.2">
      <c r="A8" s="18" t="s">
        <v>21</v>
      </c>
      <c r="B8" s="8" t="s">
        <v>22</v>
      </c>
      <c r="C8" s="9" t="s">
        <v>6</v>
      </c>
      <c r="D8" s="26" t="s">
        <v>23</v>
      </c>
      <c r="E8" s="34">
        <v>31.55</v>
      </c>
      <c r="F8" s="11">
        <v>31.4</v>
      </c>
      <c r="G8" s="27">
        <v>28.79</v>
      </c>
      <c r="H8" s="12">
        <f t="shared" ref="H8:I8" si="18">G8+($J8-$G8)/3</f>
        <v>29.108773281707546</v>
      </c>
      <c r="I8" s="12">
        <f t="shared" si="18"/>
        <v>29.427546563415092</v>
      </c>
      <c r="J8" s="16">
        <f>J16/G16*G8</f>
        <v>29.746319845122635</v>
      </c>
      <c r="K8" s="11">
        <f t="shared" si="8"/>
        <v>29.6651935182723</v>
      </c>
      <c r="L8" s="12">
        <f t="shared" si="8"/>
        <v>29.584067191421966</v>
      </c>
      <c r="M8" s="12">
        <f t="shared" si="8"/>
        <v>29.502940864571631</v>
      </c>
      <c r="N8" s="12">
        <f t="shared" si="8"/>
        <v>29.421814537721296</v>
      </c>
      <c r="O8" s="16">
        <f>O16/J16*J8</f>
        <v>29.340688210870962</v>
      </c>
      <c r="P8" s="11">
        <f t="shared" si="9"/>
        <v>28.935056576619289</v>
      </c>
      <c r="Q8" s="12">
        <f t="shared" si="9"/>
        <v>28.529424942367616</v>
      </c>
      <c r="R8" s="12">
        <f t="shared" si="9"/>
        <v>28.123793308115943</v>
      </c>
      <c r="S8" s="12">
        <f t="shared" si="9"/>
        <v>27.71816167386427</v>
      </c>
      <c r="T8" s="16">
        <f>T16/O16*O8</f>
        <v>27.3125300396126</v>
      </c>
      <c r="U8" s="11">
        <f t="shared" si="10"/>
        <v>26.717603642710149</v>
      </c>
      <c r="V8" s="12">
        <f t="shared" si="10"/>
        <v>26.122677245807697</v>
      </c>
      <c r="W8" s="12">
        <f t="shared" si="10"/>
        <v>25.527750848905246</v>
      </c>
      <c r="X8" s="12">
        <f t="shared" si="10"/>
        <v>24.932824452002794</v>
      </c>
      <c r="Y8" s="16">
        <f>Y16/T16*T8</f>
        <v>24.337898055100336</v>
      </c>
      <c r="Z8" s="11">
        <f t="shared" si="11"/>
        <v>23.52663478659699</v>
      </c>
      <c r="AA8" s="12">
        <f t="shared" si="11"/>
        <v>22.715371518093644</v>
      </c>
      <c r="AB8" s="12">
        <f t="shared" si="11"/>
        <v>21.904108249590298</v>
      </c>
      <c r="AC8" s="12">
        <f t="shared" si="11"/>
        <v>21.092844981086952</v>
      </c>
      <c r="AD8" s="16">
        <f>AD16/Y16*Y8</f>
        <v>20.281581712583613</v>
      </c>
      <c r="AE8" s="11">
        <f t="shared" si="12"/>
        <v>19.740739533581383</v>
      </c>
      <c r="AF8" s="12">
        <f t="shared" si="12"/>
        <v>19.199897354579154</v>
      </c>
      <c r="AG8" s="12">
        <f t="shared" si="12"/>
        <v>18.659055175576924</v>
      </c>
      <c r="AH8" s="12">
        <f t="shared" si="12"/>
        <v>18.118212996574695</v>
      </c>
      <c r="AI8" s="16">
        <f>AI16/AD16*AD8</f>
        <v>17.577370817572465</v>
      </c>
      <c r="AJ8" s="11">
        <f t="shared" si="13"/>
        <v>17.171739183320792</v>
      </c>
      <c r="AK8" s="12">
        <f t="shared" si="13"/>
        <v>16.766107549069119</v>
      </c>
      <c r="AL8" s="12">
        <f t="shared" si="13"/>
        <v>16.360475914817446</v>
      </c>
      <c r="AM8" s="12">
        <f t="shared" si="13"/>
        <v>15.954844280565773</v>
      </c>
      <c r="AN8" s="16">
        <f>AN16/AI16*AI8</f>
        <v>15.549212646314103</v>
      </c>
      <c r="AO8" s="11">
        <f t="shared" si="14"/>
        <v>15.318370117051282</v>
      </c>
      <c r="AP8" s="12">
        <f t="shared" si="14"/>
        <v>15.087527587788461</v>
      </c>
      <c r="AQ8" s="12">
        <f t="shared" si="14"/>
        <v>14.85668505852564</v>
      </c>
      <c r="AR8" s="12">
        <f t="shared" si="14"/>
        <v>14.625842529262819</v>
      </c>
      <c r="AS8" s="16">
        <f>AS16/AN16*AN8</f>
        <v>14.394999999999996</v>
      </c>
    </row>
    <row r="9" spans="1:45" x14ac:dyDescent="0.2">
      <c r="A9" s="18" t="s">
        <v>24</v>
      </c>
      <c r="B9" s="8" t="s">
        <v>25</v>
      </c>
      <c r="C9" s="9" t="s">
        <v>18</v>
      </c>
      <c r="D9" s="8" t="s">
        <v>26</v>
      </c>
      <c r="E9" s="35">
        <v>12700.63</v>
      </c>
      <c r="F9" s="11">
        <v>13583.87</v>
      </c>
      <c r="G9" s="29">
        <v>13691.4</v>
      </c>
      <c r="H9" s="12">
        <f t="shared" ref="H9:I9" si="19">G9+($J9-$G9)/3</f>
        <v>14294.266666666666</v>
      </c>
      <c r="I9" s="12">
        <f t="shared" si="19"/>
        <v>14897.133333333333</v>
      </c>
      <c r="J9" s="10">
        <v>15500</v>
      </c>
      <c r="K9" s="11">
        <f t="shared" si="8"/>
        <v>15800</v>
      </c>
      <c r="L9" s="12">
        <f t="shared" si="8"/>
        <v>16100</v>
      </c>
      <c r="M9" s="12">
        <f t="shared" si="8"/>
        <v>16400</v>
      </c>
      <c r="N9" s="12">
        <f t="shared" si="8"/>
        <v>16700</v>
      </c>
      <c r="O9" s="10">
        <v>17000</v>
      </c>
      <c r="P9" s="11">
        <f t="shared" si="9"/>
        <v>17100</v>
      </c>
      <c r="Q9" s="12">
        <f t="shared" si="9"/>
        <v>17200</v>
      </c>
      <c r="R9" s="12">
        <f t="shared" si="9"/>
        <v>17300</v>
      </c>
      <c r="S9" s="12">
        <f t="shared" si="9"/>
        <v>17400</v>
      </c>
      <c r="T9" s="10">
        <v>17500</v>
      </c>
      <c r="U9" s="11">
        <f t="shared" si="10"/>
        <v>17400</v>
      </c>
      <c r="V9" s="12">
        <f t="shared" si="10"/>
        <v>17300</v>
      </c>
      <c r="W9" s="12">
        <f t="shared" si="10"/>
        <v>17200</v>
      </c>
      <c r="X9" s="12">
        <f t="shared" si="10"/>
        <v>17100</v>
      </c>
      <c r="Y9" s="10">
        <v>17000</v>
      </c>
      <c r="Z9" s="11">
        <f t="shared" si="11"/>
        <v>16800</v>
      </c>
      <c r="AA9" s="12">
        <f t="shared" si="11"/>
        <v>16600</v>
      </c>
      <c r="AB9" s="12">
        <f t="shared" si="11"/>
        <v>16400</v>
      </c>
      <c r="AC9" s="12">
        <f t="shared" si="11"/>
        <v>16200</v>
      </c>
      <c r="AD9" s="10">
        <v>16000</v>
      </c>
      <c r="AE9" s="11">
        <f t="shared" si="12"/>
        <v>15840</v>
      </c>
      <c r="AF9" s="12">
        <f t="shared" si="12"/>
        <v>15680</v>
      </c>
      <c r="AG9" s="12">
        <f t="shared" si="12"/>
        <v>15520</v>
      </c>
      <c r="AH9" s="12">
        <f t="shared" si="12"/>
        <v>15360</v>
      </c>
      <c r="AI9" s="10">
        <v>15200</v>
      </c>
      <c r="AJ9" s="11">
        <f t="shared" si="13"/>
        <v>14960</v>
      </c>
      <c r="AK9" s="12">
        <f t="shared" si="13"/>
        <v>14720</v>
      </c>
      <c r="AL9" s="12">
        <f t="shared" si="13"/>
        <v>14480</v>
      </c>
      <c r="AM9" s="12">
        <f t="shared" si="13"/>
        <v>14240</v>
      </c>
      <c r="AN9" s="10">
        <v>14000</v>
      </c>
      <c r="AO9" s="11">
        <f t="shared" si="14"/>
        <v>13700</v>
      </c>
      <c r="AP9" s="12">
        <f t="shared" si="14"/>
        <v>13400</v>
      </c>
      <c r="AQ9" s="12">
        <f t="shared" si="14"/>
        <v>13100</v>
      </c>
      <c r="AR9" s="12">
        <f t="shared" si="14"/>
        <v>12800</v>
      </c>
      <c r="AS9" s="10">
        <v>12500</v>
      </c>
    </row>
    <row r="10" spans="1:45" x14ac:dyDescent="0.2">
      <c r="A10" s="17" t="s">
        <v>27</v>
      </c>
      <c r="B10" s="8" t="s">
        <v>28</v>
      </c>
      <c r="C10" s="9" t="s">
        <v>6</v>
      </c>
      <c r="D10" s="8" t="s">
        <v>29</v>
      </c>
      <c r="E10" s="34">
        <v>6.7441000000000004</v>
      </c>
      <c r="F10" s="11">
        <v>7</v>
      </c>
      <c r="G10" s="28">
        <v>6.7590000000000003</v>
      </c>
      <c r="H10" s="12">
        <f t="shared" ref="H10:I10" si="20">G10+($J10-$G10)/3</f>
        <v>6.9271606096131304</v>
      </c>
      <c r="I10" s="12">
        <f t="shared" si="20"/>
        <v>7.0953212192262605</v>
      </c>
      <c r="J10" s="16">
        <f>J3/G3*G10</f>
        <v>7.2634818288393905</v>
      </c>
      <c r="K10" s="11">
        <f t="shared" si="8"/>
        <v>7.3625293083235643</v>
      </c>
      <c r="L10" s="12">
        <f t="shared" si="8"/>
        <v>7.4615767878077381</v>
      </c>
      <c r="M10" s="12">
        <f t="shared" si="8"/>
        <v>7.5606242672919119</v>
      </c>
      <c r="N10" s="12">
        <f t="shared" si="8"/>
        <v>7.6596717467760858</v>
      </c>
      <c r="O10" s="16">
        <f>O3/J3*J10</f>
        <v>7.7587192262602578</v>
      </c>
      <c r="P10" s="11">
        <f t="shared" si="9"/>
        <v>7.778528722157092</v>
      </c>
      <c r="Q10" s="12">
        <f t="shared" si="9"/>
        <v>7.7983382180539262</v>
      </c>
      <c r="R10" s="12">
        <f t="shared" si="9"/>
        <v>7.8181477139507605</v>
      </c>
      <c r="S10" s="12">
        <f t="shared" si="9"/>
        <v>7.8379572098475947</v>
      </c>
      <c r="T10" s="16">
        <f>T3/O3*O10</f>
        <v>7.8577667057444307</v>
      </c>
      <c r="U10" s="11">
        <f t="shared" si="10"/>
        <v>7.8445603751465409</v>
      </c>
      <c r="V10" s="12">
        <f t="shared" si="10"/>
        <v>7.8313540445486511</v>
      </c>
      <c r="W10" s="12">
        <f t="shared" si="10"/>
        <v>7.8181477139507614</v>
      </c>
      <c r="X10" s="12">
        <f t="shared" si="10"/>
        <v>7.8049413833528716</v>
      </c>
      <c r="Y10" s="16">
        <f>Y3/T3*T10</f>
        <v>7.7917350527549818</v>
      </c>
      <c r="Z10" s="11">
        <f t="shared" si="11"/>
        <v>7.7389097303634227</v>
      </c>
      <c r="AA10" s="12">
        <f t="shared" si="11"/>
        <v>7.6860844079718635</v>
      </c>
      <c r="AB10" s="12">
        <f t="shared" si="11"/>
        <v>7.6332590855803044</v>
      </c>
      <c r="AC10" s="12">
        <f t="shared" si="11"/>
        <v>7.5804337631887453</v>
      </c>
      <c r="AD10" s="16">
        <f>AD3/Y3*Y10</f>
        <v>7.5276084407971853</v>
      </c>
      <c r="AE10" s="11">
        <f t="shared" si="12"/>
        <v>7.4087514654161772</v>
      </c>
      <c r="AF10" s="12">
        <f t="shared" si="12"/>
        <v>7.2898944900351692</v>
      </c>
      <c r="AG10" s="12">
        <f t="shared" si="12"/>
        <v>7.1710375146541612</v>
      </c>
      <c r="AH10" s="12">
        <f t="shared" si="12"/>
        <v>7.0521805392731531</v>
      </c>
      <c r="AI10" s="16">
        <f>AI3/AD3*AD10</f>
        <v>6.9333235638921451</v>
      </c>
      <c r="AJ10" s="11">
        <f t="shared" si="13"/>
        <v>6.7682444314185224</v>
      </c>
      <c r="AK10" s="12">
        <f t="shared" si="13"/>
        <v>6.6031652989448997</v>
      </c>
      <c r="AL10" s="12">
        <f t="shared" si="13"/>
        <v>6.438086166471277</v>
      </c>
      <c r="AM10" s="12">
        <f t="shared" si="13"/>
        <v>6.2730070339976542</v>
      </c>
      <c r="AN10" s="16">
        <f>AN3/AI3*AI10</f>
        <v>6.1079279015240324</v>
      </c>
      <c r="AO10" s="11">
        <f t="shared" si="14"/>
        <v>5.9758645955451346</v>
      </c>
      <c r="AP10" s="12">
        <f t="shared" si="14"/>
        <v>5.8438012895662368</v>
      </c>
      <c r="AQ10" s="12">
        <f t="shared" si="14"/>
        <v>5.711737983587339</v>
      </c>
      <c r="AR10" s="12">
        <f t="shared" si="14"/>
        <v>5.5796746776084412</v>
      </c>
      <c r="AS10" s="16">
        <f>AS3/AN3*AN10</f>
        <v>5.4476113716295416</v>
      </c>
    </row>
    <row r="11" spans="1:45" x14ac:dyDescent="0.2">
      <c r="A11" s="17" t="s">
        <v>27</v>
      </c>
      <c r="B11" s="8" t="s">
        <v>30</v>
      </c>
      <c r="C11" s="9" t="s">
        <v>18</v>
      </c>
      <c r="D11" s="8" t="s">
        <v>31</v>
      </c>
      <c r="E11" s="33">
        <v>47116</v>
      </c>
      <c r="F11" s="11">
        <v>46400</v>
      </c>
      <c r="G11" s="29">
        <v>47300</v>
      </c>
      <c r="H11" s="12">
        <f t="shared" ref="H11:I11" si="21">G11+($J11-$G11)/3</f>
        <v>48880.462900110258</v>
      </c>
      <c r="I11" s="12">
        <f t="shared" si="21"/>
        <v>50460.925800220517</v>
      </c>
      <c r="J11" s="19">
        <f>J18/G18*G11</f>
        <v>52041.388700330768</v>
      </c>
      <c r="K11" s="11">
        <f t="shared" si="8"/>
        <v>52413.112905333131</v>
      </c>
      <c r="L11" s="12">
        <f t="shared" si="8"/>
        <v>52784.837110335495</v>
      </c>
      <c r="M11" s="12">
        <f t="shared" si="8"/>
        <v>53156.561315337858</v>
      </c>
      <c r="N11" s="12">
        <f t="shared" si="8"/>
        <v>53528.285520340221</v>
      </c>
      <c r="O11" s="19">
        <f>O18/J18*J11</f>
        <v>53900.009725342585</v>
      </c>
      <c r="P11" s="11">
        <f t="shared" si="9"/>
        <v>53249.492366588449</v>
      </c>
      <c r="Q11" s="12">
        <f t="shared" si="9"/>
        <v>52598.975007834313</v>
      </c>
      <c r="R11" s="12">
        <f t="shared" si="9"/>
        <v>51948.457649080177</v>
      </c>
      <c r="S11" s="12">
        <f t="shared" si="9"/>
        <v>51297.940290326042</v>
      </c>
      <c r="T11" s="19">
        <f>T18/O18*O11</f>
        <v>50647.422931571913</v>
      </c>
      <c r="U11" s="11">
        <f t="shared" si="10"/>
        <v>49811.043470316596</v>
      </c>
      <c r="V11" s="12">
        <f t="shared" si="10"/>
        <v>48974.664009061278</v>
      </c>
      <c r="W11" s="12">
        <f t="shared" si="10"/>
        <v>48138.284547805961</v>
      </c>
      <c r="X11" s="12">
        <f t="shared" si="10"/>
        <v>47301.905086550643</v>
      </c>
      <c r="Y11" s="19">
        <f>Y18/T18*T11</f>
        <v>46465.525625295333</v>
      </c>
      <c r="Z11" s="11">
        <f t="shared" si="11"/>
        <v>45443.284061538834</v>
      </c>
      <c r="AA11" s="12">
        <f t="shared" si="11"/>
        <v>44421.042497782335</v>
      </c>
      <c r="AB11" s="12">
        <f t="shared" si="11"/>
        <v>43398.800934025836</v>
      </c>
      <c r="AC11" s="12">
        <f t="shared" si="11"/>
        <v>42376.559370269337</v>
      </c>
      <c r="AD11" s="19">
        <f>AD18/Y18*Y11</f>
        <v>41354.317806512845</v>
      </c>
      <c r="AE11" s="11">
        <f t="shared" si="12"/>
        <v>40239.145191505755</v>
      </c>
      <c r="AF11" s="12">
        <f t="shared" si="12"/>
        <v>39123.972576498665</v>
      </c>
      <c r="AG11" s="12">
        <f t="shared" si="12"/>
        <v>38008.799961491575</v>
      </c>
      <c r="AH11" s="12">
        <f t="shared" si="12"/>
        <v>36893.627346484485</v>
      </c>
      <c r="AI11" s="19">
        <f>AI18/AD18*AD11</f>
        <v>35778.454731477403</v>
      </c>
      <c r="AJ11" s="11">
        <f t="shared" si="13"/>
        <v>34756.213167720904</v>
      </c>
      <c r="AK11" s="12">
        <f t="shared" si="13"/>
        <v>33733.971603964404</v>
      </c>
      <c r="AL11" s="12">
        <f t="shared" si="13"/>
        <v>32711.730040207905</v>
      </c>
      <c r="AM11" s="12">
        <f t="shared" si="13"/>
        <v>31689.488476451406</v>
      </c>
      <c r="AN11" s="19">
        <f>AN18/AI18*AI11</f>
        <v>30667.246912694914</v>
      </c>
      <c r="AO11" s="11">
        <f t="shared" si="14"/>
        <v>29736.797530155931</v>
      </c>
      <c r="AP11" s="12">
        <f t="shared" si="14"/>
        <v>28806.348147616947</v>
      </c>
      <c r="AQ11" s="12">
        <f t="shared" si="14"/>
        <v>27875.898765077964</v>
      </c>
      <c r="AR11" s="12">
        <f t="shared" si="14"/>
        <v>26945.44938253898</v>
      </c>
      <c r="AS11" s="19">
        <f>AS18/AN18*AN11</f>
        <v>26015.000000000004</v>
      </c>
    </row>
    <row r="12" spans="1:45" x14ac:dyDescent="0.2">
      <c r="A12" s="17" t="s">
        <v>32</v>
      </c>
      <c r="B12" s="8" t="s">
        <v>33</v>
      </c>
      <c r="C12" s="9" t="s">
        <v>18</v>
      </c>
      <c r="D12" s="8" t="s">
        <v>26</v>
      </c>
      <c r="E12" s="35">
        <v>3673.87</v>
      </c>
      <c r="F12" s="11">
        <v>3891.31</v>
      </c>
      <c r="G12" s="29">
        <v>3463.08</v>
      </c>
      <c r="H12" s="12">
        <f t="shared" ref="H12:I12" si="22">G12+($J12-$G12)/3</f>
        <v>3742.0533333333333</v>
      </c>
      <c r="I12" s="12">
        <f t="shared" si="22"/>
        <v>4021.0266666666666</v>
      </c>
      <c r="J12" s="10">
        <v>4300</v>
      </c>
      <c r="K12" s="11">
        <f t="shared" si="8"/>
        <v>4460</v>
      </c>
      <c r="L12" s="12">
        <f t="shared" si="8"/>
        <v>4620</v>
      </c>
      <c r="M12" s="12">
        <f t="shared" si="8"/>
        <v>4780</v>
      </c>
      <c r="N12" s="12">
        <f t="shared" si="8"/>
        <v>4940</v>
      </c>
      <c r="O12" s="10">
        <v>5100</v>
      </c>
      <c r="P12" s="11">
        <f t="shared" si="9"/>
        <v>5180</v>
      </c>
      <c r="Q12" s="12">
        <f t="shared" si="9"/>
        <v>5260</v>
      </c>
      <c r="R12" s="12">
        <f t="shared" si="9"/>
        <v>5340</v>
      </c>
      <c r="S12" s="12">
        <f t="shared" si="9"/>
        <v>5420</v>
      </c>
      <c r="T12" s="10">
        <v>5500</v>
      </c>
      <c r="U12" s="11">
        <f t="shared" si="10"/>
        <v>5540</v>
      </c>
      <c r="V12" s="12">
        <f t="shared" si="10"/>
        <v>5580</v>
      </c>
      <c r="W12" s="12">
        <f t="shared" si="10"/>
        <v>5620</v>
      </c>
      <c r="X12" s="12">
        <f t="shared" si="10"/>
        <v>5660</v>
      </c>
      <c r="Y12" s="10">
        <v>5700</v>
      </c>
      <c r="Z12" s="11">
        <f t="shared" si="11"/>
        <v>5660</v>
      </c>
      <c r="AA12" s="12">
        <f t="shared" si="11"/>
        <v>5620</v>
      </c>
      <c r="AB12" s="12">
        <f t="shared" si="11"/>
        <v>5580</v>
      </c>
      <c r="AC12" s="12">
        <f t="shared" si="11"/>
        <v>5540</v>
      </c>
      <c r="AD12" s="10">
        <v>5500</v>
      </c>
      <c r="AE12" s="11">
        <f t="shared" si="12"/>
        <v>5430</v>
      </c>
      <c r="AF12" s="12">
        <f t="shared" si="12"/>
        <v>5360</v>
      </c>
      <c r="AG12" s="12">
        <f t="shared" si="12"/>
        <v>5290</v>
      </c>
      <c r="AH12" s="12">
        <f t="shared" si="12"/>
        <v>5220</v>
      </c>
      <c r="AI12" s="10">
        <v>5150</v>
      </c>
      <c r="AJ12" s="11">
        <f t="shared" si="13"/>
        <v>5080</v>
      </c>
      <c r="AK12" s="12">
        <f t="shared" si="13"/>
        <v>5010</v>
      </c>
      <c r="AL12" s="12">
        <f t="shared" si="13"/>
        <v>4940</v>
      </c>
      <c r="AM12" s="12">
        <f t="shared" si="13"/>
        <v>4870</v>
      </c>
      <c r="AN12" s="10">
        <v>4800</v>
      </c>
      <c r="AO12" s="11">
        <f t="shared" si="14"/>
        <v>4740</v>
      </c>
      <c r="AP12" s="12">
        <f t="shared" si="14"/>
        <v>4680</v>
      </c>
      <c r="AQ12" s="12">
        <f t="shared" si="14"/>
        <v>4620</v>
      </c>
      <c r="AR12" s="12">
        <f t="shared" si="14"/>
        <v>4560</v>
      </c>
      <c r="AS12" s="10">
        <v>4500</v>
      </c>
    </row>
    <row r="13" spans="1:45" x14ac:dyDescent="0.2">
      <c r="A13" s="17" t="s">
        <v>32</v>
      </c>
      <c r="B13" s="8" t="s">
        <v>34</v>
      </c>
      <c r="C13" s="9" t="s">
        <v>18</v>
      </c>
      <c r="D13" s="8" t="s">
        <v>26</v>
      </c>
      <c r="E13" s="35">
        <v>2812.37</v>
      </c>
      <c r="F13" s="11">
        <v>2913.25</v>
      </c>
      <c r="G13" s="29">
        <v>2920.2</v>
      </c>
      <c r="H13" s="12">
        <f t="shared" ref="H13:I13" si="23">G13+($J13-$G13)/3</f>
        <v>3096.7999999999997</v>
      </c>
      <c r="I13" s="12">
        <f t="shared" si="23"/>
        <v>3273.3999999999996</v>
      </c>
      <c r="J13" s="10">
        <v>3450</v>
      </c>
      <c r="K13" s="11">
        <f t="shared" si="8"/>
        <v>3538</v>
      </c>
      <c r="L13" s="12">
        <f t="shared" si="8"/>
        <v>3626</v>
      </c>
      <c r="M13" s="12">
        <f t="shared" si="8"/>
        <v>3714</v>
      </c>
      <c r="N13" s="12">
        <f t="shared" si="8"/>
        <v>3802</v>
      </c>
      <c r="O13" s="10">
        <v>3890</v>
      </c>
      <c r="P13" s="11">
        <f t="shared" si="9"/>
        <v>3928</v>
      </c>
      <c r="Q13" s="12">
        <f t="shared" si="9"/>
        <v>3966</v>
      </c>
      <c r="R13" s="12">
        <f t="shared" si="9"/>
        <v>4004</v>
      </c>
      <c r="S13" s="12">
        <f t="shared" si="9"/>
        <v>4042</v>
      </c>
      <c r="T13" s="10">
        <v>4080</v>
      </c>
      <c r="U13" s="11">
        <f t="shared" si="10"/>
        <v>4090</v>
      </c>
      <c r="V13" s="12">
        <f t="shared" si="10"/>
        <v>4100</v>
      </c>
      <c r="W13" s="12">
        <f t="shared" si="10"/>
        <v>4110</v>
      </c>
      <c r="X13" s="12">
        <f t="shared" si="10"/>
        <v>4120</v>
      </c>
      <c r="Y13" s="10">
        <v>4130</v>
      </c>
      <c r="Z13" s="11">
        <f t="shared" si="11"/>
        <v>4104</v>
      </c>
      <c r="AA13" s="12">
        <f t="shared" si="11"/>
        <v>4078</v>
      </c>
      <c r="AB13" s="12">
        <f t="shared" si="11"/>
        <v>4052</v>
      </c>
      <c r="AC13" s="12">
        <f t="shared" si="11"/>
        <v>4026</v>
      </c>
      <c r="AD13" s="10">
        <v>4000</v>
      </c>
      <c r="AE13" s="11">
        <f t="shared" si="12"/>
        <v>3960</v>
      </c>
      <c r="AF13" s="12">
        <f t="shared" si="12"/>
        <v>3920</v>
      </c>
      <c r="AG13" s="12">
        <f t="shared" si="12"/>
        <v>3880</v>
      </c>
      <c r="AH13" s="12">
        <f t="shared" si="12"/>
        <v>3840</v>
      </c>
      <c r="AI13" s="10">
        <v>3800</v>
      </c>
      <c r="AJ13" s="11">
        <f t="shared" si="13"/>
        <v>3760</v>
      </c>
      <c r="AK13" s="12">
        <f t="shared" si="13"/>
        <v>3720</v>
      </c>
      <c r="AL13" s="12">
        <f t="shared" si="13"/>
        <v>3680</v>
      </c>
      <c r="AM13" s="12">
        <f t="shared" si="13"/>
        <v>3640</v>
      </c>
      <c r="AN13" s="10">
        <v>3600</v>
      </c>
      <c r="AO13" s="11">
        <f t="shared" si="14"/>
        <v>3560</v>
      </c>
      <c r="AP13" s="12">
        <f t="shared" si="14"/>
        <v>3520</v>
      </c>
      <c r="AQ13" s="12">
        <f t="shared" si="14"/>
        <v>3480</v>
      </c>
      <c r="AR13" s="12">
        <f t="shared" si="14"/>
        <v>3440</v>
      </c>
      <c r="AS13" s="10">
        <v>3400</v>
      </c>
    </row>
    <row r="14" spans="1:45" x14ac:dyDescent="0.2">
      <c r="A14" s="17" t="s">
        <v>32</v>
      </c>
      <c r="B14" s="8" t="s">
        <v>35</v>
      </c>
      <c r="C14" s="9" t="s">
        <v>18</v>
      </c>
      <c r="D14" s="8" t="s">
        <v>26</v>
      </c>
      <c r="E14" s="35">
        <v>2159.96</v>
      </c>
      <c r="F14" s="11">
        <v>2825.67</v>
      </c>
      <c r="G14" s="29">
        <v>2897.51</v>
      </c>
      <c r="H14" s="12">
        <f t="shared" ref="H14:I14" si="24">G14+($J14-$G14)/3</f>
        <v>3198.34</v>
      </c>
      <c r="I14" s="12">
        <f t="shared" si="24"/>
        <v>3499.17</v>
      </c>
      <c r="J14" s="10">
        <v>3800</v>
      </c>
      <c r="K14" s="11">
        <f t="shared" si="8"/>
        <v>4000</v>
      </c>
      <c r="L14" s="12">
        <f t="shared" si="8"/>
        <v>4200</v>
      </c>
      <c r="M14" s="12">
        <f t="shared" si="8"/>
        <v>4400</v>
      </c>
      <c r="N14" s="12">
        <f t="shared" si="8"/>
        <v>4600</v>
      </c>
      <c r="O14" s="10">
        <v>4800</v>
      </c>
      <c r="P14" s="11">
        <f t="shared" si="9"/>
        <v>4920</v>
      </c>
      <c r="Q14" s="12">
        <f t="shared" si="9"/>
        <v>5040</v>
      </c>
      <c r="R14" s="12">
        <f t="shared" si="9"/>
        <v>5160</v>
      </c>
      <c r="S14" s="12">
        <f t="shared" si="9"/>
        <v>5280</v>
      </c>
      <c r="T14" s="10">
        <v>5400</v>
      </c>
      <c r="U14" s="11">
        <f t="shared" si="10"/>
        <v>5440</v>
      </c>
      <c r="V14" s="12">
        <f t="shared" si="10"/>
        <v>5480</v>
      </c>
      <c r="W14" s="12">
        <f t="shared" si="10"/>
        <v>5520</v>
      </c>
      <c r="X14" s="12">
        <f t="shared" si="10"/>
        <v>5560</v>
      </c>
      <c r="Y14" s="10">
        <v>5600</v>
      </c>
      <c r="Z14" s="11">
        <f t="shared" si="11"/>
        <v>5580</v>
      </c>
      <c r="AA14" s="12">
        <f t="shared" si="11"/>
        <v>5560</v>
      </c>
      <c r="AB14" s="12">
        <f t="shared" si="11"/>
        <v>5540</v>
      </c>
      <c r="AC14" s="12">
        <f t="shared" si="11"/>
        <v>5520</v>
      </c>
      <c r="AD14" s="10">
        <v>5500</v>
      </c>
      <c r="AE14" s="11">
        <f t="shared" si="12"/>
        <v>5450</v>
      </c>
      <c r="AF14" s="12">
        <f t="shared" si="12"/>
        <v>5400</v>
      </c>
      <c r="AG14" s="12">
        <f t="shared" si="12"/>
        <v>5350</v>
      </c>
      <c r="AH14" s="12">
        <f t="shared" si="12"/>
        <v>5300</v>
      </c>
      <c r="AI14" s="10">
        <v>5250</v>
      </c>
      <c r="AJ14" s="11">
        <f t="shared" si="13"/>
        <v>5190</v>
      </c>
      <c r="AK14" s="12">
        <f t="shared" si="13"/>
        <v>5130</v>
      </c>
      <c r="AL14" s="12">
        <f t="shared" si="13"/>
        <v>5070</v>
      </c>
      <c r="AM14" s="12">
        <f t="shared" si="13"/>
        <v>5010</v>
      </c>
      <c r="AN14" s="10">
        <v>4950</v>
      </c>
      <c r="AO14" s="11">
        <f t="shared" si="14"/>
        <v>4900</v>
      </c>
      <c r="AP14" s="12">
        <f t="shared" si="14"/>
        <v>4850</v>
      </c>
      <c r="AQ14" s="12">
        <f t="shared" si="14"/>
        <v>4800</v>
      </c>
      <c r="AR14" s="12">
        <f t="shared" si="14"/>
        <v>4750</v>
      </c>
      <c r="AS14" s="10">
        <v>4700</v>
      </c>
    </row>
    <row r="15" spans="1:45" x14ac:dyDescent="0.2">
      <c r="A15" s="17" t="s">
        <v>32</v>
      </c>
      <c r="B15" s="8" t="s">
        <v>36</v>
      </c>
      <c r="C15" s="9" t="s">
        <v>18</v>
      </c>
      <c r="D15" s="8" t="s">
        <v>26</v>
      </c>
      <c r="E15" s="35">
        <v>5117.13</v>
      </c>
      <c r="F15" s="11">
        <v>5189.38</v>
      </c>
      <c r="G15" s="29">
        <v>5321.01</v>
      </c>
      <c r="H15" s="12">
        <f t="shared" ref="H15:I16" si="25">G15+($J15-$G15)/3</f>
        <v>5514.0066666666671</v>
      </c>
      <c r="I15" s="12">
        <f t="shared" si="25"/>
        <v>5707.003333333334</v>
      </c>
      <c r="J15" s="10">
        <v>5900</v>
      </c>
      <c r="K15" s="11">
        <f t="shared" si="8"/>
        <v>6080</v>
      </c>
      <c r="L15" s="12">
        <f t="shared" si="8"/>
        <v>6260</v>
      </c>
      <c r="M15" s="12">
        <f t="shared" si="8"/>
        <v>6440</v>
      </c>
      <c r="N15" s="12">
        <f t="shared" si="8"/>
        <v>6620</v>
      </c>
      <c r="O15" s="10">
        <v>6800</v>
      </c>
      <c r="P15" s="11">
        <f t="shared" si="9"/>
        <v>6920</v>
      </c>
      <c r="Q15" s="12">
        <f t="shared" si="9"/>
        <v>7040</v>
      </c>
      <c r="R15" s="12">
        <f t="shared" si="9"/>
        <v>7160</v>
      </c>
      <c r="S15" s="12">
        <f t="shared" si="9"/>
        <v>7280</v>
      </c>
      <c r="T15" s="10">
        <v>7400</v>
      </c>
      <c r="U15" s="11">
        <f t="shared" si="10"/>
        <v>7440</v>
      </c>
      <c r="V15" s="12">
        <f t="shared" si="10"/>
        <v>7480</v>
      </c>
      <c r="W15" s="12">
        <f t="shared" si="10"/>
        <v>7520</v>
      </c>
      <c r="X15" s="12">
        <f t="shared" si="10"/>
        <v>7560</v>
      </c>
      <c r="Y15" s="10">
        <v>7600</v>
      </c>
      <c r="Z15" s="11">
        <f t="shared" si="11"/>
        <v>7580</v>
      </c>
      <c r="AA15" s="12">
        <f t="shared" si="11"/>
        <v>7560</v>
      </c>
      <c r="AB15" s="12">
        <f t="shared" si="11"/>
        <v>7540</v>
      </c>
      <c r="AC15" s="12">
        <f t="shared" si="11"/>
        <v>7520</v>
      </c>
      <c r="AD15" s="10">
        <v>7500</v>
      </c>
      <c r="AE15" s="11">
        <f t="shared" si="12"/>
        <v>7460</v>
      </c>
      <c r="AF15" s="12">
        <f t="shared" si="12"/>
        <v>7420</v>
      </c>
      <c r="AG15" s="12">
        <f t="shared" si="12"/>
        <v>7380</v>
      </c>
      <c r="AH15" s="12">
        <f t="shared" si="12"/>
        <v>7340</v>
      </c>
      <c r="AI15" s="10">
        <v>7300</v>
      </c>
      <c r="AJ15" s="11">
        <f t="shared" si="13"/>
        <v>7240</v>
      </c>
      <c r="AK15" s="12">
        <f t="shared" si="13"/>
        <v>7180</v>
      </c>
      <c r="AL15" s="12">
        <f t="shared" si="13"/>
        <v>7120</v>
      </c>
      <c r="AM15" s="12">
        <f t="shared" si="13"/>
        <v>7060</v>
      </c>
      <c r="AN15" s="10">
        <v>7000</v>
      </c>
      <c r="AO15" s="11">
        <f t="shared" si="14"/>
        <v>6940</v>
      </c>
      <c r="AP15" s="12">
        <f t="shared" si="14"/>
        <v>6880</v>
      </c>
      <c r="AQ15" s="12">
        <f t="shared" si="14"/>
        <v>6820</v>
      </c>
      <c r="AR15" s="12">
        <f t="shared" si="14"/>
        <v>6760</v>
      </c>
      <c r="AS15" s="10">
        <v>6700</v>
      </c>
    </row>
    <row r="16" spans="1:45" x14ac:dyDescent="0.2">
      <c r="A16" s="17" t="s">
        <v>37</v>
      </c>
      <c r="B16" s="8" t="s">
        <v>38</v>
      </c>
      <c r="C16" s="9" t="s">
        <v>18</v>
      </c>
      <c r="D16" s="8" t="s">
        <v>26</v>
      </c>
      <c r="E16" s="35">
        <v>239470.83</v>
      </c>
      <c r="F16" s="11">
        <v>237724.49</v>
      </c>
      <c r="G16" s="29">
        <v>212927.18</v>
      </c>
      <c r="H16" s="12">
        <f t="shared" si="25"/>
        <v>215284.78666666665</v>
      </c>
      <c r="I16" s="12">
        <f t="shared" si="25"/>
        <v>217642.39333333331</v>
      </c>
      <c r="J16" s="10">
        <v>220000</v>
      </c>
      <c r="K16" s="11">
        <f t="shared" si="8"/>
        <v>219400</v>
      </c>
      <c r="L16" s="12">
        <f t="shared" si="8"/>
        <v>218800</v>
      </c>
      <c r="M16" s="12">
        <f t="shared" si="8"/>
        <v>218200</v>
      </c>
      <c r="N16" s="12">
        <f t="shared" si="8"/>
        <v>217600</v>
      </c>
      <c r="O16" s="10">
        <v>217000</v>
      </c>
      <c r="P16" s="11">
        <f t="shared" si="9"/>
        <v>214000</v>
      </c>
      <c r="Q16" s="12">
        <f t="shared" si="9"/>
        <v>211000</v>
      </c>
      <c r="R16" s="12">
        <f t="shared" si="9"/>
        <v>208000</v>
      </c>
      <c r="S16" s="12">
        <f t="shared" si="9"/>
        <v>205000</v>
      </c>
      <c r="T16" s="10">
        <v>202000</v>
      </c>
      <c r="U16" s="11">
        <f t="shared" si="10"/>
        <v>197600</v>
      </c>
      <c r="V16" s="12">
        <f t="shared" si="10"/>
        <v>193200</v>
      </c>
      <c r="W16" s="12">
        <f t="shared" si="10"/>
        <v>188800</v>
      </c>
      <c r="X16" s="12">
        <f t="shared" si="10"/>
        <v>184400</v>
      </c>
      <c r="Y16" s="10">
        <v>180000</v>
      </c>
      <c r="Z16" s="11">
        <f t="shared" si="11"/>
        <v>174000</v>
      </c>
      <c r="AA16" s="12">
        <f t="shared" si="11"/>
        <v>168000</v>
      </c>
      <c r="AB16" s="12">
        <f t="shared" si="11"/>
        <v>162000</v>
      </c>
      <c r="AC16" s="12">
        <f t="shared" si="11"/>
        <v>156000</v>
      </c>
      <c r="AD16" s="10">
        <v>150000</v>
      </c>
      <c r="AE16" s="11">
        <f t="shared" si="12"/>
        <v>146000</v>
      </c>
      <c r="AF16" s="12">
        <f t="shared" si="12"/>
        <v>142000</v>
      </c>
      <c r="AG16" s="12">
        <f t="shared" si="12"/>
        <v>138000</v>
      </c>
      <c r="AH16" s="12">
        <f t="shared" si="12"/>
        <v>134000</v>
      </c>
      <c r="AI16" s="10">
        <v>130000</v>
      </c>
      <c r="AJ16" s="11">
        <f t="shared" si="13"/>
        <v>127000</v>
      </c>
      <c r="AK16" s="12">
        <f t="shared" si="13"/>
        <v>124000</v>
      </c>
      <c r="AL16" s="12">
        <f t="shared" si="13"/>
        <v>121000</v>
      </c>
      <c r="AM16" s="12">
        <f t="shared" si="13"/>
        <v>118000</v>
      </c>
      <c r="AN16" s="10">
        <v>115000</v>
      </c>
      <c r="AO16" s="11">
        <f t="shared" si="14"/>
        <v>113292.71799999999</v>
      </c>
      <c r="AP16" s="12">
        <f t="shared" si="14"/>
        <v>111585.43599999999</v>
      </c>
      <c r="AQ16" s="12">
        <f t="shared" si="14"/>
        <v>109878.15399999998</v>
      </c>
      <c r="AR16" s="12">
        <f t="shared" si="14"/>
        <v>108170.87199999997</v>
      </c>
      <c r="AS16" s="19">
        <f>G16*0.5</f>
        <v>106463.59</v>
      </c>
    </row>
    <row r="17" spans="1:48" x14ac:dyDescent="0.2">
      <c r="A17" s="17" t="s">
        <v>37</v>
      </c>
      <c r="B17" s="8" t="s">
        <v>39</v>
      </c>
      <c r="C17" s="9" t="s">
        <v>40</v>
      </c>
      <c r="D17" s="8" t="s">
        <v>26</v>
      </c>
      <c r="E17" s="35">
        <v>95227.79</v>
      </c>
      <c r="F17" s="11">
        <v>101727.37</v>
      </c>
      <c r="G17" s="29">
        <v>101668.65</v>
      </c>
      <c r="H17" s="12">
        <f t="shared" ref="H17:I18" si="26">G17+($J17-$G17)/3</f>
        <v>106112.43333333333</v>
      </c>
      <c r="I17" s="12">
        <f t="shared" si="26"/>
        <v>110556.21666666667</v>
      </c>
      <c r="J17" s="10">
        <v>115000</v>
      </c>
      <c r="K17" s="11">
        <f t="shared" si="8"/>
        <v>116200</v>
      </c>
      <c r="L17" s="12">
        <f t="shared" ref="L17:L18" si="27">K17+($O17-$J17)/5</f>
        <v>117400</v>
      </c>
      <c r="M17" s="12">
        <f t="shared" ref="M17:M18" si="28">L17+($O17-$J17)/5</f>
        <v>118600</v>
      </c>
      <c r="N17" s="12">
        <f t="shared" ref="N17:N18" si="29">M17+($O17-$J17)/5</f>
        <v>119800</v>
      </c>
      <c r="O17" s="10">
        <v>121000</v>
      </c>
      <c r="P17" s="11">
        <f t="shared" si="9"/>
        <v>120400</v>
      </c>
      <c r="Q17" s="12">
        <f t="shared" si="9"/>
        <v>119800</v>
      </c>
      <c r="R17" s="12">
        <f t="shared" si="9"/>
        <v>119200</v>
      </c>
      <c r="S17" s="12">
        <f t="shared" si="9"/>
        <v>118600</v>
      </c>
      <c r="T17" s="10">
        <v>118000</v>
      </c>
      <c r="U17" s="11">
        <f t="shared" si="10"/>
        <v>116000</v>
      </c>
      <c r="V17" s="12">
        <f t="shared" si="10"/>
        <v>114000</v>
      </c>
      <c r="W17" s="12">
        <f t="shared" si="10"/>
        <v>112000</v>
      </c>
      <c r="X17" s="12">
        <f t="shared" si="10"/>
        <v>110000</v>
      </c>
      <c r="Y17" s="10">
        <v>108000</v>
      </c>
      <c r="Z17" s="11">
        <f t="shared" si="11"/>
        <v>105600</v>
      </c>
      <c r="AA17" s="12">
        <f t="shared" si="11"/>
        <v>103200</v>
      </c>
      <c r="AB17" s="12">
        <f t="shared" si="11"/>
        <v>100800</v>
      </c>
      <c r="AC17" s="12">
        <f t="shared" si="11"/>
        <v>98400</v>
      </c>
      <c r="AD17" s="10">
        <v>96000</v>
      </c>
      <c r="AE17" s="11">
        <f t="shared" si="12"/>
        <v>93400</v>
      </c>
      <c r="AF17" s="12">
        <f t="shared" si="12"/>
        <v>90800</v>
      </c>
      <c r="AG17" s="12">
        <f t="shared" si="12"/>
        <v>88200</v>
      </c>
      <c r="AH17" s="12">
        <f t="shared" si="12"/>
        <v>85600</v>
      </c>
      <c r="AI17" s="10">
        <v>83000</v>
      </c>
      <c r="AJ17" s="11">
        <f t="shared" si="13"/>
        <v>82000</v>
      </c>
      <c r="AK17" s="12">
        <f t="shared" si="13"/>
        <v>81000</v>
      </c>
      <c r="AL17" s="12">
        <f t="shared" si="13"/>
        <v>80000</v>
      </c>
      <c r="AM17" s="12">
        <f t="shared" si="13"/>
        <v>79000</v>
      </c>
      <c r="AN17" s="10">
        <v>78000</v>
      </c>
      <c r="AO17" s="11">
        <f t="shared" si="14"/>
        <v>77000</v>
      </c>
      <c r="AP17" s="12">
        <f t="shared" si="14"/>
        <v>76000</v>
      </c>
      <c r="AQ17" s="12">
        <f t="shared" si="14"/>
        <v>75000</v>
      </c>
      <c r="AR17" s="12">
        <f t="shared" si="14"/>
        <v>74000</v>
      </c>
      <c r="AS17" s="10">
        <v>73000</v>
      </c>
    </row>
    <row r="18" spans="1:48" x14ac:dyDescent="0.2">
      <c r="A18" s="18" t="s">
        <v>41</v>
      </c>
      <c r="B18" s="8" t="s">
        <v>42</v>
      </c>
      <c r="C18" s="9" t="s">
        <v>18</v>
      </c>
      <c r="D18" s="8" t="s">
        <v>26</v>
      </c>
      <c r="E18" s="35">
        <v>106476.68</v>
      </c>
      <c r="F18" s="11">
        <v>103524.26</v>
      </c>
      <c r="G18" s="29">
        <v>101795.9</v>
      </c>
      <c r="H18" s="12">
        <f t="shared" si="26"/>
        <v>105197.26666666666</v>
      </c>
      <c r="I18" s="12">
        <f t="shared" si="26"/>
        <v>108598.63333333333</v>
      </c>
      <c r="J18" s="10">
        <v>112000</v>
      </c>
      <c r="K18" s="11">
        <f t="shared" si="8"/>
        <v>112800</v>
      </c>
      <c r="L18" s="12">
        <f t="shared" si="27"/>
        <v>113600</v>
      </c>
      <c r="M18" s="12">
        <f t="shared" si="28"/>
        <v>114400</v>
      </c>
      <c r="N18" s="12">
        <f t="shared" si="29"/>
        <v>115200</v>
      </c>
      <c r="O18" s="10">
        <v>116000</v>
      </c>
      <c r="P18" s="11">
        <f t="shared" si="9"/>
        <v>114600</v>
      </c>
      <c r="Q18" s="12">
        <f t="shared" si="9"/>
        <v>113200</v>
      </c>
      <c r="R18" s="12">
        <f t="shared" si="9"/>
        <v>111800</v>
      </c>
      <c r="S18" s="12">
        <f t="shared" si="9"/>
        <v>110400</v>
      </c>
      <c r="T18" s="10">
        <v>109000</v>
      </c>
      <c r="U18" s="11">
        <f t="shared" si="10"/>
        <v>107200</v>
      </c>
      <c r="V18" s="12">
        <f t="shared" si="10"/>
        <v>105400</v>
      </c>
      <c r="W18" s="12">
        <f t="shared" si="10"/>
        <v>103600</v>
      </c>
      <c r="X18" s="12">
        <f t="shared" si="10"/>
        <v>101800</v>
      </c>
      <c r="Y18" s="10">
        <v>100000</v>
      </c>
      <c r="Z18" s="11">
        <f t="shared" si="11"/>
        <v>97800</v>
      </c>
      <c r="AA18" s="12">
        <f t="shared" si="11"/>
        <v>95600</v>
      </c>
      <c r="AB18" s="12">
        <f t="shared" si="11"/>
        <v>93400</v>
      </c>
      <c r="AC18" s="12">
        <f t="shared" si="11"/>
        <v>91200</v>
      </c>
      <c r="AD18" s="10">
        <v>89000</v>
      </c>
      <c r="AE18" s="11">
        <f t="shared" si="12"/>
        <v>86600</v>
      </c>
      <c r="AF18" s="12">
        <f t="shared" si="12"/>
        <v>84200</v>
      </c>
      <c r="AG18" s="12">
        <f t="shared" si="12"/>
        <v>81800</v>
      </c>
      <c r="AH18" s="12">
        <f t="shared" si="12"/>
        <v>79400</v>
      </c>
      <c r="AI18" s="10">
        <v>77000</v>
      </c>
      <c r="AJ18" s="11">
        <f t="shared" si="13"/>
        <v>74800</v>
      </c>
      <c r="AK18" s="12">
        <f t="shared" si="13"/>
        <v>72600</v>
      </c>
      <c r="AL18" s="12">
        <f t="shared" si="13"/>
        <v>70400</v>
      </c>
      <c r="AM18" s="12">
        <f t="shared" si="13"/>
        <v>68200</v>
      </c>
      <c r="AN18" s="10">
        <v>66000</v>
      </c>
      <c r="AO18" s="11">
        <f t="shared" si="14"/>
        <v>63997.548999999999</v>
      </c>
      <c r="AP18" s="12">
        <f t="shared" si="14"/>
        <v>61995.097999999998</v>
      </c>
      <c r="AQ18" s="12">
        <f t="shared" si="14"/>
        <v>59992.646999999997</v>
      </c>
      <c r="AR18" s="12">
        <f t="shared" si="14"/>
        <v>57990.195999999996</v>
      </c>
      <c r="AS18" s="19">
        <f>G18*0.55</f>
        <v>55987.745000000003</v>
      </c>
    </row>
    <row r="19" spans="1:48" x14ac:dyDescent="0.2">
      <c r="A19" s="17" t="s">
        <v>43</v>
      </c>
      <c r="B19" s="8" t="s">
        <v>44</v>
      </c>
      <c r="C19" s="9" t="s">
        <v>18</v>
      </c>
      <c r="D19" s="8" t="s">
        <v>26</v>
      </c>
      <c r="E19" s="33">
        <v>3708.04</v>
      </c>
      <c r="F19" s="11">
        <v>3850.32</v>
      </c>
      <c r="G19" s="29">
        <v>4014.43</v>
      </c>
      <c r="H19" s="12">
        <f t="shared" ref="H19:I19" si="30">G19+($J19-$G19)/3</f>
        <v>4259.62</v>
      </c>
      <c r="I19" s="12">
        <f t="shared" si="30"/>
        <v>4504.8099999999995</v>
      </c>
      <c r="J19" s="10">
        <v>4750</v>
      </c>
      <c r="K19" s="11">
        <f t="shared" ref="K19:N21" si="31">J19+($O19-$J19)/5</f>
        <v>4890</v>
      </c>
      <c r="L19" s="12">
        <f t="shared" si="31"/>
        <v>5030</v>
      </c>
      <c r="M19" s="12">
        <f t="shared" si="31"/>
        <v>5170</v>
      </c>
      <c r="N19" s="12">
        <f t="shared" si="31"/>
        <v>5310</v>
      </c>
      <c r="O19" s="10">
        <v>5450</v>
      </c>
      <c r="P19" s="11">
        <f t="shared" ref="P19:S21" si="32">O19+($T19-$O19)/5</f>
        <v>5530</v>
      </c>
      <c r="Q19" s="12">
        <f t="shared" si="32"/>
        <v>5610</v>
      </c>
      <c r="R19" s="12">
        <f t="shared" si="32"/>
        <v>5690</v>
      </c>
      <c r="S19" s="12">
        <f t="shared" si="32"/>
        <v>5770</v>
      </c>
      <c r="T19" s="10">
        <v>5850</v>
      </c>
      <c r="U19" s="11">
        <f t="shared" ref="U19:X21" si="33">T19+($Y19-$T19)/5</f>
        <v>5810</v>
      </c>
      <c r="V19" s="12">
        <f t="shared" si="33"/>
        <v>5770</v>
      </c>
      <c r="W19" s="12">
        <f t="shared" si="33"/>
        <v>5730</v>
      </c>
      <c r="X19" s="12">
        <f t="shared" si="33"/>
        <v>5690</v>
      </c>
      <c r="Y19" s="10">
        <v>5650</v>
      </c>
      <c r="Z19" s="11">
        <f t="shared" ref="Z19:AC21" si="34">Y19+($AD19-$Y19)/5</f>
        <v>5560</v>
      </c>
      <c r="AA19" s="12">
        <f t="shared" si="34"/>
        <v>5470</v>
      </c>
      <c r="AB19" s="12">
        <f t="shared" si="34"/>
        <v>5380</v>
      </c>
      <c r="AC19" s="12">
        <f t="shared" si="34"/>
        <v>5290</v>
      </c>
      <c r="AD19" s="10">
        <v>5200</v>
      </c>
      <c r="AE19" s="11">
        <f t="shared" ref="AE19:AH21" si="35">AD19+($AI19-$AD19)/5</f>
        <v>5100</v>
      </c>
      <c r="AF19" s="12">
        <f t="shared" si="35"/>
        <v>5000</v>
      </c>
      <c r="AG19" s="12">
        <f t="shared" si="35"/>
        <v>4900</v>
      </c>
      <c r="AH19" s="12">
        <f t="shared" si="35"/>
        <v>4800</v>
      </c>
      <c r="AI19" s="10">
        <v>4700</v>
      </c>
      <c r="AJ19" s="11">
        <f t="shared" ref="AJ19:AM21" si="36">AI19+($AN19-$AI19)/5</f>
        <v>4620</v>
      </c>
      <c r="AK19" s="12">
        <f t="shared" si="36"/>
        <v>4540</v>
      </c>
      <c r="AL19" s="12">
        <f t="shared" si="36"/>
        <v>4460</v>
      </c>
      <c r="AM19" s="12">
        <f t="shared" si="36"/>
        <v>4380</v>
      </c>
      <c r="AN19" s="10">
        <v>4300</v>
      </c>
      <c r="AO19" s="11">
        <f t="shared" ref="AO19:AR21" si="37">AN19+($AS19-$AN19)/5</f>
        <v>4200</v>
      </c>
      <c r="AP19" s="12">
        <f t="shared" si="37"/>
        <v>4100</v>
      </c>
      <c r="AQ19" s="12">
        <f t="shared" si="37"/>
        <v>4000</v>
      </c>
      <c r="AR19" s="12">
        <f t="shared" si="37"/>
        <v>3900</v>
      </c>
      <c r="AS19" s="10">
        <v>3800</v>
      </c>
    </row>
    <row r="20" spans="1:48" x14ac:dyDescent="0.2">
      <c r="A20" s="17" t="s">
        <v>43</v>
      </c>
      <c r="B20" s="8" t="s">
        <v>45</v>
      </c>
      <c r="C20" s="9" t="s">
        <v>18</v>
      </c>
      <c r="D20" s="8" t="s">
        <v>46</v>
      </c>
      <c r="E20" s="33">
        <v>1002.51</v>
      </c>
      <c r="F20" s="11">
        <v>1048.67</v>
      </c>
      <c r="G20" s="29">
        <v>1111.53</v>
      </c>
      <c r="H20" s="12">
        <f t="shared" ref="H20:I20" si="38">G20+($J20-$G20)/3</f>
        <v>1257.6866666666667</v>
      </c>
      <c r="I20" s="12">
        <f t="shared" si="38"/>
        <v>1403.8433333333335</v>
      </c>
      <c r="J20" s="10">
        <v>1550</v>
      </c>
      <c r="K20" s="11">
        <f t="shared" si="31"/>
        <v>1640</v>
      </c>
      <c r="L20" s="12">
        <f t="shared" si="31"/>
        <v>1730</v>
      </c>
      <c r="M20" s="12">
        <f t="shared" si="31"/>
        <v>1820</v>
      </c>
      <c r="N20" s="12">
        <f t="shared" si="31"/>
        <v>1910</v>
      </c>
      <c r="O20" s="10">
        <v>2000</v>
      </c>
      <c r="P20" s="11">
        <f t="shared" si="32"/>
        <v>2060</v>
      </c>
      <c r="Q20" s="12">
        <f t="shared" si="32"/>
        <v>2120</v>
      </c>
      <c r="R20" s="12">
        <f t="shared" si="32"/>
        <v>2180</v>
      </c>
      <c r="S20" s="12">
        <f t="shared" si="32"/>
        <v>2240</v>
      </c>
      <c r="T20" s="10">
        <v>2300</v>
      </c>
      <c r="U20" s="11">
        <f t="shared" si="33"/>
        <v>2340</v>
      </c>
      <c r="V20" s="12">
        <f t="shared" si="33"/>
        <v>2380</v>
      </c>
      <c r="W20" s="12">
        <f t="shared" si="33"/>
        <v>2420</v>
      </c>
      <c r="X20" s="12">
        <f t="shared" si="33"/>
        <v>2460</v>
      </c>
      <c r="Y20" s="10">
        <v>2500</v>
      </c>
      <c r="Z20" s="11">
        <f t="shared" si="34"/>
        <v>2540</v>
      </c>
      <c r="AA20" s="12">
        <f t="shared" si="34"/>
        <v>2580</v>
      </c>
      <c r="AB20" s="12">
        <f t="shared" si="34"/>
        <v>2620</v>
      </c>
      <c r="AC20" s="12">
        <f t="shared" si="34"/>
        <v>2660</v>
      </c>
      <c r="AD20" s="10">
        <v>2700</v>
      </c>
      <c r="AE20" s="11">
        <f t="shared" si="35"/>
        <v>2730</v>
      </c>
      <c r="AF20" s="12">
        <f t="shared" si="35"/>
        <v>2760</v>
      </c>
      <c r="AG20" s="12">
        <f t="shared" si="35"/>
        <v>2790</v>
      </c>
      <c r="AH20" s="12">
        <f t="shared" si="35"/>
        <v>2820</v>
      </c>
      <c r="AI20" s="10">
        <v>2850</v>
      </c>
      <c r="AJ20" s="11">
        <f t="shared" si="36"/>
        <v>2876</v>
      </c>
      <c r="AK20" s="12">
        <f t="shared" si="36"/>
        <v>2902</v>
      </c>
      <c r="AL20" s="12">
        <f t="shared" si="36"/>
        <v>2928</v>
      </c>
      <c r="AM20" s="12">
        <f t="shared" si="36"/>
        <v>2954</v>
      </c>
      <c r="AN20" s="10">
        <v>2980</v>
      </c>
      <c r="AO20" s="11">
        <f t="shared" si="37"/>
        <v>3004</v>
      </c>
      <c r="AP20" s="12">
        <f t="shared" si="37"/>
        <v>3028</v>
      </c>
      <c r="AQ20" s="12">
        <f t="shared" si="37"/>
        <v>3052</v>
      </c>
      <c r="AR20" s="12">
        <f t="shared" si="37"/>
        <v>3076</v>
      </c>
      <c r="AS20" s="10">
        <v>3100</v>
      </c>
    </row>
    <row r="21" spans="1:48" x14ac:dyDescent="0.2">
      <c r="A21" s="20" t="s">
        <v>47</v>
      </c>
      <c r="B21" s="21" t="s">
        <v>48</v>
      </c>
      <c r="C21" s="22" t="s">
        <v>49</v>
      </c>
      <c r="D21" s="21" t="s">
        <v>50</v>
      </c>
      <c r="E21" s="36">
        <v>2532.4899999999998</v>
      </c>
      <c r="F21" s="24">
        <v>2625.7</v>
      </c>
      <c r="G21" s="30">
        <v>2713.63</v>
      </c>
      <c r="H21" s="25">
        <f t="shared" ref="H21:I21" si="39">G21+($J21-$G21)/3</f>
        <v>2990.9153333333334</v>
      </c>
      <c r="I21" s="25">
        <f t="shared" si="39"/>
        <v>3268.2006666666666</v>
      </c>
      <c r="J21" s="23">
        <f>E21*(2800/2000)</f>
        <v>3545.4859999999994</v>
      </c>
      <c r="K21" s="24">
        <f t="shared" si="31"/>
        <v>3650.5374370370364</v>
      </c>
      <c r="L21" s="25">
        <f t="shared" si="31"/>
        <v>3755.5888740740734</v>
      </c>
      <c r="M21" s="25">
        <f t="shared" si="31"/>
        <v>3860.6403111111103</v>
      </c>
      <c r="N21" s="25">
        <f t="shared" si="31"/>
        <v>3965.6917481481473</v>
      </c>
      <c r="O21" s="23">
        <f>J21*(3100/2700)</f>
        <v>4070.7431851851843</v>
      </c>
      <c r="P21" s="24">
        <f t="shared" si="32"/>
        <v>4123.2689037037026</v>
      </c>
      <c r="Q21" s="25">
        <f t="shared" si="32"/>
        <v>4175.7946222222208</v>
      </c>
      <c r="R21" s="25">
        <f t="shared" si="32"/>
        <v>4228.3203407407391</v>
      </c>
      <c r="S21" s="25">
        <f t="shared" si="32"/>
        <v>4280.8460592592573</v>
      </c>
      <c r="T21" s="23">
        <f>O21*(3300/3100)</f>
        <v>4333.3717777777765</v>
      </c>
      <c r="U21" s="24">
        <f t="shared" si="33"/>
        <v>4372.7660666666652</v>
      </c>
      <c r="V21" s="25">
        <f t="shared" si="33"/>
        <v>4412.1603555555539</v>
      </c>
      <c r="W21" s="25">
        <f t="shared" si="33"/>
        <v>4451.5546444444426</v>
      </c>
      <c r="X21" s="25">
        <f t="shared" si="33"/>
        <v>4490.9489333333313</v>
      </c>
      <c r="Y21" s="23">
        <f>T21*(3450/3300)</f>
        <v>4530.3432222222209</v>
      </c>
      <c r="Z21" s="24">
        <f t="shared" si="34"/>
        <v>4544.2827398290583</v>
      </c>
      <c r="AA21" s="25">
        <f t="shared" si="34"/>
        <v>4558.2222574358957</v>
      </c>
      <c r="AB21" s="25">
        <f t="shared" si="34"/>
        <v>4572.1617750427331</v>
      </c>
      <c r="AC21" s="25">
        <f t="shared" si="34"/>
        <v>4586.1012926495705</v>
      </c>
      <c r="AD21" s="23">
        <f>Y21*(3300/3250)</f>
        <v>4600.0408102564088</v>
      </c>
      <c r="AE21" s="24">
        <f t="shared" si="35"/>
        <v>4585.6656827243578</v>
      </c>
      <c r="AF21" s="25">
        <f t="shared" si="35"/>
        <v>4571.2905551923068</v>
      </c>
      <c r="AG21" s="25">
        <f t="shared" si="35"/>
        <v>4556.9154276602558</v>
      </c>
      <c r="AH21" s="25">
        <f t="shared" si="35"/>
        <v>4542.5403001282048</v>
      </c>
      <c r="AI21" s="23">
        <f>AD21*(3150/3200)</f>
        <v>4528.1651725961528</v>
      </c>
      <c r="AJ21" s="24">
        <f t="shared" si="36"/>
        <v>4522.4151215833326</v>
      </c>
      <c r="AK21" s="25">
        <f t="shared" si="36"/>
        <v>4516.6650705705124</v>
      </c>
      <c r="AL21" s="25">
        <f t="shared" si="36"/>
        <v>4510.9150195576922</v>
      </c>
      <c r="AM21" s="25">
        <f t="shared" si="36"/>
        <v>4505.164968544872</v>
      </c>
      <c r="AN21" s="23">
        <f>AI21*(3130/3150)</f>
        <v>4499.4149175320508</v>
      </c>
      <c r="AO21" s="24">
        <f t="shared" si="37"/>
        <v>4490.78984101282</v>
      </c>
      <c r="AP21" s="25">
        <f t="shared" si="37"/>
        <v>4482.1647644935892</v>
      </c>
      <c r="AQ21" s="25">
        <f t="shared" si="37"/>
        <v>4473.5396879743585</v>
      </c>
      <c r="AR21" s="25">
        <f t="shared" si="37"/>
        <v>4464.9146114551277</v>
      </c>
      <c r="AS21" s="23">
        <f>AN21*(3100/3130)</f>
        <v>4456.2895349358969</v>
      </c>
    </row>
    <row r="25" spans="1:48" ht="15" x14ac:dyDescent="0.25">
      <c r="A25" s="74" t="s">
        <v>99</v>
      </c>
    </row>
    <row r="26" spans="1:48" x14ac:dyDescent="0.2">
      <c r="A26" s="51" t="s">
        <v>53</v>
      </c>
      <c r="B26" s="51" t="s">
        <v>54</v>
      </c>
      <c r="C26" s="52" t="s">
        <v>55</v>
      </c>
      <c r="D26" s="53" t="s">
        <v>56</v>
      </c>
      <c r="E26" s="53" t="s">
        <v>57</v>
      </c>
      <c r="F26" s="41">
        <v>2018</v>
      </c>
      <c r="G26" s="42">
        <v>2019</v>
      </c>
      <c r="H26" s="42">
        <v>2020</v>
      </c>
      <c r="I26" s="42">
        <v>2021</v>
      </c>
      <c r="J26" s="42">
        <v>2022</v>
      </c>
      <c r="K26" s="42">
        <v>2023</v>
      </c>
      <c r="L26" s="42">
        <v>2024</v>
      </c>
      <c r="M26" s="42">
        <v>2025</v>
      </c>
      <c r="N26" s="42">
        <v>2026</v>
      </c>
      <c r="O26" s="42">
        <v>2027</v>
      </c>
      <c r="P26" s="42">
        <v>2028</v>
      </c>
      <c r="Q26" s="42">
        <v>2029</v>
      </c>
      <c r="R26" s="42">
        <v>2030</v>
      </c>
      <c r="S26" s="42">
        <v>2031</v>
      </c>
      <c r="T26" s="42">
        <v>2032</v>
      </c>
      <c r="U26" s="42">
        <v>2033</v>
      </c>
      <c r="V26" s="42">
        <v>2034</v>
      </c>
      <c r="W26" s="42">
        <v>2035</v>
      </c>
      <c r="X26" s="42">
        <v>2036</v>
      </c>
      <c r="Y26" s="42">
        <v>2037</v>
      </c>
      <c r="Z26" s="42">
        <v>2038</v>
      </c>
      <c r="AA26" s="42">
        <v>2039</v>
      </c>
      <c r="AB26" s="42">
        <v>2040</v>
      </c>
      <c r="AC26" s="42">
        <v>2041</v>
      </c>
      <c r="AD26" s="42">
        <v>2042</v>
      </c>
      <c r="AE26" s="42">
        <v>2043</v>
      </c>
      <c r="AF26" s="42">
        <v>2044</v>
      </c>
      <c r="AG26" s="42">
        <v>2045</v>
      </c>
      <c r="AH26" s="42">
        <v>2046</v>
      </c>
      <c r="AI26" s="42">
        <v>2047</v>
      </c>
      <c r="AJ26" s="42">
        <v>2048</v>
      </c>
      <c r="AK26" s="42">
        <v>2049</v>
      </c>
      <c r="AL26" s="42">
        <v>2050</v>
      </c>
      <c r="AM26" s="42">
        <v>2051</v>
      </c>
      <c r="AN26" s="42">
        <v>2052</v>
      </c>
      <c r="AO26" s="42">
        <v>2053</v>
      </c>
      <c r="AP26" s="42">
        <v>2054</v>
      </c>
      <c r="AQ26" s="42">
        <v>2055</v>
      </c>
      <c r="AR26" s="42">
        <v>2056</v>
      </c>
      <c r="AS26" s="42">
        <v>2057</v>
      </c>
      <c r="AT26" s="42">
        <v>2058</v>
      </c>
      <c r="AU26" s="42">
        <v>2059</v>
      </c>
      <c r="AV26" s="43">
        <v>2060</v>
      </c>
    </row>
    <row r="27" spans="1:48" x14ac:dyDescent="0.2">
      <c r="A27" s="54" t="s">
        <v>58</v>
      </c>
      <c r="B27" s="54" t="s">
        <v>59</v>
      </c>
      <c r="C27" s="55" t="s">
        <v>60</v>
      </c>
      <c r="D27" s="56" t="s">
        <v>61</v>
      </c>
      <c r="E27" s="57" t="s">
        <v>62</v>
      </c>
      <c r="F27" s="87">
        <f>F40</f>
        <v>13.953799999999999</v>
      </c>
      <c r="G27" s="88">
        <f t="shared" ref="G27:AV27" si="40">G40</f>
        <v>14.007930999999999</v>
      </c>
      <c r="H27" s="88">
        <f t="shared" si="40"/>
        <v>14.131351629999999</v>
      </c>
      <c r="I27" s="88">
        <f t="shared" si="40"/>
        <v>14.16016011</v>
      </c>
      <c r="J27" s="88">
        <f t="shared" si="40"/>
        <v>14.188968259999999</v>
      </c>
      <c r="K27" s="88">
        <f t="shared" si="40"/>
        <v>14.21777659</v>
      </c>
      <c r="L27" s="88">
        <f t="shared" si="40"/>
        <v>14.246584739999999</v>
      </c>
      <c r="M27" s="88">
        <f t="shared" si="40"/>
        <v>14.27539322</v>
      </c>
      <c r="N27" s="88">
        <f t="shared" si="40"/>
        <v>14.27109347</v>
      </c>
      <c r="O27" s="88">
        <f t="shared" si="40"/>
        <v>14.2667936</v>
      </c>
      <c r="P27" s="88">
        <f t="shared" si="40"/>
        <v>14.26249434</v>
      </c>
      <c r="Q27" s="88">
        <f t="shared" si="40"/>
        <v>14.258194469999999</v>
      </c>
      <c r="R27" s="88">
        <f t="shared" si="40"/>
        <v>14.25389472</v>
      </c>
      <c r="S27" s="88">
        <f t="shared" si="40"/>
        <v>14.234383210000001</v>
      </c>
      <c r="T27" s="88">
        <f t="shared" si="40"/>
        <v>14.21487207</v>
      </c>
      <c r="U27" s="88">
        <f t="shared" si="40"/>
        <v>14.19536108</v>
      </c>
      <c r="V27" s="88">
        <f t="shared" si="40"/>
        <v>14.175849940000001</v>
      </c>
      <c r="W27" s="88">
        <f t="shared" si="40"/>
        <v>14.15633843</v>
      </c>
      <c r="X27" s="88">
        <f t="shared" si="40"/>
        <v>14.120965379999999</v>
      </c>
      <c r="Y27" s="88">
        <f t="shared" si="40"/>
        <v>14.08559209</v>
      </c>
      <c r="Z27" s="88">
        <f t="shared" si="40"/>
        <v>14.050218709999999</v>
      </c>
      <c r="AA27" s="88">
        <f t="shared" si="40"/>
        <v>14.01484542</v>
      </c>
      <c r="AB27" s="88">
        <f t="shared" si="40"/>
        <v>13.97947237</v>
      </c>
      <c r="AC27" s="88">
        <f t="shared" si="40"/>
        <v>13.93101401</v>
      </c>
      <c r="AD27" s="88">
        <f t="shared" si="40"/>
        <v>13.882555740000001</v>
      </c>
      <c r="AE27" s="88">
        <f t="shared" si="40"/>
        <v>13.83409724</v>
      </c>
      <c r="AF27" s="88">
        <f t="shared" si="40"/>
        <v>13.785638970000001</v>
      </c>
      <c r="AG27" s="88">
        <f t="shared" si="40"/>
        <v>13.737180609999999</v>
      </c>
      <c r="AH27" s="88">
        <f t="shared" si="40"/>
        <v>13.66731802</v>
      </c>
      <c r="AI27" s="88">
        <f t="shared" si="40"/>
        <v>13.597455719999999</v>
      </c>
      <c r="AJ27" s="88">
        <f t="shared" si="40"/>
        <v>13.52759292</v>
      </c>
      <c r="AK27" s="88">
        <f t="shared" si="40"/>
        <v>13.45773062</v>
      </c>
      <c r="AL27" s="88">
        <f t="shared" si="40"/>
        <v>13.38786803</v>
      </c>
      <c r="AM27" s="88">
        <f t="shared" si="40"/>
        <v>13.29363728</v>
      </c>
      <c r="AN27" s="88">
        <f t="shared" si="40"/>
        <v>13.19940598</v>
      </c>
      <c r="AO27" s="88">
        <f t="shared" si="40"/>
        <v>13.105175389999999</v>
      </c>
      <c r="AP27" s="88">
        <f t="shared" si="40"/>
        <v>13.010944090000001</v>
      </c>
      <c r="AQ27" s="88">
        <f t="shared" si="40"/>
        <v>12.916713339999999</v>
      </c>
      <c r="AR27" s="88">
        <f t="shared" si="40"/>
        <v>12.803761980000001</v>
      </c>
      <c r="AS27" s="88">
        <f t="shared" si="40"/>
        <v>12.690810539999999</v>
      </c>
      <c r="AT27" s="88">
        <f t="shared" si="40"/>
        <v>12.577859249999999</v>
      </c>
      <c r="AU27" s="88">
        <f t="shared" si="40"/>
        <v>12.46490781</v>
      </c>
      <c r="AV27" s="89">
        <f t="shared" si="40"/>
        <v>12.351956449999999</v>
      </c>
    </row>
    <row r="28" spans="1:48" x14ac:dyDescent="0.2">
      <c r="A28" s="58" t="s">
        <v>63</v>
      </c>
      <c r="B28" s="59" t="s">
        <v>64</v>
      </c>
      <c r="C28" s="60" t="s">
        <v>65</v>
      </c>
      <c r="D28" s="61" t="s">
        <v>66</v>
      </c>
      <c r="E28" s="62" t="s">
        <v>67</v>
      </c>
      <c r="F28" s="75">
        <v>36.979999999999997</v>
      </c>
      <c r="G28" s="76">
        <v>38.46</v>
      </c>
      <c r="H28" s="77">
        <f>E2</f>
        <v>39.020000000000003</v>
      </c>
      <c r="I28" s="77">
        <f t="shared" ref="I28:AV30" si="41">F2</f>
        <v>41.26</v>
      </c>
      <c r="J28" s="77">
        <f t="shared" si="41"/>
        <v>45.59</v>
      </c>
      <c r="K28" s="77">
        <f t="shared" si="41"/>
        <v>47.06</v>
      </c>
      <c r="L28" s="77">
        <f t="shared" si="41"/>
        <v>48.53</v>
      </c>
      <c r="M28" s="77">
        <f t="shared" si="41"/>
        <v>50</v>
      </c>
      <c r="N28" s="77">
        <f t="shared" si="41"/>
        <v>50.8</v>
      </c>
      <c r="O28" s="77">
        <f t="shared" si="41"/>
        <v>51.599999999999994</v>
      </c>
      <c r="P28" s="77">
        <f t="shared" si="41"/>
        <v>52.399999999999991</v>
      </c>
      <c r="Q28" s="77">
        <f t="shared" si="41"/>
        <v>53.199999999999989</v>
      </c>
      <c r="R28" s="77">
        <f t="shared" si="41"/>
        <v>54</v>
      </c>
      <c r="S28" s="77">
        <f t="shared" si="41"/>
        <v>53.8</v>
      </c>
      <c r="T28" s="77">
        <f t="shared" si="41"/>
        <v>53.599999999999994</v>
      </c>
      <c r="U28" s="77">
        <f t="shared" si="41"/>
        <v>53.399999999999991</v>
      </c>
      <c r="V28" s="77">
        <f t="shared" si="41"/>
        <v>53.199999999999989</v>
      </c>
      <c r="W28" s="77">
        <f t="shared" si="41"/>
        <v>53</v>
      </c>
      <c r="X28" s="77">
        <f t="shared" si="41"/>
        <v>52.2</v>
      </c>
      <c r="Y28" s="77">
        <f t="shared" si="41"/>
        <v>51.400000000000006</v>
      </c>
      <c r="Z28" s="77">
        <f t="shared" si="41"/>
        <v>50.600000000000009</v>
      </c>
      <c r="AA28" s="77">
        <f t="shared" si="41"/>
        <v>49.800000000000011</v>
      </c>
      <c r="AB28" s="77">
        <f t="shared" si="41"/>
        <v>49</v>
      </c>
      <c r="AC28" s="77">
        <f t="shared" si="41"/>
        <v>47.8</v>
      </c>
      <c r="AD28" s="77">
        <f t="shared" si="41"/>
        <v>46.599999999999994</v>
      </c>
      <c r="AE28" s="77">
        <f t="shared" si="41"/>
        <v>45.399999999999991</v>
      </c>
      <c r="AF28" s="77">
        <f t="shared" si="41"/>
        <v>44.199999999999989</v>
      </c>
      <c r="AG28" s="77">
        <f t="shared" si="41"/>
        <v>43</v>
      </c>
      <c r="AH28" s="77">
        <f t="shared" si="41"/>
        <v>42</v>
      </c>
      <c r="AI28" s="77">
        <f t="shared" si="41"/>
        <v>41</v>
      </c>
      <c r="AJ28" s="77">
        <f t="shared" si="41"/>
        <v>40</v>
      </c>
      <c r="AK28" s="77">
        <f t="shared" si="41"/>
        <v>39</v>
      </c>
      <c r="AL28" s="77">
        <f t="shared" si="41"/>
        <v>38</v>
      </c>
      <c r="AM28" s="77">
        <f t="shared" si="41"/>
        <v>37</v>
      </c>
      <c r="AN28" s="77">
        <f t="shared" si="41"/>
        <v>36</v>
      </c>
      <c r="AO28" s="77">
        <f t="shared" si="41"/>
        <v>35</v>
      </c>
      <c r="AP28" s="77">
        <f t="shared" si="41"/>
        <v>34</v>
      </c>
      <c r="AQ28" s="77">
        <f t="shared" si="41"/>
        <v>33</v>
      </c>
      <c r="AR28" s="77">
        <f t="shared" si="41"/>
        <v>32</v>
      </c>
      <c r="AS28" s="77">
        <f t="shared" si="41"/>
        <v>31</v>
      </c>
      <c r="AT28" s="77">
        <f t="shared" si="41"/>
        <v>30</v>
      </c>
      <c r="AU28" s="77">
        <f t="shared" si="41"/>
        <v>29</v>
      </c>
      <c r="AV28" s="78">
        <f t="shared" si="41"/>
        <v>28</v>
      </c>
    </row>
    <row r="29" spans="1:48" x14ac:dyDescent="0.2">
      <c r="A29" s="63" t="s">
        <v>68</v>
      </c>
      <c r="B29" s="64" t="s">
        <v>64</v>
      </c>
      <c r="C29" s="65" t="s">
        <v>69</v>
      </c>
      <c r="D29" s="61" t="s">
        <v>66</v>
      </c>
      <c r="E29" s="62" t="s">
        <v>70</v>
      </c>
      <c r="F29" s="75">
        <v>1.8932</v>
      </c>
      <c r="G29" s="76">
        <v>1.9100999999999999</v>
      </c>
      <c r="H29" s="79">
        <f>E3</f>
        <v>1.9477</v>
      </c>
      <c r="I29" s="79">
        <f t="shared" si="41"/>
        <v>1.9887999999999999</v>
      </c>
      <c r="J29" s="79">
        <f t="shared" si="41"/>
        <v>2.0472000000000001</v>
      </c>
      <c r="K29" s="79">
        <f t="shared" si="41"/>
        <v>2.0981333333333336</v>
      </c>
      <c r="L29" s="79">
        <f t="shared" si="41"/>
        <v>2.1490666666666671</v>
      </c>
      <c r="M29" s="79">
        <f t="shared" si="41"/>
        <v>2.2000000000000002</v>
      </c>
      <c r="N29" s="79">
        <f t="shared" si="41"/>
        <v>2.23</v>
      </c>
      <c r="O29" s="79">
        <f t="shared" si="41"/>
        <v>2.2599999999999998</v>
      </c>
      <c r="P29" s="79">
        <f t="shared" si="41"/>
        <v>2.2899999999999996</v>
      </c>
      <c r="Q29" s="79">
        <f t="shared" si="41"/>
        <v>2.3199999999999994</v>
      </c>
      <c r="R29" s="79">
        <f t="shared" si="41"/>
        <v>2.35</v>
      </c>
      <c r="S29" s="79">
        <f t="shared" si="41"/>
        <v>2.3559999999999999</v>
      </c>
      <c r="T29" s="79">
        <f t="shared" si="41"/>
        <v>2.3619999999999997</v>
      </c>
      <c r="U29" s="79">
        <f t="shared" si="41"/>
        <v>2.3679999999999994</v>
      </c>
      <c r="V29" s="79">
        <f t="shared" si="41"/>
        <v>2.3739999999999992</v>
      </c>
      <c r="W29" s="79">
        <f t="shared" si="41"/>
        <v>2.38</v>
      </c>
      <c r="X29" s="79">
        <f t="shared" si="41"/>
        <v>2.3759999999999999</v>
      </c>
      <c r="Y29" s="79">
        <f t="shared" si="41"/>
        <v>2.3719999999999999</v>
      </c>
      <c r="Z29" s="79">
        <f t="shared" si="41"/>
        <v>2.3679999999999999</v>
      </c>
      <c r="AA29" s="79">
        <f t="shared" si="41"/>
        <v>2.3639999999999999</v>
      </c>
      <c r="AB29" s="79">
        <f t="shared" si="41"/>
        <v>2.36</v>
      </c>
      <c r="AC29" s="79">
        <f t="shared" si="41"/>
        <v>2.3439999999999999</v>
      </c>
      <c r="AD29" s="79">
        <f t="shared" si="41"/>
        <v>2.3279999999999998</v>
      </c>
      <c r="AE29" s="79">
        <f t="shared" si="41"/>
        <v>2.3119999999999998</v>
      </c>
      <c r="AF29" s="79">
        <f t="shared" si="41"/>
        <v>2.2959999999999998</v>
      </c>
      <c r="AG29" s="79">
        <f t="shared" si="41"/>
        <v>2.2799999999999998</v>
      </c>
      <c r="AH29" s="79">
        <f t="shared" si="41"/>
        <v>2.2439999999999998</v>
      </c>
      <c r="AI29" s="79">
        <f t="shared" si="41"/>
        <v>2.2079999999999997</v>
      </c>
      <c r="AJ29" s="79">
        <f t="shared" si="41"/>
        <v>2.1719999999999997</v>
      </c>
      <c r="AK29" s="79">
        <f t="shared" si="41"/>
        <v>2.1359999999999997</v>
      </c>
      <c r="AL29" s="79">
        <f t="shared" si="41"/>
        <v>2.1</v>
      </c>
      <c r="AM29" s="79">
        <f t="shared" si="41"/>
        <v>2.0500000000000003</v>
      </c>
      <c r="AN29" s="79">
        <f t="shared" si="41"/>
        <v>2.0000000000000004</v>
      </c>
      <c r="AO29" s="79">
        <f t="shared" si="41"/>
        <v>1.9500000000000004</v>
      </c>
      <c r="AP29" s="79">
        <f t="shared" si="41"/>
        <v>1.9000000000000004</v>
      </c>
      <c r="AQ29" s="79">
        <f t="shared" si="41"/>
        <v>1.85</v>
      </c>
      <c r="AR29" s="79">
        <f t="shared" si="41"/>
        <v>1.81</v>
      </c>
      <c r="AS29" s="79">
        <f t="shared" si="41"/>
        <v>1.77</v>
      </c>
      <c r="AT29" s="79">
        <f t="shared" si="41"/>
        <v>1.73</v>
      </c>
      <c r="AU29" s="79">
        <f t="shared" si="41"/>
        <v>1.69</v>
      </c>
      <c r="AV29" s="80">
        <f t="shared" si="41"/>
        <v>1.65</v>
      </c>
    </row>
    <row r="30" spans="1:48" x14ac:dyDescent="0.2">
      <c r="A30" s="63" t="s">
        <v>68</v>
      </c>
      <c r="B30" s="64" t="s">
        <v>64</v>
      </c>
      <c r="C30" s="65" t="s">
        <v>71</v>
      </c>
      <c r="D30" s="61" t="s">
        <v>72</v>
      </c>
      <c r="E30" s="62" t="s">
        <v>70</v>
      </c>
      <c r="F30" s="75">
        <v>1601.59</v>
      </c>
      <c r="G30" s="76">
        <v>1761.74</v>
      </c>
      <c r="H30" s="81">
        <f>E4</f>
        <v>1924.95</v>
      </c>
      <c r="I30" s="81">
        <f t="shared" si="41"/>
        <v>2075.84</v>
      </c>
      <c r="J30" s="81">
        <f t="shared" si="41"/>
        <v>2201.1</v>
      </c>
      <c r="K30" s="81">
        <f t="shared" si="41"/>
        <v>2334.0666666666666</v>
      </c>
      <c r="L30" s="81">
        <f t="shared" si="41"/>
        <v>2467.0333333333333</v>
      </c>
      <c r="M30" s="81">
        <f t="shared" si="41"/>
        <v>2600</v>
      </c>
      <c r="N30" s="81">
        <f t="shared" si="41"/>
        <v>2700</v>
      </c>
      <c r="O30" s="81">
        <f t="shared" si="41"/>
        <v>2800</v>
      </c>
      <c r="P30" s="81">
        <f t="shared" si="41"/>
        <v>2900</v>
      </c>
      <c r="Q30" s="81">
        <f t="shared" si="41"/>
        <v>3000</v>
      </c>
      <c r="R30" s="81">
        <f t="shared" si="41"/>
        <v>3100</v>
      </c>
      <c r="S30" s="81">
        <f t="shared" si="41"/>
        <v>3150</v>
      </c>
      <c r="T30" s="81">
        <f t="shared" si="41"/>
        <v>3200</v>
      </c>
      <c r="U30" s="81">
        <f t="shared" si="41"/>
        <v>3250</v>
      </c>
      <c r="V30" s="81">
        <f t="shared" si="41"/>
        <v>3300</v>
      </c>
      <c r="W30" s="81">
        <f t="shared" si="41"/>
        <v>3350</v>
      </c>
      <c r="X30" s="81">
        <f t="shared" si="41"/>
        <v>3390</v>
      </c>
      <c r="Y30" s="81">
        <f t="shared" si="41"/>
        <v>3430</v>
      </c>
      <c r="Z30" s="81">
        <f t="shared" si="41"/>
        <v>3470</v>
      </c>
      <c r="AA30" s="81">
        <f t="shared" si="41"/>
        <v>3510</v>
      </c>
      <c r="AB30" s="81">
        <f t="shared" si="41"/>
        <v>3550</v>
      </c>
      <c r="AC30" s="81">
        <f t="shared" si="41"/>
        <v>3576</v>
      </c>
      <c r="AD30" s="81">
        <f t="shared" si="41"/>
        <v>3602</v>
      </c>
      <c r="AE30" s="81">
        <f t="shared" si="41"/>
        <v>3628</v>
      </c>
      <c r="AF30" s="81">
        <f t="shared" si="41"/>
        <v>3654</v>
      </c>
      <c r="AG30" s="81">
        <f t="shared" si="41"/>
        <v>3680</v>
      </c>
      <c r="AH30" s="81">
        <f t="shared" si="41"/>
        <v>3694</v>
      </c>
      <c r="AI30" s="81">
        <f t="shared" si="41"/>
        <v>3708</v>
      </c>
      <c r="AJ30" s="81">
        <f t="shared" si="41"/>
        <v>3722</v>
      </c>
      <c r="AK30" s="81">
        <f t="shared" si="41"/>
        <v>3736</v>
      </c>
      <c r="AL30" s="81">
        <f t="shared" si="41"/>
        <v>3750</v>
      </c>
      <c r="AM30" s="81">
        <f t="shared" si="41"/>
        <v>3770</v>
      </c>
      <c r="AN30" s="81">
        <f t="shared" si="41"/>
        <v>3790</v>
      </c>
      <c r="AO30" s="81">
        <f t="shared" si="41"/>
        <v>3810</v>
      </c>
      <c r="AP30" s="81">
        <f t="shared" si="41"/>
        <v>3830</v>
      </c>
      <c r="AQ30" s="81">
        <f t="shared" si="41"/>
        <v>3850</v>
      </c>
      <c r="AR30" s="81">
        <f t="shared" si="41"/>
        <v>3860</v>
      </c>
      <c r="AS30" s="81">
        <f t="shared" si="41"/>
        <v>3870</v>
      </c>
      <c r="AT30" s="81">
        <f t="shared" si="41"/>
        <v>3880</v>
      </c>
      <c r="AU30" s="81">
        <f t="shared" si="41"/>
        <v>3890</v>
      </c>
      <c r="AV30" s="82">
        <f t="shared" si="41"/>
        <v>3900</v>
      </c>
    </row>
    <row r="31" spans="1:48" x14ac:dyDescent="0.2">
      <c r="A31" s="63" t="s">
        <v>73</v>
      </c>
      <c r="B31" s="64" t="s">
        <v>74</v>
      </c>
      <c r="C31" s="65" t="s">
        <v>75</v>
      </c>
      <c r="D31" s="61" t="s">
        <v>66</v>
      </c>
      <c r="E31" s="62" t="s">
        <v>76</v>
      </c>
      <c r="F31" s="75">
        <v>6</v>
      </c>
      <c r="G31" s="76">
        <v>6.5</v>
      </c>
      <c r="H31" s="79">
        <f>E10</f>
        <v>6.7441000000000004</v>
      </c>
      <c r="I31" s="79">
        <f t="shared" ref="I31:AV31" si="42">F10</f>
        <v>7</v>
      </c>
      <c r="J31" s="79">
        <f t="shared" si="42"/>
        <v>6.7590000000000003</v>
      </c>
      <c r="K31" s="79">
        <f t="shared" si="42"/>
        <v>6.9271606096131304</v>
      </c>
      <c r="L31" s="79">
        <f t="shared" si="42"/>
        <v>7.0953212192262605</v>
      </c>
      <c r="M31" s="79">
        <f t="shared" si="42"/>
        <v>7.2634818288393905</v>
      </c>
      <c r="N31" s="79">
        <f t="shared" si="42"/>
        <v>7.3625293083235643</v>
      </c>
      <c r="O31" s="79">
        <f t="shared" si="42"/>
        <v>7.4615767878077381</v>
      </c>
      <c r="P31" s="79">
        <f t="shared" si="42"/>
        <v>7.5606242672919119</v>
      </c>
      <c r="Q31" s="79">
        <f t="shared" si="42"/>
        <v>7.6596717467760858</v>
      </c>
      <c r="R31" s="79">
        <f t="shared" si="42"/>
        <v>7.7587192262602578</v>
      </c>
      <c r="S31" s="79">
        <f t="shared" si="42"/>
        <v>7.778528722157092</v>
      </c>
      <c r="T31" s="79">
        <f t="shared" si="42"/>
        <v>7.7983382180539262</v>
      </c>
      <c r="U31" s="79">
        <f t="shared" si="42"/>
        <v>7.8181477139507605</v>
      </c>
      <c r="V31" s="79">
        <f t="shared" si="42"/>
        <v>7.8379572098475947</v>
      </c>
      <c r="W31" s="79">
        <f t="shared" si="42"/>
        <v>7.8577667057444307</v>
      </c>
      <c r="X31" s="79">
        <f t="shared" si="42"/>
        <v>7.8445603751465409</v>
      </c>
      <c r="Y31" s="79">
        <f t="shared" si="42"/>
        <v>7.8313540445486511</v>
      </c>
      <c r="Z31" s="79">
        <f t="shared" si="42"/>
        <v>7.8181477139507614</v>
      </c>
      <c r="AA31" s="79">
        <f t="shared" si="42"/>
        <v>7.8049413833528716</v>
      </c>
      <c r="AB31" s="79">
        <f t="shared" si="42"/>
        <v>7.7917350527549818</v>
      </c>
      <c r="AC31" s="79">
        <f t="shared" si="42"/>
        <v>7.7389097303634227</v>
      </c>
      <c r="AD31" s="79">
        <f t="shared" si="42"/>
        <v>7.6860844079718635</v>
      </c>
      <c r="AE31" s="79">
        <f t="shared" si="42"/>
        <v>7.6332590855803044</v>
      </c>
      <c r="AF31" s="79">
        <f t="shared" si="42"/>
        <v>7.5804337631887453</v>
      </c>
      <c r="AG31" s="79">
        <f t="shared" si="42"/>
        <v>7.5276084407971853</v>
      </c>
      <c r="AH31" s="79">
        <f t="shared" si="42"/>
        <v>7.4087514654161772</v>
      </c>
      <c r="AI31" s="79">
        <f t="shared" si="42"/>
        <v>7.2898944900351692</v>
      </c>
      <c r="AJ31" s="79">
        <f t="shared" si="42"/>
        <v>7.1710375146541612</v>
      </c>
      <c r="AK31" s="79">
        <f t="shared" si="42"/>
        <v>7.0521805392731531</v>
      </c>
      <c r="AL31" s="79">
        <f t="shared" si="42"/>
        <v>6.9333235638921451</v>
      </c>
      <c r="AM31" s="79">
        <f t="shared" si="42"/>
        <v>6.7682444314185224</v>
      </c>
      <c r="AN31" s="79">
        <f t="shared" si="42"/>
        <v>6.6031652989448997</v>
      </c>
      <c r="AO31" s="79">
        <f t="shared" si="42"/>
        <v>6.438086166471277</v>
      </c>
      <c r="AP31" s="79">
        <f t="shared" si="42"/>
        <v>6.2730070339976542</v>
      </c>
      <c r="AQ31" s="79">
        <f t="shared" si="42"/>
        <v>6.1079279015240324</v>
      </c>
      <c r="AR31" s="79">
        <f t="shared" si="42"/>
        <v>5.9758645955451346</v>
      </c>
      <c r="AS31" s="79">
        <f t="shared" si="42"/>
        <v>5.8438012895662368</v>
      </c>
      <c r="AT31" s="79">
        <f t="shared" si="42"/>
        <v>5.711737983587339</v>
      </c>
      <c r="AU31" s="79">
        <f t="shared" si="42"/>
        <v>5.5796746776084412</v>
      </c>
      <c r="AV31" s="80">
        <f t="shared" si="42"/>
        <v>5.4476113716295416</v>
      </c>
    </row>
    <row r="32" spans="1:48" x14ac:dyDescent="0.2">
      <c r="A32" s="63" t="s">
        <v>77</v>
      </c>
      <c r="B32" s="64" t="s">
        <v>74</v>
      </c>
      <c r="C32" s="65" t="s">
        <v>78</v>
      </c>
      <c r="D32" s="61" t="s">
        <v>79</v>
      </c>
      <c r="E32" s="66" t="s">
        <v>80</v>
      </c>
      <c r="F32" s="75">
        <v>2688.48</v>
      </c>
      <c r="G32" s="76">
        <v>2522.4899999999998</v>
      </c>
      <c r="H32" s="76">
        <v>2795</v>
      </c>
      <c r="I32" s="76">
        <v>2820</v>
      </c>
      <c r="J32" s="76">
        <v>2850</v>
      </c>
      <c r="K32" s="81">
        <f>J32+($M32-$J32)/3</f>
        <v>2883.3333333333335</v>
      </c>
      <c r="L32" s="81">
        <f>K32+($M32-$J32)/3</f>
        <v>2916.666666666667</v>
      </c>
      <c r="M32" s="76">
        <v>2950</v>
      </c>
      <c r="N32" s="76">
        <f>M32+($R32-$M32)/5</f>
        <v>2970</v>
      </c>
      <c r="O32" s="76">
        <f t="shared" ref="O32:Q32" si="43">N32+($R32-$M32)/5</f>
        <v>2990</v>
      </c>
      <c r="P32" s="76">
        <f t="shared" si="43"/>
        <v>3010</v>
      </c>
      <c r="Q32" s="76">
        <f t="shared" si="43"/>
        <v>3030</v>
      </c>
      <c r="R32" s="76">
        <v>3050</v>
      </c>
      <c r="S32" s="76">
        <f>R32+($W32-$R32)/5</f>
        <v>3040</v>
      </c>
      <c r="T32" s="76">
        <f t="shared" ref="T32:V32" si="44">S32+($W32-$R32)/5</f>
        <v>3030</v>
      </c>
      <c r="U32" s="76">
        <f t="shared" si="44"/>
        <v>3020</v>
      </c>
      <c r="V32" s="76">
        <f t="shared" si="44"/>
        <v>3010</v>
      </c>
      <c r="W32" s="76">
        <v>3000</v>
      </c>
      <c r="X32" s="76">
        <f>W32+($AG32-$W32)/10</f>
        <v>2980</v>
      </c>
      <c r="Y32" s="76">
        <f t="shared" ref="Y32:AF32" si="45">X32+($AG32-$W32)/10</f>
        <v>2960</v>
      </c>
      <c r="Z32" s="76">
        <f t="shared" si="45"/>
        <v>2940</v>
      </c>
      <c r="AA32" s="76">
        <f t="shared" si="45"/>
        <v>2920</v>
      </c>
      <c r="AB32" s="76">
        <f t="shared" si="45"/>
        <v>2900</v>
      </c>
      <c r="AC32" s="76">
        <f t="shared" si="45"/>
        <v>2880</v>
      </c>
      <c r="AD32" s="76">
        <f t="shared" si="45"/>
        <v>2860</v>
      </c>
      <c r="AE32" s="76">
        <f t="shared" si="45"/>
        <v>2840</v>
      </c>
      <c r="AF32" s="76">
        <f t="shared" si="45"/>
        <v>2820</v>
      </c>
      <c r="AG32" s="76">
        <v>2800</v>
      </c>
      <c r="AH32" s="76">
        <f>AG32+($AV32-$AG32)/15</f>
        <v>2780</v>
      </c>
      <c r="AI32" s="76">
        <f t="shared" ref="AI32:AU32" si="46">AH32+($AV32-$AG32)/15</f>
        <v>2760</v>
      </c>
      <c r="AJ32" s="76">
        <f t="shared" si="46"/>
        <v>2740</v>
      </c>
      <c r="AK32" s="76">
        <f t="shared" si="46"/>
        <v>2720</v>
      </c>
      <c r="AL32" s="76">
        <f t="shared" si="46"/>
        <v>2700</v>
      </c>
      <c r="AM32" s="76">
        <f t="shared" si="46"/>
        <v>2680</v>
      </c>
      <c r="AN32" s="76">
        <f t="shared" si="46"/>
        <v>2660</v>
      </c>
      <c r="AO32" s="76">
        <f t="shared" si="46"/>
        <v>2640</v>
      </c>
      <c r="AP32" s="76">
        <f t="shared" si="46"/>
        <v>2620</v>
      </c>
      <c r="AQ32" s="76">
        <f t="shared" si="46"/>
        <v>2600</v>
      </c>
      <c r="AR32" s="76">
        <f t="shared" si="46"/>
        <v>2580</v>
      </c>
      <c r="AS32" s="76">
        <f t="shared" si="46"/>
        <v>2560</v>
      </c>
      <c r="AT32" s="76">
        <f t="shared" si="46"/>
        <v>2540</v>
      </c>
      <c r="AU32" s="76">
        <f t="shared" si="46"/>
        <v>2520</v>
      </c>
      <c r="AV32" s="83">
        <v>2500</v>
      </c>
    </row>
    <row r="33" spans="1:48" x14ac:dyDescent="0.2">
      <c r="A33" s="63" t="s">
        <v>77</v>
      </c>
      <c r="B33" s="64" t="s">
        <v>81</v>
      </c>
      <c r="C33" s="65" t="s">
        <v>82</v>
      </c>
      <c r="D33" s="61" t="s">
        <v>79</v>
      </c>
      <c r="E33" s="66" t="s">
        <v>80</v>
      </c>
      <c r="F33" s="75">
        <v>137.54</v>
      </c>
      <c r="G33" s="76">
        <v>140.04</v>
      </c>
      <c r="H33" s="76">
        <v>155.71</v>
      </c>
      <c r="I33" s="76">
        <v>189</v>
      </c>
      <c r="J33" s="81">
        <f>I33+($M33-$I33)/4</f>
        <v>199.25</v>
      </c>
      <c r="K33" s="81">
        <f>J33+($M33-$I33)/4</f>
        <v>209.5</v>
      </c>
      <c r="L33" s="81">
        <f>K33+($M33-$I33)/4</f>
        <v>219.75</v>
      </c>
      <c r="M33" s="76">
        <v>230</v>
      </c>
      <c r="N33" s="76">
        <f>M33+($R33-$M33)/5</f>
        <v>234</v>
      </c>
      <c r="O33" s="76">
        <f t="shared" ref="O33:Q33" si="47">N33+($R33-$M33)/5</f>
        <v>238</v>
      </c>
      <c r="P33" s="76">
        <f t="shared" si="47"/>
        <v>242</v>
      </c>
      <c r="Q33" s="76">
        <f t="shared" si="47"/>
        <v>246</v>
      </c>
      <c r="R33" s="76">
        <v>250</v>
      </c>
      <c r="S33" s="76">
        <f>R33+($AB33-$R33)/10</f>
        <v>248</v>
      </c>
      <c r="T33" s="76">
        <f t="shared" ref="T33:AA33" si="48">S33+($AB33-$R33)/10</f>
        <v>246</v>
      </c>
      <c r="U33" s="76">
        <f t="shared" si="48"/>
        <v>244</v>
      </c>
      <c r="V33" s="76">
        <f t="shared" si="48"/>
        <v>242</v>
      </c>
      <c r="W33" s="76">
        <f t="shared" si="48"/>
        <v>240</v>
      </c>
      <c r="X33" s="76">
        <f t="shared" si="48"/>
        <v>238</v>
      </c>
      <c r="Y33" s="76">
        <f t="shared" si="48"/>
        <v>236</v>
      </c>
      <c r="Z33" s="76">
        <f t="shared" si="48"/>
        <v>234</v>
      </c>
      <c r="AA33" s="76">
        <f t="shared" si="48"/>
        <v>232</v>
      </c>
      <c r="AB33" s="81">
        <f>230</f>
        <v>230</v>
      </c>
      <c r="AC33" s="81">
        <f>AB33+($AV33-$AB33)/20</f>
        <v>227</v>
      </c>
      <c r="AD33" s="81">
        <f t="shared" ref="AD33:AU33" si="49">AC33+($AV33-$AB33)/20</f>
        <v>224</v>
      </c>
      <c r="AE33" s="81">
        <f t="shared" si="49"/>
        <v>221</v>
      </c>
      <c r="AF33" s="81">
        <f t="shared" si="49"/>
        <v>218</v>
      </c>
      <c r="AG33" s="76">
        <f t="shared" si="49"/>
        <v>215</v>
      </c>
      <c r="AH33" s="81">
        <f t="shared" si="49"/>
        <v>212</v>
      </c>
      <c r="AI33" s="81">
        <f t="shared" si="49"/>
        <v>209</v>
      </c>
      <c r="AJ33" s="81">
        <f t="shared" si="49"/>
        <v>206</v>
      </c>
      <c r="AK33" s="81">
        <f t="shared" si="49"/>
        <v>203</v>
      </c>
      <c r="AL33" s="81">
        <f t="shared" si="49"/>
        <v>200</v>
      </c>
      <c r="AM33" s="81">
        <f t="shared" si="49"/>
        <v>197</v>
      </c>
      <c r="AN33" s="81">
        <f t="shared" si="49"/>
        <v>194</v>
      </c>
      <c r="AO33" s="81">
        <f t="shared" si="49"/>
        <v>191</v>
      </c>
      <c r="AP33" s="81">
        <f t="shared" si="49"/>
        <v>188</v>
      </c>
      <c r="AQ33" s="81">
        <f t="shared" si="49"/>
        <v>185</v>
      </c>
      <c r="AR33" s="81">
        <f t="shared" si="49"/>
        <v>182</v>
      </c>
      <c r="AS33" s="81">
        <f t="shared" si="49"/>
        <v>179</v>
      </c>
      <c r="AT33" s="81">
        <f t="shared" si="49"/>
        <v>176</v>
      </c>
      <c r="AU33" s="81">
        <f t="shared" si="49"/>
        <v>173</v>
      </c>
      <c r="AV33" s="83">
        <v>170</v>
      </c>
    </row>
    <row r="34" spans="1:48" x14ac:dyDescent="0.2">
      <c r="A34" s="63" t="s">
        <v>77</v>
      </c>
      <c r="B34" s="64" t="s">
        <v>81</v>
      </c>
      <c r="C34" s="65" t="s">
        <v>83</v>
      </c>
      <c r="D34" s="61" t="s">
        <v>79</v>
      </c>
      <c r="E34" s="66" t="s">
        <v>80</v>
      </c>
      <c r="F34" s="75">
        <v>246.85</v>
      </c>
      <c r="G34" s="76">
        <v>244.17</v>
      </c>
      <c r="H34" s="76">
        <v>232.31</v>
      </c>
      <c r="I34" s="76">
        <v>224.95</v>
      </c>
      <c r="J34" s="76">
        <v>201.43</v>
      </c>
      <c r="K34" s="81">
        <f t="shared" ref="K34:L34" si="50">J34+($M34-$J34)/3</f>
        <v>194.28666666666666</v>
      </c>
      <c r="L34" s="81">
        <f t="shared" si="50"/>
        <v>187.14333333333332</v>
      </c>
      <c r="M34" s="76">
        <v>180</v>
      </c>
      <c r="N34" s="76">
        <f>M34+($W34-$M34)/10</f>
        <v>176</v>
      </c>
      <c r="O34" s="76">
        <f t="shared" ref="O34:V34" si="51">N34+($W34-$M34)/10</f>
        <v>172</v>
      </c>
      <c r="P34" s="76">
        <f t="shared" si="51"/>
        <v>168</v>
      </c>
      <c r="Q34" s="76">
        <f t="shared" si="51"/>
        <v>164</v>
      </c>
      <c r="R34" s="76">
        <f t="shared" si="51"/>
        <v>160</v>
      </c>
      <c r="S34" s="76">
        <f t="shared" si="51"/>
        <v>156</v>
      </c>
      <c r="T34" s="76">
        <f t="shared" si="51"/>
        <v>152</v>
      </c>
      <c r="U34" s="76">
        <f t="shared" si="51"/>
        <v>148</v>
      </c>
      <c r="V34" s="76">
        <f t="shared" si="51"/>
        <v>144</v>
      </c>
      <c r="W34" s="76">
        <v>140</v>
      </c>
      <c r="X34" s="76">
        <f>W34+($AV34-$W34)/25</f>
        <v>137.6</v>
      </c>
      <c r="Y34" s="76">
        <f t="shared" ref="Y34:AU34" si="52">X34+($AV34-$W34)/25</f>
        <v>135.19999999999999</v>
      </c>
      <c r="Z34" s="76">
        <f t="shared" si="52"/>
        <v>132.79999999999998</v>
      </c>
      <c r="AA34" s="76">
        <f t="shared" si="52"/>
        <v>130.39999999999998</v>
      </c>
      <c r="AB34" s="76">
        <f t="shared" si="52"/>
        <v>127.99999999999997</v>
      </c>
      <c r="AC34" s="76">
        <f t="shared" si="52"/>
        <v>125.59999999999997</v>
      </c>
      <c r="AD34" s="76">
        <f t="shared" si="52"/>
        <v>123.19999999999996</v>
      </c>
      <c r="AE34" s="76">
        <f t="shared" si="52"/>
        <v>120.79999999999995</v>
      </c>
      <c r="AF34" s="76">
        <f t="shared" si="52"/>
        <v>118.39999999999995</v>
      </c>
      <c r="AG34" s="76">
        <f t="shared" si="52"/>
        <v>115.99999999999994</v>
      </c>
      <c r="AH34" s="76">
        <f t="shared" si="52"/>
        <v>113.59999999999994</v>
      </c>
      <c r="AI34" s="76">
        <f t="shared" si="52"/>
        <v>111.19999999999993</v>
      </c>
      <c r="AJ34" s="76">
        <f t="shared" si="52"/>
        <v>108.79999999999993</v>
      </c>
      <c r="AK34" s="76">
        <f t="shared" si="52"/>
        <v>106.39999999999992</v>
      </c>
      <c r="AL34" s="76">
        <f t="shared" si="52"/>
        <v>103.99999999999991</v>
      </c>
      <c r="AM34" s="76">
        <f t="shared" si="52"/>
        <v>101.59999999999991</v>
      </c>
      <c r="AN34" s="76">
        <f t="shared" si="52"/>
        <v>99.199999999999903</v>
      </c>
      <c r="AO34" s="76">
        <f t="shared" si="52"/>
        <v>96.799999999999898</v>
      </c>
      <c r="AP34" s="76">
        <f t="shared" si="52"/>
        <v>94.399999999999892</v>
      </c>
      <c r="AQ34" s="76">
        <f t="shared" si="52"/>
        <v>91.999999999999886</v>
      </c>
      <c r="AR34" s="76">
        <f t="shared" si="52"/>
        <v>89.599999999999881</v>
      </c>
      <c r="AS34" s="76">
        <f t="shared" si="52"/>
        <v>87.199999999999875</v>
      </c>
      <c r="AT34" s="76">
        <f t="shared" si="52"/>
        <v>84.799999999999869</v>
      </c>
      <c r="AU34" s="76">
        <f t="shared" si="52"/>
        <v>82.399999999999864</v>
      </c>
      <c r="AV34" s="83">
        <v>80</v>
      </c>
    </row>
    <row r="35" spans="1:48" x14ac:dyDescent="0.2">
      <c r="A35" s="63" t="s">
        <v>77</v>
      </c>
      <c r="B35" s="64" t="s">
        <v>84</v>
      </c>
      <c r="C35" s="65" t="s">
        <v>85</v>
      </c>
      <c r="D35" s="61" t="s">
        <v>79</v>
      </c>
      <c r="E35" s="66" t="s">
        <v>80</v>
      </c>
      <c r="F35" s="75">
        <v>85.17</v>
      </c>
      <c r="G35" s="76">
        <v>88.95</v>
      </c>
      <c r="H35" s="76">
        <v>86.69</v>
      </c>
      <c r="I35" s="76">
        <v>93.16</v>
      </c>
      <c r="J35" s="76">
        <f>I35+($M35-$I35)/4</f>
        <v>97.37</v>
      </c>
      <c r="K35" s="76">
        <f t="shared" ref="K35:L35" si="53">J35+($M35-$I35)/4</f>
        <v>101.58000000000001</v>
      </c>
      <c r="L35" s="76">
        <f t="shared" si="53"/>
        <v>105.79000000000002</v>
      </c>
      <c r="M35" s="76">
        <v>110</v>
      </c>
      <c r="N35" s="76">
        <f>M35+($R35-$M35)/5</f>
        <v>112</v>
      </c>
      <c r="O35" s="76">
        <f t="shared" ref="O35:Q35" si="54">N35+($R35-$M35)/5</f>
        <v>114</v>
      </c>
      <c r="P35" s="76">
        <f t="shared" si="54"/>
        <v>116</v>
      </c>
      <c r="Q35" s="76">
        <f t="shared" si="54"/>
        <v>118</v>
      </c>
      <c r="R35" s="76">
        <f>120</f>
        <v>120</v>
      </c>
      <c r="S35" s="76">
        <f>R35+($AB35-$R35)/10</f>
        <v>118</v>
      </c>
      <c r="T35" s="76">
        <f t="shared" ref="T35:AA35" si="55">S35+($AB35-$R35)/10</f>
        <v>116</v>
      </c>
      <c r="U35" s="76">
        <f>T35+($AB35-$R35)/10</f>
        <v>114</v>
      </c>
      <c r="V35" s="76">
        <f t="shared" si="55"/>
        <v>112</v>
      </c>
      <c r="W35" s="76">
        <f t="shared" si="55"/>
        <v>110</v>
      </c>
      <c r="X35" s="76">
        <f t="shared" si="55"/>
        <v>108</v>
      </c>
      <c r="Y35" s="76">
        <f t="shared" si="55"/>
        <v>106</v>
      </c>
      <c r="Z35" s="76">
        <f t="shared" si="55"/>
        <v>104</v>
      </c>
      <c r="AA35" s="76">
        <f t="shared" si="55"/>
        <v>102</v>
      </c>
      <c r="AB35" s="76">
        <v>100</v>
      </c>
      <c r="AC35" s="76">
        <f>AB35+($AV35-$AB35)/20</f>
        <v>99</v>
      </c>
      <c r="AD35" s="76">
        <f t="shared" ref="AD35:AU35" si="56">AC35+($AV35-$AB35)/20</f>
        <v>98</v>
      </c>
      <c r="AE35" s="76">
        <f t="shared" si="56"/>
        <v>97</v>
      </c>
      <c r="AF35" s="76">
        <f t="shared" si="56"/>
        <v>96</v>
      </c>
      <c r="AG35" s="76">
        <f t="shared" si="56"/>
        <v>95</v>
      </c>
      <c r="AH35" s="76">
        <f t="shared" si="56"/>
        <v>94</v>
      </c>
      <c r="AI35" s="76">
        <f t="shared" si="56"/>
        <v>93</v>
      </c>
      <c r="AJ35" s="76">
        <f t="shared" si="56"/>
        <v>92</v>
      </c>
      <c r="AK35" s="76">
        <f t="shared" si="56"/>
        <v>91</v>
      </c>
      <c r="AL35" s="76">
        <f t="shared" si="56"/>
        <v>90</v>
      </c>
      <c r="AM35" s="76">
        <f t="shared" si="56"/>
        <v>89</v>
      </c>
      <c r="AN35" s="76">
        <f t="shared" si="56"/>
        <v>88</v>
      </c>
      <c r="AO35" s="76">
        <f t="shared" si="56"/>
        <v>87</v>
      </c>
      <c r="AP35" s="76">
        <f t="shared" si="56"/>
        <v>86</v>
      </c>
      <c r="AQ35" s="76">
        <f t="shared" si="56"/>
        <v>85</v>
      </c>
      <c r="AR35" s="76">
        <f t="shared" si="56"/>
        <v>84</v>
      </c>
      <c r="AS35" s="76">
        <f t="shared" si="56"/>
        <v>83</v>
      </c>
      <c r="AT35" s="76">
        <f t="shared" si="56"/>
        <v>82</v>
      </c>
      <c r="AU35" s="76">
        <f t="shared" si="56"/>
        <v>81</v>
      </c>
      <c r="AV35" s="83">
        <v>80</v>
      </c>
    </row>
    <row r="36" spans="1:48" x14ac:dyDescent="0.2">
      <c r="A36" s="63" t="s">
        <v>86</v>
      </c>
      <c r="B36" s="64" t="s">
        <v>74</v>
      </c>
      <c r="C36" s="65" t="s">
        <v>87</v>
      </c>
      <c r="D36" s="61" t="s">
        <v>79</v>
      </c>
      <c r="E36" s="62" t="s">
        <v>88</v>
      </c>
      <c r="F36" s="75">
        <v>223609.62</v>
      </c>
      <c r="G36" s="76">
        <v>234430.62</v>
      </c>
      <c r="H36" s="81">
        <f>E16</f>
        <v>239470.83</v>
      </c>
      <c r="I36" s="81">
        <f t="shared" ref="I36:AV36" si="57">F16</f>
        <v>237724.49</v>
      </c>
      <c r="J36" s="81">
        <f t="shared" si="57"/>
        <v>212927.18</v>
      </c>
      <c r="K36" s="81">
        <f t="shared" si="57"/>
        <v>215284.78666666665</v>
      </c>
      <c r="L36" s="81">
        <f t="shared" si="57"/>
        <v>217642.39333333331</v>
      </c>
      <c r="M36" s="81">
        <f t="shared" si="57"/>
        <v>220000</v>
      </c>
      <c r="N36" s="81">
        <f t="shared" si="57"/>
        <v>219400</v>
      </c>
      <c r="O36" s="81">
        <f t="shared" si="57"/>
        <v>218800</v>
      </c>
      <c r="P36" s="81">
        <f t="shared" si="57"/>
        <v>218200</v>
      </c>
      <c r="Q36" s="81">
        <f t="shared" si="57"/>
        <v>217600</v>
      </c>
      <c r="R36" s="81">
        <f t="shared" si="57"/>
        <v>217000</v>
      </c>
      <c r="S36" s="81">
        <f t="shared" si="57"/>
        <v>214000</v>
      </c>
      <c r="T36" s="81">
        <f t="shared" si="57"/>
        <v>211000</v>
      </c>
      <c r="U36" s="81">
        <f t="shared" si="57"/>
        <v>208000</v>
      </c>
      <c r="V36" s="81">
        <f t="shared" si="57"/>
        <v>205000</v>
      </c>
      <c r="W36" s="81">
        <f t="shared" si="57"/>
        <v>202000</v>
      </c>
      <c r="X36" s="81">
        <f t="shared" si="57"/>
        <v>197600</v>
      </c>
      <c r="Y36" s="81">
        <f t="shared" si="57"/>
        <v>193200</v>
      </c>
      <c r="Z36" s="81">
        <f t="shared" si="57"/>
        <v>188800</v>
      </c>
      <c r="AA36" s="81">
        <f t="shared" si="57"/>
        <v>184400</v>
      </c>
      <c r="AB36" s="81">
        <f t="shared" si="57"/>
        <v>180000</v>
      </c>
      <c r="AC36" s="81">
        <f t="shared" si="57"/>
        <v>174000</v>
      </c>
      <c r="AD36" s="81">
        <f t="shared" si="57"/>
        <v>168000</v>
      </c>
      <c r="AE36" s="81">
        <f t="shared" si="57"/>
        <v>162000</v>
      </c>
      <c r="AF36" s="81">
        <f t="shared" si="57"/>
        <v>156000</v>
      </c>
      <c r="AG36" s="81">
        <f t="shared" si="57"/>
        <v>150000</v>
      </c>
      <c r="AH36" s="81">
        <f t="shared" si="57"/>
        <v>146000</v>
      </c>
      <c r="AI36" s="81">
        <f t="shared" si="57"/>
        <v>142000</v>
      </c>
      <c r="AJ36" s="81">
        <f t="shared" si="57"/>
        <v>138000</v>
      </c>
      <c r="AK36" s="81">
        <f t="shared" si="57"/>
        <v>134000</v>
      </c>
      <c r="AL36" s="81">
        <f t="shared" si="57"/>
        <v>130000</v>
      </c>
      <c r="AM36" s="81">
        <f t="shared" si="57"/>
        <v>127000</v>
      </c>
      <c r="AN36" s="81">
        <f t="shared" si="57"/>
        <v>124000</v>
      </c>
      <c r="AO36" s="81">
        <f t="shared" si="57"/>
        <v>121000</v>
      </c>
      <c r="AP36" s="81">
        <f t="shared" si="57"/>
        <v>118000</v>
      </c>
      <c r="AQ36" s="81">
        <f t="shared" si="57"/>
        <v>115000</v>
      </c>
      <c r="AR36" s="81">
        <f t="shared" si="57"/>
        <v>113292.71799999999</v>
      </c>
      <c r="AS36" s="81">
        <f t="shared" si="57"/>
        <v>111585.43599999999</v>
      </c>
      <c r="AT36" s="81">
        <f t="shared" si="57"/>
        <v>109878.15399999998</v>
      </c>
      <c r="AU36" s="81">
        <f t="shared" si="57"/>
        <v>108170.87199999997</v>
      </c>
      <c r="AV36" s="82">
        <f t="shared" si="57"/>
        <v>106463.59</v>
      </c>
    </row>
    <row r="37" spans="1:48" x14ac:dyDescent="0.2">
      <c r="A37" s="63" t="s">
        <v>89</v>
      </c>
      <c r="B37" s="64" t="s">
        <v>90</v>
      </c>
      <c r="C37" s="65" t="s">
        <v>91</v>
      </c>
      <c r="D37" s="61" t="s">
        <v>79</v>
      </c>
      <c r="E37" s="62" t="s">
        <v>88</v>
      </c>
      <c r="F37" s="75">
        <v>92903.84</v>
      </c>
      <c r="G37" s="76">
        <v>99541.89</v>
      </c>
      <c r="H37" s="81">
        <f>E18</f>
        <v>106476.68</v>
      </c>
      <c r="I37" s="81">
        <f t="shared" ref="I37:AV38" si="58">F18</f>
        <v>103524.26</v>
      </c>
      <c r="J37" s="81">
        <f t="shared" si="58"/>
        <v>101795.9</v>
      </c>
      <c r="K37" s="81">
        <f>H18</f>
        <v>105197.26666666666</v>
      </c>
      <c r="L37" s="81">
        <f t="shared" si="58"/>
        <v>108598.63333333333</v>
      </c>
      <c r="M37" s="81">
        <f t="shared" si="58"/>
        <v>112000</v>
      </c>
      <c r="N37" s="81">
        <f t="shared" si="58"/>
        <v>112800</v>
      </c>
      <c r="O37" s="81">
        <f t="shared" si="58"/>
        <v>113600</v>
      </c>
      <c r="P37" s="81">
        <f t="shared" si="58"/>
        <v>114400</v>
      </c>
      <c r="Q37" s="81">
        <f t="shared" si="58"/>
        <v>115200</v>
      </c>
      <c r="R37" s="81">
        <f t="shared" si="58"/>
        <v>116000</v>
      </c>
      <c r="S37" s="81">
        <f t="shared" si="58"/>
        <v>114600</v>
      </c>
      <c r="T37" s="81">
        <f t="shared" si="58"/>
        <v>113200</v>
      </c>
      <c r="U37" s="81">
        <f t="shared" si="58"/>
        <v>111800</v>
      </c>
      <c r="V37" s="81">
        <f t="shared" si="58"/>
        <v>110400</v>
      </c>
      <c r="W37" s="81">
        <f t="shared" si="58"/>
        <v>109000</v>
      </c>
      <c r="X37" s="81">
        <f t="shared" si="58"/>
        <v>107200</v>
      </c>
      <c r="Y37" s="81">
        <f t="shared" si="58"/>
        <v>105400</v>
      </c>
      <c r="Z37" s="81">
        <f t="shared" si="58"/>
        <v>103600</v>
      </c>
      <c r="AA37" s="81">
        <f t="shared" si="58"/>
        <v>101800</v>
      </c>
      <c r="AB37" s="81">
        <f t="shared" si="58"/>
        <v>100000</v>
      </c>
      <c r="AC37" s="81">
        <f t="shared" si="58"/>
        <v>97800</v>
      </c>
      <c r="AD37" s="81">
        <f t="shared" si="58"/>
        <v>95600</v>
      </c>
      <c r="AE37" s="81">
        <f t="shared" si="58"/>
        <v>93400</v>
      </c>
      <c r="AF37" s="81">
        <f t="shared" si="58"/>
        <v>91200</v>
      </c>
      <c r="AG37" s="81">
        <f t="shared" si="58"/>
        <v>89000</v>
      </c>
      <c r="AH37" s="81">
        <f t="shared" si="58"/>
        <v>86600</v>
      </c>
      <c r="AI37" s="81">
        <f t="shared" si="58"/>
        <v>84200</v>
      </c>
      <c r="AJ37" s="81">
        <f t="shared" si="58"/>
        <v>81800</v>
      </c>
      <c r="AK37" s="81">
        <f t="shared" si="58"/>
        <v>79400</v>
      </c>
      <c r="AL37" s="81">
        <f t="shared" si="58"/>
        <v>77000</v>
      </c>
      <c r="AM37" s="81">
        <f t="shared" si="58"/>
        <v>74800</v>
      </c>
      <c r="AN37" s="81">
        <f t="shared" si="58"/>
        <v>72600</v>
      </c>
      <c r="AO37" s="81">
        <f t="shared" si="58"/>
        <v>70400</v>
      </c>
      <c r="AP37" s="81">
        <f t="shared" si="58"/>
        <v>68200</v>
      </c>
      <c r="AQ37" s="81">
        <f t="shared" si="58"/>
        <v>66000</v>
      </c>
      <c r="AR37" s="81">
        <f t="shared" si="58"/>
        <v>63997.548999999999</v>
      </c>
      <c r="AS37" s="81">
        <f t="shared" si="58"/>
        <v>61995.097999999998</v>
      </c>
      <c r="AT37" s="81">
        <f t="shared" si="58"/>
        <v>59992.646999999997</v>
      </c>
      <c r="AU37" s="81">
        <f t="shared" si="58"/>
        <v>57990.195999999996</v>
      </c>
      <c r="AV37" s="82">
        <f t="shared" si="58"/>
        <v>55987.745000000003</v>
      </c>
    </row>
    <row r="38" spans="1:48" x14ac:dyDescent="0.2">
      <c r="A38" s="63" t="s">
        <v>92</v>
      </c>
      <c r="B38" s="64" t="s">
        <v>84</v>
      </c>
      <c r="C38" s="65" t="s">
        <v>93</v>
      </c>
      <c r="D38" s="61" t="s">
        <v>79</v>
      </c>
      <c r="E38" s="62" t="s">
        <v>88</v>
      </c>
      <c r="F38" s="75">
        <v>3683.1</v>
      </c>
      <c r="G38" s="76">
        <v>3512.96</v>
      </c>
      <c r="H38" s="76">
        <f>E19</f>
        <v>3708.04</v>
      </c>
      <c r="I38" s="76">
        <f t="shared" si="58"/>
        <v>3850.32</v>
      </c>
      <c r="J38" s="76">
        <f t="shared" si="58"/>
        <v>4014.43</v>
      </c>
      <c r="K38" s="76">
        <f t="shared" si="58"/>
        <v>4259.62</v>
      </c>
      <c r="L38" s="76">
        <f t="shared" si="58"/>
        <v>4504.8099999999995</v>
      </c>
      <c r="M38" s="76">
        <f t="shared" si="58"/>
        <v>4750</v>
      </c>
      <c r="N38" s="76">
        <f t="shared" si="58"/>
        <v>4890</v>
      </c>
      <c r="O38" s="76">
        <f t="shared" si="58"/>
        <v>5030</v>
      </c>
      <c r="P38" s="76">
        <f t="shared" si="58"/>
        <v>5170</v>
      </c>
      <c r="Q38" s="76">
        <f t="shared" si="58"/>
        <v>5310</v>
      </c>
      <c r="R38" s="76">
        <f t="shared" si="58"/>
        <v>5450</v>
      </c>
      <c r="S38" s="76">
        <f t="shared" si="58"/>
        <v>5530</v>
      </c>
      <c r="T38" s="76">
        <f t="shared" si="58"/>
        <v>5610</v>
      </c>
      <c r="U38" s="76">
        <f t="shared" si="58"/>
        <v>5690</v>
      </c>
      <c r="V38" s="76">
        <f t="shared" si="58"/>
        <v>5770</v>
      </c>
      <c r="W38" s="76">
        <f t="shared" si="58"/>
        <v>5850</v>
      </c>
      <c r="X38" s="76">
        <f t="shared" si="58"/>
        <v>5810</v>
      </c>
      <c r="Y38" s="76">
        <f t="shared" si="58"/>
        <v>5770</v>
      </c>
      <c r="Z38" s="76">
        <f t="shared" si="58"/>
        <v>5730</v>
      </c>
      <c r="AA38" s="76">
        <f t="shared" si="58"/>
        <v>5690</v>
      </c>
      <c r="AB38" s="76">
        <f t="shared" si="58"/>
        <v>5650</v>
      </c>
      <c r="AC38" s="76">
        <f t="shared" si="58"/>
        <v>5560</v>
      </c>
      <c r="AD38" s="76">
        <f t="shared" si="58"/>
        <v>5470</v>
      </c>
      <c r="AE38" s="76">
        <f t="shared" si="58"/>
        <v>5380</v>
      </c>
      <c r="AF38" s="76">
        <f t="shared" si="58"/>
        <v>5290</v>
      </c>
      <c r="AG38" s="76">
        <f t="shared" si="58"/>
        <v>5200</v>
      </c>
      <c r="AH38" s="76">
        <f t="shared" si="58"/>
        <v>5100</v>
      </c>
      <c r="AI38" s="76">
        <f t="shared" si="58"/>
        <v>5000</v>
      </c>
      <c r="AJ38" s="76">
        <f t="shared" si="58"/>
        <v>4900</v>
      </c>
      <c r="AK38" s="76">
        <f t="shared" si="58"/>
        <v>4800</v>
      </c>
      <c r="AL38" s="76">
        <f t="shared" si="58"/>
        <v>4700</v>
      </c>
      <c r="AM38" s="76">
        <f t="shared" si="58"/>
        <v>4620</v>
      </c>
      <c r="AN38" s="76">
        <f t="shared" si="58"/>
        <v>4540</v>
      </c>
      <c r="AO38" s="76">
        <f t="shared" si="58"/>
        <v>4460</v>
      </c>
      <c r="AP38" s="76">
        <f t="shared" si="58"/>
        <v>4380</v>
      </c>
      <c r="AQ38" s="76">
        <f t="shared" si="58"/>
        <v>4300</v>
      </c>
      <c r="AR38" s="76">
        <f t="shared" si="58"/>
        <v>4200</v>
      </c>
      <c r="AS38" s="76">
        <f t="shared" si="58"/>
        <v>4100</v>
      </c>
      <c r="AT38" s="76">
        <f t="shared" si="58"/>
        <v>4000</v>
      </c>
      <c r="AU38" s="76">
        <f t="shared" si="58"/>
        <v>3900</v>
      </c>
      <c r="AV38" s="83">
        <f t="shared" si="58"/>
        <v>3800</v>
      </c>
    </row>
    <row r="39" spans="1:48" x14ac:dyDescent="0.2">
      <c r="A39" s="63" t="s">
        <v>94</v>
      </c>
      <c r="B39" s="64" t="s">
        <v>84</v>
      </c>
      <c r="C39" s="67" t="s">
        <v>95</v>
      </c>
      <c r="D39" s="61" t="s">
        <v>96</v>
      </c>
      <c r="E39" s="68" t="s">
        <v>62</v>
      </c>
      <c r="F39" s="75">
        <v>68449</v>
      </c>
      <c r="G39" s="76">
        <v>72255</v>
      </c>
      <c r="H39" s="76">
        <v>75110</v>
      </c>
      <c r="I39" s="76">
        <v>83128</v>
      </c>
      <c r="J39" s="76">
        <v>86372</v>
      </c>
      <c r="K39" s="76">
        <v>92908</v>
      </c>
      <c r="L39" s="76">
        <v>98236</v>
      </c>
      <c r="M39" s="76">
        <v>103441</v>
      </c>
      <c r="N39" s="76">
        <v>108529</v>
      </c>
      <c r="O39" s="76">
        <v>113482</v>
      </c>
      <c r="P39" s="76">
        <v>118298</v>
      </c>
      <c r="Q39" s="76">
        <v>122964</v>
      </c>
      <c r="R39" s="76">
        <v>127474</v>
      </c>
      <c r="S39" s="76">
        <v>131817</v>
      </c>
      <c r="T39" s="76">
        <v>135982</v>
      </c>
      <c r="U39" s="76">
        <v>139961</v>
      </c>
      <c r="V39" s="76">
        <v>143743</v>
      </c>
      <c r="W39" s="76">
        <v>147316</v>
      </c>
      <c r="X39" s="76">
        <v>150667</v>
      </c>
      <c r="Y39" s="76">
        <v>153788</v>
      </c>
      <c r="Z39" s="76">
        <v>156673</v>
      </c>
      <c r="AA39" s="76">
        <v>159316</v>
      </c>
      <c r="AB39" s="76">
        <v>161710</v>
      </c>
      <c r="AC39" s="76">
        <v>163854</v>
      </c>
      <c r="AD39" s="76">
        <v>165743</v>
      </c>
      <c r="AE39" s="76">
        <v>167375</v>
      </c>
      <c r="AF39" s="76">
        <v>168754</v>
      </c>
      <c r="AG39" s="76">
        <v>169877</v>
      </c>
      <c r="AH39" s="76">
        <v>170749</v>
      </c>
      <c r="AI39" s="76">
        <v>171374</v>
      </c>
      <c r="AJ39" s="76">
        <v>171758</v>
      </c>
      <c r="AK39" s="76">
        <v>171907</v>
      </c>
      <c r="AL39" s="76">
        <v>171827</v>
      </c>
      <c r="AM39" s="76">
        <v>171527</v>
      </c>
      <c r="AN39" s="76">
        <v>171015</v>
      </c>
      <c r="AO39" s="76">
        <v>170299</v>
      </c>
      <c r="AP39" s="76">
        <v>169391</v>
      </c>
      <c r="AQ39" s="76">
        <v>168299</v>
      </c>
      <c r="AR39" s="76">
        <v>167033</v>
      </c>
      <c r="AS39" s="76">
        <v>165602</v>
      </c>
      <c r="AT39" s="76">
        <v>164017</v>
      </c>
      <c r="AU39" s="76">
        <v>162290</v>
      </c>
      <c r="AV39" s="83">
        <v>160429</v>
      </c>
    </row>
    <row r="40" spans="1:48" x14ac:dyDescent="0.2">
      <c r="A40" s="69" t="s">
        <v>97</v>
      </c>
      <c r="B40" s="70" t="s">
        <v>98</v>
      </c>
      <c r="C40" s="71" t="s">
        <v>60</v>
      </c>
      <c r="D40" s="72" t="s">
        <v>61</v>
      </c>
      <c r="E40" s="73" t="s">
        <v>62</v>
      </c>
      <c r="F40" s="84">
        <v>13.953799999999999</v>
      </c>
      <c r="G40" s="85">
        <v>14.007930999999999</v>
      </c>
      <c r="H40" s="85">
        <v>14.131351629999999</v>
      </c>
      <c r="I40" s="85">
        <v>14.16016011</v>
      </c>
      <c r="J40" s="85">
        <v>14.188968259999999</v>
      </c>
      <c r="K40" s="85">
        <v>14.21777659</v>
      </c>
      <c r="L40" s="85">
        <v>14.246584739999999</v>
      </c>
      <c r="M40" s="85">
        <v>14.27539322</v>
      </c>
      <c r="N40" s="85">
        <v>14.27109347</v>
      </c>
      <c r="O40" s="85">
        <v>14.2667936</v>
      </c>
      <c r="P40" s="85">
        <v>14.26249434</v>
      </c>
      <c r="Q40" s="85">
        <v>14.258194469999999</v>
      </c>
      <c r="R40" s="85">
        <v>14.25389472</v>
      </c>
      <c r="S40" s="85">
        <v>14.234383210000001</v>
      </c>
      <c r="T40" s="85">
        <v>14.21487207</v>
      </c>
      <c r="U40" s="85">
        <v>14.19536108</v>
      </c>
      <c r="V40" s="85">
        <v>14.175849940000001</v>
      </c>
      <c r="W40" s="85">
        <v>14.15633843</v>
      </c>
      <c r="X40" s="85">
        <v>14.120965379999999</v>
      </c>
      <c r="Y40" s="85">
        <v>14.08559209</v>
      </c>
      <c r="Z40" s="85">
        <v>14.050218709999999</v>
      </c>
      <c r="AA40" s="85">
        <v>14.01484542</v>
      </c>
      <c r="AB40" s="85">
        <v>13.97947237</v>
      </c>
      <c r="AC40" s="85">
        <v>13.93101401</v>
      </c>
      <c r="AD40" s="85">
        <v>13.882555740000001</v>
      </c>
      <c r="AE40" s="85">
        <v>13.83409724</v>
      </c>
      <c r="AF40" s="85">
        <v>13.785638970000001</v>
      </c>
      <c r="AG40" s="85">
        <v>13.737180609999999</v>
      </c>
      <c r="AH40" s="85">
        <v>13.66731802</v>
      </c>
      <c r="AI40" s="85">
        <v>13.597455719999999</v>
      </c>
      <c r="AJ40" s="85">
        <v>13.52759292</v>
      </c>
      <c r="AK40" s="85">
        <v>13.45773062</v>
      </c>
      <c r="AL40" s="85">
        <v>13.38786803</v>
      </c>
      <c r="AM40" s="85">
        <v>13.29363728</v>
      </c>
      <c r="AN40" s="85">
        <v>13.19940598</v>
      </c>
      <c r="AO40" s="85">
        <v>13.105175389999999</v>
      </c>
      <c r="AP40" s="85">
        <v>13.010944090000001</v>
      </c>
      <c r="AQ40" s="85">
        <v>12.916713339999999</v>
      </c>
      <c r="AR40" s="85">
        <v>12.803761980000001</v>
      </c>
      <c r="AS40" s="85">
        <v>12.690810539999999</v>
      </c>
      <c r="AT40" s="85">
        <v>12.577859249999999</v>
      </c>
      <c r="AU40" s="85">
        <v>12.46490781</v>
      </c>
      <c r="AV40" s="86">
        <v>12.351956449999999</v>
      </c>
    </row>
  </sheetData>
  <phoneticPr fontId="3" type="noConversion"/>
  <hyperlinks>
    <hyperlink ref="D8" r:id="rId1" display="https://www.sohu.com/a/716515038_121388092" xr:uid="{05814994-DCB2-4B62-9387-3E63C3A86E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高情景</vt:lpstr>
      <vt:lpstr>中情景</vt:lpstr>
      <vt:lpstr>低情景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2024-10-24T07:56:25Z</dcterms:modified>
</cp:coreProperties>
</file>